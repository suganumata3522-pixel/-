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113002\Desktop\"/>
    </mc:Choice>
  </mc:AlternateContent>
  <xr:revisionPtr revIDLastSave="0" documentId="13_ncr:1_{46E4B3E6-0C6A-4E67-97AC-7C643FE1DC14}" xr6:coauthVersionLast="36" xr6:coauthVersionMax="36" xr10:uidLastSave="{00000000-0000-0000-0000-000000000000}"/>
  <bookViews>
    <workbookView xWindow="0" yWindow="0" windowWidth="38400" windowHeight="17370" xr2:uid="{00000000-000D-0000-FFFF-FFFF00000000}"/>
  </bookViews>
  <sheets>
    <sheet name="S梁剛度増大率" sheetId="1" r:id="rId1"/>
  </sheets>
  <definedNames>
    <definedName name="_xlnm.Print_Area" localSheetId="0">S梁剛度増大率!$A$1:$I$62</definedName>
  </definedNames>
  <calcPr calcId="191029"/>
</workbook>
</file>

<file path=xl/calcChain.xml><?xml version="1.0" encoding="utf-8"?>
<calcChain xmlns="http://schemas.openxmlformats.org/spreadsheetml/2006/main">
  <c r="D57" i="1" l="1"/>
  <c r="F38" i="1"/>
  <c r="F37" i="1"/>
  <c r="G37" i="1" s="1"/>
  <c r="F34" i="1"/>
  <c r="C34" i="1"/>
  <c r="F30" i="1"/>
  <c r="E30" i="1"/>
  <c r="D30" i="1"/>
  <c r="D54" i="1" s="1"/>
  <c r="C30" i="1"/>
  <c r="B30" i="1"/>
  <c r="C40" i="1" s="1"/>
  <c r="D41" i="1" s="1"/>
  <c r="E43" i="1" s="1"/>
  <c r="G34" i="1" l="1"/>
  <c r="C39" i="1"/>
  <c r="D53" i="1" s="1"/>
  <c r="H53" i="1" s="1"/>
  <c r="D56" i="1" s="1"/>
  <c r="G56" i="1" s="1"/>
  <c r="E56" i="1" l="1"/>
  <c r="B43" i="1"/>
  <c r="D43" i="1" s="1"/>
  <c r="D44" i="1" s="1"/>
  <c r="G50" i="1" l="1"/>
  <c r="G46" i="1"/>
  <c r="H46" i="1"/>
  <c r="H49" i="1" s="1"/>
  <c r="E59" i="1" s="1"/>
  <c r="C61" i="1" s="1"/>
  <c r="E61" i="1" s="1"/>
  <c r="G62" i="1" s="1"/>
  <c r="G47" i="1"/>
  <c r="G49" i="1"/>
</calcChain>
</file>

<file path=xl/sharedStrings.xml><?xml version="1.0" encoding="utf-8"?>
<sst xmlns="http://schemas.openxmlformats.org/spreadsheetml/2006/main" count="149" uniqueCount="145">
  <si>
    <t>大梁の床版による剛度増大率は、実計算による値の1/2かつ片側スラブ付き1.2、両側スラブ付1.4以下とする。</t>
  </si>
  <si>
    <t>l：</t>
  </si>
  <si>
    <t>ラーメン材のスパンの長さ</t>
  </si>
  <si>
    <t>SS400</t>
  </si>
  <si>
    <t>a：</t>
  </si>
  <si>
    <t>隣接梁の上フランジ端間距離</t>
  </si>
  <si>
    <t>SM490A</t>
  </si>
  <si>
    <t>n：</t>
  </si>
  <si>
    <t>ヤング係数比</t>
  </si>
  <si>
    <t>SN400B</t>
  </si>
  <si>
    <t>t：</t>
  </si>
  <si>
    <t>スラブ厚</t>
  </si>
  <si>
    <t>SN490B</t>
  </si>
  <si>
    <t>Hd：</t>
  </si>
  <si>
    <t>デッキプレートの全せい</t>
  </si>
  <si>
    <t>sD：</t>
  </si>
  <si>
    <t>鉄骨梁せい</t>
  </si>
  <si>
    <t>b：</t>
  </si>
  <si>
    <t>鉄骨上フランジ幅</t>
  </si>
  <si>
    <t>H</t>
  </si>
  <si>
    <t>B</t>
  </si>
  <si>
    <t>a</t>
  </si>
  <si>
    <t>I</t>
  </si>
  <si>
    <t>Z</t>
  </si>
  <si>
    <t>sa：</t>
  </si>
  <si>
    <t>鉄骨梁の全断面積</t>
  </si>
  <si>
    <t>H-248x124x5x8</t>
  </si>
  <si>
    <t>sσY：</t>
  </si>
  <si>
    <t>鉄骨梁の許容引張応力度</t>
  </si>
  <si>
    <t>H-250x125x6x9</t>
  </si>
  <si>
    <t>sI：</t>
  </si>
  <si>
    <t>鉄骨梁の断面二次モーメント</t>
  </si>
  <si>
    <t>H-298x149x5.5x8</t>
  </si>
  <si>
    <t>Ec：</t>
  </si>
  <si>
    <t>コンクリートのヤング係数</t>
  </si>
  <si>
    <t>H-300x150x6.5x9</t>
  </si>
  <si>
    <t>sca：</t>
  </si>
  <si>
    <t>頭付きスタッドの軸部断面積</t>
  </si>
  <si>
    <t>H-346x174x6x9</t>
  </si>
  <si>
    <t>qs：</t>
  </si>
  <si>
    <t>頭付きスタッドのせん断耐力</t>
  </si>
  <si>
    <t>H-350x175x7x11</t>
  </si>
  <si>
    <t>H-396x199x7x11</t>
  </si>
  <si>
    <t>B：</t>
  </si>
  <si>
    <t>床スラブの有効幅</t>
  </si>
  <si>
    <t>H-400x200x8x13</t>
  </si>
  <si>
    <t>ba：</t>
  </si>
  <si>
    <t>床スラブ協力幅</t>
  </si>
  <si>
    <t>H-446x199x8x12</t>
  </si>
  <si>
    <t>sd：</t>
  </si>
  <si>
    <t>コンクリート圧縮縁から鉄骨重心位置</t>
  </si>
  <si>
    <t>H-450x200x9x14</t>
  </si>
  <si>
    <t>xn：</t>
  </si>
  <si>
    <t>中立軸位置</t>
  </si>
  <si>
    <t>H-496x199x9x14</t>
  </si>
  <si>
    <t>cIn：</t>
  </si>
  <si>
    <t>完全合成梁の断面二次モーメント</t>
  </si>
  <si>
    <t>H-500x200x10x16</t>
  </si>
  <si>
    <t>eI：</t>
  </si>
  <si>
    <t>不完全合成梁の断面二次モーメント</t>
  </si>
  <si>
    <t>H-596x199x10x15</t>
  </si>
  <si>
    <t>Qh：</t>
  </si>
  <si>
    <t>スタッドの設計用全水平せん断力</t>
  </si>
  <si>
    <t>H-600x200x11x17</t>
  </si>
  <si>
    <t>nr：</t>
  </si>
  <si>
    <t>完全合成梁の必要スタッド本数</t>
  </si>
  <si>
    <t>H-194x150x6x9</t>
  </si>
  <si>
    <t>nr'：</t>
  </si>
  <si>
    <t>スタッド本数</t>
  </si>
  <si>
    <t>H-244x175x7x11</t>
  </si>
  <si>
    <t>◇計算条件</t>
  </si>
  <si>
    <t>H-294x200x8x12</t>
  </si>
  <si>
    <t>l (m)</t>
  </si>
  <si>
    <t>a (m)</t>
  </si>
  <si>
    <t>取付</t>
  </si>
  <si>
    <t>n</t>
  </si>
  <si>
    <t>H-340x250x9x14</t>
  </si>
  <si>
    <t>片側</t>
  </si>
  <si>
    <t>H-390x300x10x16</t>
  </si>
  <si>
    <t>t (cm)</t>
  </si>
  <si>
    <t>Hd (cm)</t>
  </si>
  <si>
    <t>H-440x300x11x18</t>
  </si>
  <si>
    <t>H-482x300x11x15</t>
  </si>
  <si>
    <t>2G1</t>
  </si>
  <si>
    <t>H-900x300x16x32</t>
  </si>
  <si>
    <t>H-488x300x11x18</t>
  </si>
  <si>
    <t>sD (cm)</t>
  </si>
  <si>
    <t>b (cm)</t>
  </si>
  <si>
    <t>sa (cm2)</t>
  </si>
  <si>
    <t>sI (cm4)</t>
  </si>
  <si>
    <t>sσy (N/mm2)</t>
  </si>
  <si>
    <t>H-582x300x12x17</t>
  </si>
  <si>
    <t>H-588x300x12x20</t>
  </si>
  <si>
    <t>H-692x300x13x20</t>
  </si>
  <si>
    <t>コンクリート</t>
  </si>
  <si>
    <t>Fc24</t>
  </si>
  <si>
    <t>スタッド</t>
  </si>
  <si>
    <t>φ16</t>
  </si>
  <si>
    <t>ダブル</t>
  </si>
  <si>
    <t>H-700x300x13x24</t>
  </si>
  <si>
    <t>Ec (N/mm2)</t>
  </si>
  <si>
    <t>sca (mm2)</t>
  </si>
  <si>
    <t>qs (kN)</t>
  </si>
  <si>
    <t>H-792x300x14x22</t>
  </si>
  <si>
    <t>H-800x300x14x26</t>
  </si>
  <si>
    <t>H-900x300x16x28</t>
  </si>
  <si>
    <t>◇完全合成梁の剛度増大率</t>
  </si>
  <si>
    <t>H-912x302x18x34</t>
  </si>
  <si>
    <t>ba (cm)＝</t>
  </si>
  <si>
    <t>(0.5-0.6xa/l)xa 　</t>
  </si>
  <si>
    <t>（a＜0.5l）</t>
  </si>
  <si>
    <t>0.1xl　</t>
  </si>
  <si>
    <t>（a≧0.5l）</t>
  </si>
  <si>
    <t>B (cm)＝</t>
  </si>
  <si>
    <t>sd (cm)＝</t>
  </si>
  <si>
    <t>t1＝</t>
  </si>
  <si>
    <t>t/sd</t>
  </si>
  <si>
    <t>pt＝</t>
  </si>
  <si>
    <t>sa/(Bxsd)</t>
  </si>
  <si>
    <t>t12/(2xnx(1-t1))</t>
  </si>
  <si>
    <t>xn (cm)＝</t>
  </si>
  <si>
    <t>nxptx(√(1+2/(nxpt))-1)xsd</t>
  </si>
  <si>
    <t>（スラブ内）</t>
  </si>
  <si>
    <t>(t12+2xnxpt)/(2x(t1+nxpt)xsd</t>
  </si>
  <si>
    <t>（スラブ外）</t>
  </si>
  <si>
    <t>cIn (cm4)＝</t>
  </si>
  <si>
    <t>Bxxn3/3xn+sI+sax(sd-xn)2</t>
  </si>
  <si>
    <t>Bxt/n(t2/12+(xn-t/2)2)+sax(sd-xn)2</t>
  </si>
  <si>
    <t>◇スタッド本数</t>
  </si>
  <si>
    <t>Qh1 (kN)＝</t>
  </si>
  <si>
    <t>0.85xFcxtxBe</t>
  </si>
  <si>
    <t>Qh (kN)＝</t>
  </si>
  <si>
    <t>MIN(Qh1,Qh2)</t>
  </si>
  <si>
    <t>Qh2 (kN)＝</t>
  </si>
  <si>
    <t>saxsσY</t>
  </si>
  <si>
    <t>nr (本)＝</t>
  </si>
  <si>
    <t>Qh/qs</t>
  </si>
  <si>
    <t>nr/nr'＝</t>
  </si>
  <si>
    <t>nr' (本)＝</t>
  </si>
  <si>
    <t>eI (cm4)＝</t>
  </si>
  <si>
    <t>sI+√(nr'/nr)X(cI-sI)</t>
  </si>
  <si>
    <t>φ＝</t>
  </si>
  <si>
    <t>→</t>
  </si>
  <si>
    <t>入力値</t>
  </si>
  <si>
    <t>（1+φ)/2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</si>
</sst>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@ &quot;0"/>
    <numFmt numFmtId="177" formatCode="0.0_ "/>
    <numFmt numFmtId="178" formatCode="&quot;＝&quot;0.000"/>
    <numFmt numFmtId="179" formatCode="0_ "/>
    <numFmt numFmtId="180" formatCode="&quot;＝&quot;0"/>
    <numFmt numFmtId="181" formatCode="0.00_ "/>
  </numFmts>
  <fonts count="9" x14ac:knownFonts="1">
    <font>
      <sz val="11"/>
      <color theme="1"/>
      <name val="ＭＳ Ｐゴシック"/>
      <family val="2"/>
      <scheme val="minor"/>
    </font>
    <font>
      <sz val="10"/>
      <color rgb="FF00000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1F4E79"/>
      <name val="Meiryo UI"/>
      <family val="3"/>
      <charset val="128"/>
    </font>
    <font>
      <sz val="10"/>
      <color rgb="FF595959"/>
      <name val="Meiryo UI"/>
      <family val="3"/>
      <charset val="128"/>
    </font>
    <font>
      <b/>
      <sz val="9"/>
      <color rgb="FF1F4E79"/>
      <name val="Meiryo UI"/>
      <family val="3"/>
      <charset val="128"/>
    </font>
    <font>
      <sz val="9"/>
      <color rgb="FF000000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EAF1F8"/>
      </patternFill>
    </fill>
    <fill>
      <patternFill patternType="solid">
        <fgColor rgb="FFF2F8FD"/>
      </patternFill>
    </fill>
  </fills>
  <borders count="7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 style="thin">
        <color rgb="FFB7C3D0"/>
      </right>
      <top/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/>
      <top style="thin">
        <color rgb="FFB7C3D0"/>
      </top>
      <bottom/>
      <diagonal/>
    </border>
    <border>
      <left/>
      <right/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5" fillId="0" borderId="0" xfId="0" applyFont="1"/>
    <xf numFmtId="0" fontId="1" fillId="0" borderId="0" xfId="0" applyFont="1"/>
    <xf numFmtId="0" fontId="1" fillId="7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78" fontId="1" fillId="7" borderId="1" xfId="0" applyNumberFormat="1" applyFont="1" applyFill="1" applyBorder="1" applyAlignment="1">
      <alignment horizontal="center" vertical="center"/>
    </xf>
    <xf numFmtId="180" fontId="1" fillId="7" borderId="1" xfId="0" applyNumberFormat="1" applyFont="1" applyFill="1" applyBorder="1" applyAlignment="1">
      <alignment horizontal="center" vertical="center"/>
    </xf>
    <xf numFmtId="181" fontId="1" fillId="7" borderId="1" xfId="0" applyNumberFormat="1" applyFont="1" applyFill="1" applyBorder="1" applyAlignment="1">
      <alignment horizontal="center" vertical="center"/>
    </xf>
    <xf numFmtId="0" fontId="0" fillId="0" borderId="0" xfId="0"/>
    <xf numFmtId="179" fontId="1" fillId="7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4" borderId="1" xfId="0" applyFont="1" applyFill="1" applyBorder="1" applyAlignment="1">
      <alignment horizontal="center" vertical="center"/>
    </xf>
    <xf numFmtId="1" fontId="5" fillId="0" borderId="0" xfId="0" applyNumberFormat="1" applyFont="1"/>
    <xf numFmtId="2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77" fontId="1" fillId="7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180" fontId="1" fillId="7" borderId="1" xfId="0" applyNumberFormat="1" applyFont="1" applyFill="1" applyBorder="1" applyAlignment="1">
      <alignment horizontal="center" vertical="center"/>
    </xf>
    <xf numFmtId="0" fontId="0" fillId="0" borderId="2" xfId="0" applyBorder="1"/>
    <xf numFmtId="178" fontId="1" fillId="7" borderId="3" xfId="0" applyNumberFormat="1" applyFont="1" applyFill="1" applyBorder="1" applyAlignment="1">
      <alignment horizontal="center" vertical="center"/>
    </xf>
    <xf numFmtId="0" fontId="0" fillId="0" borderId="4" xfId="0" applyBorder="1"/>
    <xf numFmtId="0" fontId="1" fillId="0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193302</xdr:colOff>
      <xdr:row>1</xdr:row>
      <xdr:rowOff>47625</xdr:rowOff>
    </xdr:from>
    <xdr:to>
      <xdr:col>4</xdr:col>
      <xdr:colOff>266701</xdr:colOff>
      <xdr:row>10</xdr:row>
      <xdr:rowOff>49817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F3C3E-0D46-4E84-A6AB-D4D951DA8B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000"/>
        <a:stretch/>
      </xdr:blipFill>
      <xdr:spPr bwMode="auto">
        <a:xfrm>
          <a:off x="193302" y="295275"/>
          <a:ext cx="2616574" cy="1583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650501</xdr:colOff>
      <xdr:row>3</xdr:row>
      <xdr:rowOff>108698</xdr:rowOff>
    </xdr:from>
    <xdr:to>
      <xdr:col>7</xdr:col>
      <xdr:colOff>419100</xdr:colOff>
      <xdr:row>9</xdr:row>
      <xdr:rowOff>20403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42093CA-515E-4367-BE15-AFA3C9C9B4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668"/>
        <a:stretch/>
      </xdr:blipFill>
      <xdr:spPr bwMode="auto">
        <a:xfrm>
          <a:off x="2460251" y="708773"/>
          <a:ext cx="2702299" cy="968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showGridLines="0" tabSelected="1" view="pageBreakPreview" zoomScale="85" zoomScaleNormal="85" zoomScaleSheetLayoutView="85" workbookViewId="0">
      <selection activeCell="X67" sqref="X67"/>
    </sheetView>
  </sheetViews>
  <sheetFormatPr defaultRowHeight="13.5" x14ac:dyDescent="0.15"/>
  <cols>
    <col min="1" max="1" width="4.5" customWidth="1"/>
    <col min="2" max="10" width="9.625" customWidth="1"/>
    <col min="11" max="11" width="17.125" customWidth="1"/>
    <col min="12" max="28" width="9" customWidth="1"/>
  </cols>
  <sheetData>
    <row r="1" spans="1:16" ht="19.5" customHeight="1" x14ac:dyDescent="0.15">
      <c r="A1" s="26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1:16" ht="14.25" x14ac:dyDescent="0.15">
      <c r="K3" s="2" t="s">
        <v>3</v>
      </c>
      <c r="L3" s="3">
        <v>235</v>
      </c>
    </row>
    <row r="4" spans="1:16" ht="14.25" x14ac:dyDescent="0.15">
      <c r="K4" s="2" t="s">
        <v>6</v>
      </c>
      <c r="L4" s="3">
        <v>325</v>
      </c>
    </row>
    <row r="5" spans="1:16" ht="14.25" x14ac:dyDescent="0.15">
      <c r="K5" s="2" t="s">
        <v>9</v>
      </c>
      <c r="L5" s="3">
        <v>235</v>
      </c>
    </row>
    <row r="6" spans="1:16" ht="14.25" x14ac:dyDescent="0.15">
      <c r="K6" s="2" t="s">
        <v>12</v>
      </c>
      <c r="L6" s="3">
        <v>325</v>
      </c>
    </row>
    <row r="12" spans="1:16" ht="14.25" x14ac:dyDescent="0.15">
      <c r="B12" s="1" t="s">
        <v>1</v>
      </c>
      <c r="C12" s="32" t="s">
        <v>2</v>
      </c>
      <c r="D12" s="33"/>
      <c r="E12" s="34"/>
      <c r="F12" s="1" t="s">
        <v>36</v>
      </c>
      <c r="G12" s="32" t="s">
        <v>37</v>
      </c>
      <c r="H12" s="33"/>
      <c r="I12" s="34"/>
    </row>
    <row r="13" spans="1:16" ht="14.25" x14ac:dyDescent="0.15">
      <c r="B13" s="1" t="s">
        <v>4</v>
      </c>
      <c r="C13" s="32" t="s">
        <v>5</v>
      </c>
      <c r="D13" s="33"/>
      <c r="E13" s="34"/>
      <c r="F13" s="1" t="s">
        <v>39</v>
      </c>
      <c r="G13" s="32" t="s">
        <v>40</v>
      </c>
      <c r="H13" s="33"/>
      <c r="I13" s="34"/>
    </row>
    <row r="14" spans="1:16" ht="14.25" x14ac:dyDescent="0.15">
      <c r="B14" s="1" t="s">
        <v>7</v>
      </c>
      <c r="C14" s="32" t="s">
        <v>8</v>
      </c>
      <c r="D14" s="33"/>
      <c r="E14" s="34"/>
      <c r="F14" s="1" t="s">
        <v>49</v>
      </c>
      <c r="G14" s="32" t="s">
        <v>50</v>
      </c>
      <c r="H14" s="33"/>
      <c r="I14" s="34"/>
    </row>
    <row r="15" spans="1:16" ht="14.25" x14ac:dyDescent="0.15">
      <c r="B15" s="1" t="s">
        <v>10</v>
      </c>
      <c r="C15" s="32" t="s">
        <v>11</v>
      </c>
      <c r="D15" s="33"/>
      <c r="E15" s="34"/>
      <c r="F15" s="1" t="s">
        <v>52</v>
      </c>
      <c r="G15" s="32" t="s">
        <v>53</v>
      </c>
      <c r="H15" s="33"/>
      <c r="I15" s="34"/>
    </row>
    <row r="16" spans="1:16" ht="14.25" x14ac:dyDescent="0.15">
      <c r="B16" s="1" t="s">
        <v>13</v>
      </c>
      <c r="C16" s="32" t="s">
        <v>14</v>
      </c>
      <c r="D16" s="33"/>
      <c r="E16" s="34"/>
      <c r="F16" s="1" t="s">
        <v>55</v>
      </c>
      <c r="G16" s="32" t="s">
        <v>56</v>
      </c>
      <c r="H16" s="33"/>
      <c r="I16" s="34"/>
    </row>
    <row r="17" spans="1:16" ht="14.25" x14ac:dyDescent="0.15">
      <c r="B17" s="1" t="s">
        <v>15</v>
      </c>
      <c r="C17" s="32" t="s">
        <v>16</v>
      </c>
      <c r="D17" s="33"/>
      <c r="E17" s="34"/>
      <c r="F17" s="1" t="s">
        <v>43</v>
      </c>
      <c r="G17" s="32" t="s">
        <v>44</v>
      </c>
      <c r="H17" s="33"/>
      <c r="I17" s="34"/>
    </row>
    <row r="18" spans="1:16" ht="14.25" x14ac:dyDescent="0.15">
      <c r="B18" s="1" t="s">
        <v>17</v>
      </c>
      <c r="C18" s="32" t="s">
        <v>18</v>
      </c>
      <c r="D18" s="33"/>
      <c r="E18" s="34"/>
      <c r="F18" s="1" t="s">
        <v>46</v>
      </c>
      <c r="G18" s="32" t="s">
        <v>47</v>
      </c>
      <c r="H18" s="33"/>
      <c r="I18" s="34"/>
    </row>
    <row r="19" spans="1:16" ht="14.25" x14ac:dyDescent="0.15">
      <c r="B19" s="1" t="s">
        <v>24</v>
      </c>
      <c r="C19" s="32" t="s">
        <v>25</v>
      </c>
      <c r="D19" s="33"/>
      <c r="E19" s="34"/>
      <c r="F19" s="1" t="s">
        <v>58</v>
      </c>
      <c r="G19" s="32" t="s">
        <v>59</v>
      </c>
      <c r="H19" s="33"/>
      <c r="I19" s="34"/>
    </row>
    <row r="20" spans="1:16" ht="14.25" x14ac:dyDescent="0.15">
      <c r="B20" s="1" t="s">
        <v>27</v>
      </c>
      <c r="C20" s="32" t="s">
        <v>28</v>
      </c>
      <c r="D20" s="33"/>
      <c r="E20" s="34"/>
      <c r="F20" s="1" t="s">
        <v>61</v>
      </c>
      <c r="G20" s="32" t="s">
        <v>62</v>
      </c>
      <c r="H20" s="33"/>
      <c r="I20" s="34"/>
      <c r="K20" s="4"/>
      <c r="L20" s="4" t="s">
        <v>19</v>
      </c>
      <c r="M20" s="4" t="s">
        <v>20</v>
      </c>
      <c r="N20" s="4" t="s">
        <v>21</v>
      </c>
      <c r="O20" s="4" t="s">
        <v>22</v>
      </c>
      <c r="P20" s="4" t="s">
        <v>23</v>
      </c>
    </row>
    <row r="21" spans="1:16" ht="14.25" x14ac:dyDescent="0.15">
      <c r="B21" s="1" t="s">
        <v>30</v>
      </c>
      <c r="C21" s="32" t="s">
        <v>31</v>
      </c>
      <c r="D21" s="33"/>
      <c r="E21" s="34"/>
      <c r="F21" s="1" t="s">
        <v>64</v>
      </c>
      <c r="G21" s="32" t="s">
        <v>65</v>
      </c>
      <c r="H21" s="33"/>
      <c r="I21" s="34"/>
      <c r="K21" s="5" t="s">
        <v>26</v>
      </c>
      <c r="L21" s="6">
        <v>24.8</v>
      </c>
      <c r="M21" s="6">
        <v>12.4</v>
      </c>
      <c r="N21" s="6">
        <v>31.99</v>
      </c>
      <c r="O21" s="6">
        <v>3450</v>
      </c>
      <c r="P21" s="6">
        <v>278</v>
      </c>
    </row>
    <row r="22" spans="1:16" ht="14.25" x14ac:dyDescent="0.15">
      <c r="B22" s="1" t="s">
        <v>33</v>
      </c>
      <c r="C22" s="32" t="s">
        <v>34</v>
      </c>
      <c r="D22" s="33"/>
      <c r="E22" s="34"/>
      <c r="F22" s="1" t="s">
        <v>67</v>
      </c>
      <c r="G22" s="32" t="s">
        <v>68</v>
      </c>
      <c r="H22" s="33"/>
      <c r="I22" s="34"/>
      <c r="K22" s="5" t="s">
        <v>29</v>
      </c>
      <c r="L22" s="7">
        <v>25</v>
      </c>
      <c r="M22" s="7">
        <v>12.5</v>
      </c>
      <c r="N22" s="7">
        <v>36.97</v>
      </c>
      <c r="O22" s="7">
        <v>3960</v>
      </c>
      <c r="P22" s="7">
        <v>317</v>
      </c>
    </row>
    <row r="23" spans="1:16" x14ac:dyDescent="0.15">
      <c r="K23" s="5" t="s">
        <v>32</v>
      </c>
      <c r="L23" s="6">
        <v>29.8</v>
      </c>
      <c r="M23" s="6">
        <v>14.9</v>
      </c>
      <c r="N23" s="6">
        <v>40.799999999999997</v>
      </c>
      <c r="O23" s="6">
        <v>6320</v>
      </c>
      <c r="P23" s="6">
        <v>424</v>
      </c>
    </row>
    <row r="24" spans="1:16" ht="15.75" x14ac:dyDescent="0.15">
      <c r="A24" s="8" t="s">
        <v>70</v>
      </c>
      <c r="B24" s="9"/>
      <c r="C24" s="9"/>
      <c r="D24" s="9"/>
      <c r="E24" s="9"/>
      <c r="F24" s="9"/>
      <c r="G24" s="9"/>
      <c r="H24" s="9"/>
      <c r="I24" s="9"/>
      <c r="K24" s="5" t="s">
        <v>35</v>
      </c>
      <c r="L24" s="7">
        <v>30</v>
      </c>
      <c r="M24" s="7">
        <v>15</v>
      </c>
      <c r="N24" s="7">
        <v>46.78</v>
      </c>
      <c r="O24" s="7">
        <v>7210</v>
      </c>
      <c r="P24" s="7">
        <v>481</v>
      </c>
    </row>
    <row r="25" spans="1:16" ht="15" x14ac:dyDescent="0.25">
      <c r="B25" s="10" t="s">
        <v>72</v>
      </c>
      <c r="C25" s="10" t="s">
        <v>73</v>
      </c>
      <c r="D25" s="10" t="s">
        <v>74</v>
      </c>
      <c r="E25" s="10" t="s">
        <v>75</v>
      </c>
      <c r="K25" s="5" t="s">
        <v>38</v>
      </c>
      <c r="L25" s="6">
        <v>34.6</v>
      </c>
      <c r="M25" s="6">
        <v>17.399999999999999</v>
      </c>
      <c r="N25" s="6">
        <v>52.45</v>
      </c>
      <c r="O25" s="6">
        <v>11000</v>
      </c>
      <c r="P25" s="6">
        <v>638</v>
      </c>
    </row>
    <row r="26" spans="1:16" ht="14.25" x14ac:dyDescent="0.15">
      <c r="B26" s="2">
        <v>14</v>
      </c>
      <c r="C26" s="2">
        <v>6.7</v>
      </c>
      <c r="D26" s="2" t="s">
        <v>77</v>
      </c>
      <c r="E26" s="2">
        <v>15</v>
      </c>
      <c r="K26" s="5" t="s">
        <v>41</v>
      </c>
      <c r="L26" s="7">
        <v>35</v>
      </c>
      <c r="M26" s="7">
        <v>17.5</v>
      </c>
      <c r="N26" s="7">
        <v>62.91</v>
      </c>
      <c r="O26" s="7">
        <v>13500</v>
      </c>
      <c r="P26" s="7">
        <v>771</v>
      </c>
    </row>
    <row r="27" spans="1:16" ht="15" x14ac:dyDescent="0.25">
      <c r="B27" s="10" t="s">
        <v>79</v>
      </c>
      <c r="C27" s="10" t="s">
        <v>80</v>
      </c>
      <c r="K27" s="5" t="s">
        <v>42</v>
      </c>
      <c r="L27" s="6">
        <v>39.6</v>
      </c>
      <c r="M27" s="6">
        <v>19.899999999999999</v>
      </c>
      <c r="N27" s="6">
        <v>71.41</v>
      </c>
      <c r="O27" s="6">
        <v>19800</v>
      </c>
      <c r="P27" s="6">
        <v>999</v>
      </c>
    </row>
    <row r="28" spans="1:16" ht="15" x14ac:dyDescent="0.25">
      <c r="B28" s="2">
        <v>18</v>
      </c>
      <c r="C28" s="2">
        <v>0</v>
      </c>
      <c r="E28" s="11" t="s">
        <v>83</v>
      </c>
      <c r="F28" s="21" t="s">
        <v>84</v>
      </c>
      <c r="G28" s="18"/>
      <c r="H28" s="2" t="s">
        <v>6</v>
      </c>
      <c r="K28" s="5" t="s">
        <v>45</v>
      </c>
      <c r="L28" s="7">
        <v>40</v>
      </c>
      <c r="M28" s="7">
        <v>20</v>
      </c>
      <c r="N28" s="7">
        <v>83.37</v>
      </c>
      <c r="O28" s="7">
        <v>23500</v>
      </c>
      <c r="P28" s="7">
        <v>1170</v>
      </c>
    </row>
    <row r="29" spans="1:16" ht="15" x14ac:dyDescent="0.25">
      <c r="B29" s="10" t="s">
        <v>86</v>
      </c>
      <c r="C29" s="10" t="s">
        <v>87</v>
      </c>
      <c r="D29" s="10" t="s">
        <v>88</v>
      </c>
      <c r="E29" s="10" t="s">
        <v>89</v>
      </c>
      <c r="F29" s="10" t="s">
        <v>90</v>
      </c>
      <c r="K29" s="5" t="s">
        <v>48</v>
      </c>
      <c r="L29" s="6">
        <v>44.6</v>
      </c>
      <c r="M29" s="6">
        <v>19.899999999999999</v>
      </c>
      <c r="N29" s="6">
        <v>82.97</v>
      </c>
      <c r="O29" s="6">
        <v>28100</v>
      </c>
      <c r="P29" s="6">
        <v>1260</v>
      </c>
    </row>
    <row r="30" spans="1:16" ht="14.25" x14ac:dyDescent="0.15">
      <c r="B30" s="12">
        <f>VLOOKUP($F$28,$K$21:$P$51,2,FALSE)</f>
        <v>90</v>
      </c>
      <c r="C30" s="12">
        <f>VLOOKUP($F$28,$K$21:$P$51,3,FALSE)</f>
        <v>30</v>
      </c>
      <c r="D30" s="12">
        <f>VLOOKUP($F$28,$K$21:$P$51,4,FALSE)</f>
        <v>328.5</v>
      </c>
      <c r="E30" s="12">
        <f>VLOOKUP($F$28,$K$21:$P$51,5,FALSE)</f>
        <v>444000</v>
      </c>
      <c r="F30" s="12">
        <f>VLOOKUP(H28,$K$3:$L$6,2,FALSE)</f>
        <v>325</v>
      </c>
      <c r="K30" s="5" t="s">
        <v>51</v>
      </c>
      <c r="L30" s="7">
        <v>45</v>
      </c>
      <c r="M30" s="7">
        <v>20</v>
      </c>
      <c r="N30" s="7">
        <v>95.43</v>
      </c>
      <c r="O30" s="7">
        <v>32900</v>
      </c>
      <c r="P30" s="7">
        <v>1460</v>
      </c>
    </row>
    <row r="31" spans="1:16" x14ac:dyDescent="0.15">
      <c r="K31" s="5" t="s">
        <v>54</v>
      </c>
      <c r="L31" s="6">
        <v>49.6</v>
      </c>
      <c r="M31" s="6">
        <v>19.899999999999999</v>
      </c>
      <c r="N31" s="6">
        <v>99.29</v>
      </c>
      <c r="O31" s="6">
        <v>40800</v>
      </c>
      <c r="P31" s="6">
        <v>1650</v>
      </c>
    </row>
    <row r="32" spans="1:16" ht="15" x14ac:dyDescent="0.25">
      <c r="B32" s="11" t="s">
        <v>94</v>
      </c>
      <c r="C32" s="2" t="s">
        <v>95</v>
      </c>
      <c r="E32" s="11" t="s">
        <v>96</v>
      </c>
      <c r="F32" s="2" t="s">
        <v>97</v>
      </c>
      <c r="G32" s="13">
        <v>300</v>
      </c>
      <c r="H32" s="2" t="s">
        <v>98</v>
      </c>
      <c r="K32" s="5" t="s">
        <v>57</v>
      </c>
      <c r="L32" s="7">
        <v>50</v>
      </c>
      <c r="M32" s="7">
        <v>20</v>
      </c>
      <c r="N32" s="7">
        <v>112.2</v>
      </c>
      <c r="O32" s="7">
        <v>46800</v>
      </c>
      <c r="P32" s="7">
        <v>1870</v>
      </c>
    </row>
    <row r="33" spans="1:16" ht="15" x14ac:dyDescent="0.25">
      <c r="C33" s="10" t="s">
        <v>100</v>
      </c>
      <c r="F33" s="10" t="s">
        <v>101</v>
      </c>
      <c r="G33" s="10" t="s">
        <v>102</v>
      </c>
      <c r="K33" s="5" t="s">
        <v>60</v>
      </c>
      <c r="L33" s="6">
        <v>59.6</v>
      </c>
      <c r="M33" s="6">
        <v>19.899999999999999</v>
      </c>
      <c r="N33" s="6">
        <v>117.8</v>
      </c>
      <c r="O33" s="6">
        <v>66600</v>
      </c>
      <c r="P33" s="6">
        <v>2240</v>
      </c>
    </row>
    <row r="34" spans="1:16" ht="14.25" x14ac:dyDescent="0.15">
      <c r="C34" s="14">
        <f>3.35*10^4*(24/24)^2*(MID(C32,3,2)/60)^(1/3)</f>
        <v>24683.011040890589</v>
      </c>
      <c r="F34" s="14">
        <f>(MID(F32,2,3)/2)^2*PI()</f>
        <v>201.06192982974676</v>
      </c>
      <c r="G34" s="14">
        <f>0.5*F34*SQRT(MID(C32,3,2)*C34)/1000</f>
        <v>77.375691020931228</v>
      </c>
      <c r="K34" s="5" t="s">
        <v>63</v>
      </c>
      <c r="L34" s="7">
        <v>60</v>
      </c>
      <c r="M34" s="7">
        <v>20</v>
      </c>
      <c r="N34" s="7">
        <v>131.69999999999999</v>
      </c>
      <c r="O34" s="7">
        <v>75600</v>
      </c>
      <c r="P34" s="7">
        <v>2520</v>
      </c>
    </row>
    <row r="35" spans="1:16" x14ac:dyDescent="0.15">
      <c r="K35" s="5" t="s">
        <v>66</v>
      </c>
      <c r="L35" s="6">
        <v>19.399999999999999</v>
      </c>
      <c r="M35" s="6">
        <v>15</v>
      </c>
      <c r="N35" s="6">
        <v>38.11</v>
      </c>
      <c r="O35" s="6">
        <v>2630</v>
      </c>
      <c r="P35" s="6">
        <v>271</v>
      </c>
    </row>
    <row r="36" spans="1:16" ht="15.75" x14ac:dyDescent="0.15">
      <c r="A36" s="8" t="s">
        <v>106</v>
      </c>
      <c r="B36" s="9"/>
      <c r="C36" s="9"/>
      <c r="D36" s="9"/>
      <c r="E36" s="9"/>
      <c r="F36" s="9"/>
      <c r="G36" s="9"/>
      <c r="H36" s="9"/>
      <c r="I36" s="9"/>
      <c r="K36" s="5" t="s">
        <v>69</v>
      </c>
      <c r="L36" s="7">
        <v>24.4</v>
      </c>
      <c r="M36" s="7">
        <v>17.5</v>
      </c>
      <c r="N36" s="7">
        <v>55.49</v>
      </c>
      <c r="O36" s="7">
        <v>6040</v>
      </c>
      <c r="P36" s="7">
        <v>495</v>
      </c>
    </row>
    <row r="37" spans="1:16" ht="15" x14ac:dyDescent="0.25">
      <c r="B37" s="20" t="s">
        <v>108</v>
      </c>
      <c r="C37" s="10" t="s">
        <v>109</v>
      </c>
      <c r="E37" s="10" t="s">
        <v>110</v>
      </c>
      <c r="F37" s="12" t="str">
        <f>IF(C26&lt;0.5*B26,"→","")</f>
        <v>→</v>
      </c>
      <c r="G37" s="25">
        <f>IF(F37="→",(0.5-0.6*C26/B26)*C26*100,0.1*B26*100)</f>
        <v>142.61428571428576</v>
      </c>
      <c r="K37" s="5" t="s">
        <v>71</v>
      </c>
      <c r="L37" s="6">
        <v>29.4</v>
      </c>
      <c r="M37" s="6">
        <v>20</v>
      </c>
      <c r="N37" s="6">
        <v>71.05</v>
      </c>
      <c r="O37" s="6">
        <v>11100</v>
      </c>
      <c r="P37" s="6">
        <v>756</v>
      </c>
    </row>
    <row r="38" spans="1:16" ht="15" x14ac:dyDescent="0.25">
      <c r="B38" s="18"/>
      <c r="C38" s="10" t="s">
        <v>111</v>
      </c>
      <c r="E38" s="10" t="s">
        <v>112</v>
      </c>
      <c r="F38" s="12" t="str">
        <f>IF(C26&gt;=0.5*B26,"→","")</f>
        <v/>
      </c>
      <c r="G38" s="28"/>
      <c r="K38" s="5" t="s">
        <v>76</v>
      </c>
      <c r="L38" s="7">
        <v>34</v>
      </c>
      <c r="M38" s="7">
        <v>25</v>
      </c>
      <c r="N38" s="7">
        <v>99.53</v>
      </c>
      <c r="O38" s="7">
        <v>21200</v>
      </c>
      <c r="P38" s="7">
        <v>1250</v>
      </c>
    </row>
    <row r="39" spans="1:16" ht="15" x14ac:dyDescent="0.25">
      <c r="B39" s="11" t="s">
        <v>113</v>
      </c>
      <c r="C39" s="14">
        <f>IF(D26="片側",G37+C30,2*G37+C30)</f>
        <v>172.61428571428576</v>
      </c>
      <c r="K39" s="5" t="s">
        <v>78</v>
      </c>
      <c r="L39" s="6">
        <v>39</v>
      </c>
      <c r="M39" s="6">
        <v>30</v>
      </c>
      <c r="N39" s="6">
        <v>133.19999999999999</v>
      </c>
      <c r="O39" s="6">
        <v>37900</v>
      </c>
      <c r="P39" s="6">
        <v>1940</v>
      </c>
    </row>
    <row r="40" spans="1:16" ht="15" x14ac:dyDescent="0.25">
      <c r="B40" s="11" t="s">
        <v>114</v>
      </c>
      <c r="C40" s="12">
        <f>B28+C28+B30/2</f>
        <v>63</v>
      </c>
      <c r="K40" s="5" t="s">
        <v>81</v>
      </c>
      <c r="L40" s="7">
        <v>44</v>
      </c>
      <c r="M40" s="7">
        <v>30</v>
      </c>
      <c r="N40" s="7">
        <v>153.9</v>
      </c>
      <c r="O40" s="7">
        <v>54700</v>
      </c>
      <c r="P40" s="7">
        <v>2490</v>
      </c>
    </row>
    <row r="41" spans="1:16" ht="15" x14ac:dyDescent="0.25">
      <c r="B41" s="10" t="s">
        <v>115</v>
      </c>
      <c r="C41" s="10" t="s">
        <v>116</v>
      </c>
      <c r="D41" s="15">
        <f>B28/C40</f>
        <v>0.2857142857142857</v>
      </c>
      <c r="K41" s="5" t="s">
        <v>82</v>
      </c>
      <c r="L41" s="6">
        <v>48.2</v>
      </c>
      <c r="M41" s="6">
        <v>30</v>
      </c>
      <c r="N41" s="6">
        <v>141.19999999999999</v>
      </c>
      <c r="O41" s="6">
        <v>58300</v>
      </c>
      <c r="P41" s="6">
        <v>2420</v>
      </c>
    </row>
    <row r="42" spans="1:16" ht="15" x14ac:dyDescent="0.25">
      <c r="B42" s="10" t="s">
        <v>117</v>
      </c>
      <c r="C42" s="10" t="s">
        <v>118</v>
      </c>
      <c r="E42" s="20" t="s">
        <v>119</v>
      </c>
      <c r="F42" s="18"/>
      <c r="K42" s="5" t="s">
        <v>85</v>
      </c>
      <c r="L42" s="7">
        <v>48.8</v>
      </c>
      <c r="M42" s="7">
        <v>30</v>
      </c>
      <c r="N42" s="7">
        <v>159.19999999999999</v>
      </c>
      <c r="O42" s="7">
        <v>68900</v>
      </c>
      <c r="P42" s="7">
        <v>2820</v>
      </c>
    </row>
    <row r="43" spans="1:16" ht="14.25" x14ac:dyDescent="0.15">
      <c r="B43" s="29">
        <f>D30/(C39*C40)</f>
        <v>3.0207729868410155E-2</v>
      </c>
      <c r="C43" s="30"/>
      <c r="D43" s="12" t="str">
        <f>IF(B43&lt;E43,"＜","≧")</f>
        <v>≧</v>
      </c>
      <c r="E43" s="29">
        <f>D41^2/(2*E26*(1-D41))</f>
        <v>3.8095238095238087E-3</v>
      </c>
      <c r="F43" s="30"/>
      <c r="K43" s="5" t="s">
        <v>91</v>
      </c>
      <c r="L43" s="6">
        <v>58.2</v>
      </c>
      <c r="M43" s="6">
        <v>30</v>
      </c>
      <c r="N43" s="6">
        <v>169.2</v>
      </c>
      <c r="O43" s="6">
        <v>98900</v>
      </c>
      <c r="P43" s="6">
        <v>3400</v>
      </c>
    </row>
    <row r="44" spans="1:16" ht="14.25" x14ac:dyDescent="0.15">
      <c r="D44" s="31" t="str">
        <f>IF(D43="＜","中立軸はスラブ内","中立軸はスラブ外")</f>
        <v>中立軸はスラブ外</v>
      </c>
      <c r="K44" s="5" t="s">
        <v>92</v>
      </c>
      <c r="L44" s="7">
        <v>58.8</v>
      </c>
      <c r="M44" s="7">
        <v>30</v>
      </c>
      <c r="N44" s="7">
        <v>187.2</v>
      </c>
      <c r="O44" s="7">
        <v>114000</v>
      </c>
      <c r="P44" s="7">
        <v>3890</v>
      </c>
    </row>
    <row r="45" spans="1:16" x14ac:dyDescent="0.15">
      <c r="K45" s="5" t="s">
        <v>93</v>
      </c>
      <c r="L45" s="6">
        <v>69.2</v>
      </c>
      <c r="M45" s="6">
        <v>30</v>
      </c>
      <c r="N45" s="6">
        <v>207.5</v>
      </c>
      <c r="O45" s="6">
        <v>168000</v>
      </c>
      <c r="P45" s="6">
        <v>4870</v>
      </c>
    </row>
    <row r="46" spans="1:16" ht="15" x14ac:dyDescent="0.25">
      <c r="B46" s="20" t="s">
        <v>120</v>
      </c>
      <c r="C46" s="10" t="s">
        <v>121</v>
      </c>
      <c r="F46" s="10" t="s">
        <v>122</v>
      </c>
      <c r="G46" s="12" t="str">
        <f>IF(D43="＜","→","")</f>
        <v/>
      </c>
      <c r="H46" s="25">
        <f>IF(D43="＜",E26*B43*(SQRT(1+2/(E26*B43))-1)*C40,(D41^2+2*E26*B43)/(2*(D41+E26*B43))*C40)</f>
        <v>42.117568929925909</v>
      </c>
      <c r="K46" s="5" t="s">
        <v>99</v>
      </c>
      <c r="L46" s="7">
        <v>70</v>
      </c>
      <c r="M46" s="7">
        <v>30</v>
      </c>
      <c r="N46" s="7">
        <v>231.5</v>
      </c>
      <c r="O46" s="7">
        <v>197000</v>
      </c>
      <c r="P46" s="7">
        <v>5640</v>
      </c>
    </row>
    <row r="47" spans="1:16" ht="15" x14ac:dyDescent="0.25">
      <c r="B47" s="18"/>
      <c r="C47" s="10" t="s">
        <v>123</v>
      </c>
      <c r="F47" s="10" t="s">
        <v>124</v>
      </c>
      <c r="G47" s="12" t="str">
        <f>IF(D43="≧","→","")</f>
        <v>→</v>
      </c>
      <c r="H47" s="28"/>
      <c r="K47" s="5" t="s">
        <v>103</v>
      </c>
      <c r="L47" s="6">
        <v>79.2</v>
      </c>
      <c r="M47" s="6">
        <v>30</v>
      </c>
      <c r="N47" s="6">
        <v>239.5</v>
      </c>
      <c r="O47" s="6">
        <v>248000</v>
      </c>
      <c r="P47" s="6">
        <v>6270</v>
      </c>
    </row>
    <row r="48" spans="1:16" x14ac:dyDescent="0.15">
      <c r="K48" s="5" t="s">
        <v>104</v>
      </c>
      <c r="L48" s="7">
        <v>80</v>
      </c>
      <c r="M48" s="7">
        <v>30</v>
      </c>
      <c r="N48" s="7">
        <v>263.5</v>
      </c>
      <c r="O48" s="7">
        <v>286000</v>
      </c>
      <c r="P48" s="7">
        <v>7160</v>
      </c>
    </row>
    <row r="49" spans="1:16" ht="15" x14ac:dyDescent="0.25">
      <c r="B49" s="20" t="s">
        <v>125</v>
      </c>
      <c r="C49" s="10" t="s">
        <v>126</v>
      </c>
      <c r="F49" s="10" t="s">
        <v>122</v>
      </c>
      <c r="G49" s="12" t="str">
        <f>IF(D43="＜","→","")</f>
        <v/>
      </c>
      <c r="H49" s="19">
        <f>IF(D43="＜",C39*H46^3/(3*E26)+E30+D30*(C40-H46)^2,C39*B28/E26*(B28^2/12+(H46-B28/2)^2)+E30+D30*(C40-H46)^2)</f>
        <v>820026.14760918717</v>
      </c>
      <c r="K49" s="5" t="s">
        <v>105</v>
      </c>
      <c r="L49" s="6">
        <v>90</v>
      </c>
      <c r="M49" s="6">
        <v>30</v>
      </c>
      <c r="N49" s="6">
        <v>305.8</v>
      </c>
      <c r="O49" s="6">
        <v>404000</v>
      </c>
      <c r="P49" s="6">
        <v>8990</v>
      </c>
    </row>
    <row r="50" spans="1:16" ht="15" x14ac:dyDescent="0.25">
      <c r="B50" s="18"/>
      <c r="C50" s="10" t="s">
        <v>127</v>
      </c>
      <c r="F50" s="10" t="s">
        <v>124</v>
      </c>
      <c r="G50" s="12" t="str">
        <f>IF(D43="≧","→","")</f>
        <v>→</v>
      </c>
      <c r="H50" s="28"/>
      <c r="K50" s="5" t="s">
        <v>107</v>
      </c>
      <c r="L50" s="7">
        <v>91.2</v>
      </c>
      <c r="M50" s="7">
        <v>30.2</v>
      </c>
      <c r="N50" s="7">
        <v>360.1</v>
      </c>
      <c r="O50" s="7">
        <v>491000</v>
      </c>
      <c r="P50" s="7">
        <v>10800</v>
      </c>
    </row>
    <row r="51" spans="1:16" x14ac:dyDescent="0.15">
      <c r="K51" s="5" t="s">
        <v>84</v>
      </c>
      <c r="L51" s="7">
        <v>90</v>
      </c>
      <c r="M51" s="7">
        <v>30</v>
      </c>
      <c r="N51" s="7">
        <v>328.5</v>
      </c>
      <c r="O51" s="7">
        <v>444000</v>
      </c>
      <c r="P51" s="7">
        <v>9880</v>
      </c>
    </row>
    <row r="52" spans="1:16" ht="15.75" x14ac:dyDescent="0.15">
      <c r="A52" s="8" t="s">
        <v>128</v>
      </c>
      <c r="B52" s="9"/>
      <c r="C52" s="9"/>
      <c r="D52" s="9"/>
      <c r="E52" s="9"/>
      <c r="F52" s="9"/>
      <c r="G52" s="9"/>
      <c r="H52" s="9"/>
      <c r="I52" s="9"/>
    </row>
    <row r="53" spans="1:16" ht="15" x14ac:dyDescent="0.25">
      <c r="B53" s="10" t="s">
        <v>129</v>
      </c>
      <c r="C53" s="10" t="s">
        <v>130</v>
      </c>
      <c r="D53" s="16">
        <f>0.85*MID(C32,3,2)*B28*10*C39*10/1000</f>
        <v>6338.3965714285723</v>
      </c>
      <c r="F53" s="20" t="s">
        <v>131</v>
      </c>
      <c r="G53" s="22" t="s">
        <v>132</v>
      </c>
      <c r="H53" s="27">
        <f>MIN(D53:D54)</f>
        <v>6338.3965714285723</v>
      </c>
      <c r="I53" s="18"/>
    </row>
    <row r="54" spans="1:16" ht="15" x14ac:dyDescent="0.25">
      <c r="B54" s="10" t="s">
        <v>133</v>
      </c>
      <c r="C54" s="10" t="s">
        <v>134</v>
      </c>
      <c r="D54" s="16">
        <f>D30*100*F30/1000</f>
        <v>10676.25</v>
      </c>
      <c r="F54" s="18"/>
      <c r="G54" s="18"/>
      <c r="H54" s="28"/>
      <c r="I54" s="18"/>
    </row>
    <row r="56" spans="1:16" ht="15" x14ac:dyDescent="0.25">
      <c r="B56" s="10" t="s">
        <v>135</v>
      </c>
      <c r="C56" s="10" t="s">
        <v>136</v>
      </c>
      <c r="D56" s="16">
        <f>ROUNDUP(H53/$G$34,0)</f>
        <v>82</v>
      </c>
      <c r="E56" s="24" t="str">
        <f>IF(D57&gt;D56,"完全",IF(D57&gt;0.5*D56,"不完全","NG"))</f>
        <v>完全</v>
      </c>
      <c r="F56" s="20" t="s">
        <v>137</v>
      </c>
      <c r="G56" s="23">
        <f>IF(D57&gt;D56,1,D57/D56)</f>
        <v>1</v>
      </c>
    </row>
    <row r="57" spans="1:16" ht="15" x14ac:dyDescent="0.25">
      <c r="B57" s="10" t="s">
        <v>138</v>
      </c>
      <c r="D57" s="16">
        <f>(ROUNDDOWN(B26*1000/$G$32,0)+1)*IF(H32="シングル",1,2)</f>
        <v>94</v>
      </c>
      <c r="E57" s="28"/>
      <c r="F57" s="18"/>
      <c r="G57" s="28"/>
    </row>
    <row r="59" spans="1:16" ht="15" x14ac:dyDescent="0.25">
      <c r="B59" s="10" t="s">
        <v>139</v>
      </c>
      <c r="C59" s="10" t="s">
        <v>140</v>
      </c>
      <c r="E59" s="16">
        <f>E30+SQRT(G56)*(H49-E30)</f>
        <v>820026.14760918717</v>
      </c>
    </row>
    <row r="61" spans="1:16" ht="15" x14ac:dyDescent="0.25">
      <c r="B61" s="10" t="s">
        <v>141</v>
      </c>
      <c r="C61" s="17">
        <f>E59/E30</f>
        <v>1.8469057378585296</v>
      </c>
      <c r="D61" s="10" t="s">
        <v>142</v>
      </c>
      <c r="E61" s="17">
        <f>(1+C61)/2</f>
        <v>1.4234528689292647</v>
      </c>
      <c r="G61" s="10" t="s">
        <v>143</v>
      </c>
    </row>
    <row r="62" spans="1:16" ht="15" x14ac:dyDescent="0.25">
      <c r="D62" s="10" t="s">
        <v>144</v>
      </c>
      <c r="G62" s="17">
        <f>IF(D26="片側",MIN(E61,1.2),MIN(E61,1.4))</f>
        <v>1.2</v>
      </c>
    </row>
  </sheetData>
  <mergeCells count="40">
    <mergeCell ref="C13:E13"/>
    <mergeCell ref="C12:E12"/>
    <mergeCell ref="C18:E18"/>
    <mergeCell ref="C17:E17"/>
    <mergeCell ref="C16:E16"/>
    <mergeCell ref="C15:E15"/>
    <mergeCell ref="C14:E14"/>
    <mergeCell ref="G12:I12"/>
    <mergeCell ref="C22:E22"/>
    <mergeCell ref="C21:E21"/>
    <mergeCell ref="C20:E20"/>
    <mergeCell ref="C19:E19"/>
    <mergeCell ref="A1:P1"/>
    <mergeCell ref="B46:B47"/>
    <mergeCell ref="B37:B38"/>
    <mergeCell ref="G37:G38"/>
    <mergeCell ref="H53:H54"/>
    <mergeCell ref="B49:B50"/>
    <mergeCell ref="G18:I18"/>
    <mergeCell ref="G14:I14"/>
    <mergeCell ref="G15:I15"/>
    <mergeCell ref="G16:I16"/>
    <mergeCell ref="G19:I19"/>
    <mergeCell ref="G20:I20"/>
    <mergeCell ref="G21:I21"/>
    <mergeCell ref="G22:I22"/>
    <mergeCell ref="G17:I17"/>
    <mergeCell ref="G13:I13"/>
    <mergeCell ref="G56:G57"/>
    <mergeCell ref="E56:E57"/>
    <mergeCell ref="F56:F57"/>
    <mergeCell ref="I53:I54"/>
    <mergeCell ref="H46:H47"/>
    <mergeCell ref="E43:F43"/>
    <mergeCell ref="B43:C43"/>
    <mergeCell ref="H49:H50"/>
    <mergeCell ref="F53:F54"/>
    <mergeCell ref="F28:G28"/>
    <mergeCell ref="E42:F42"/>
    <mergeCell ref="G53:G54"/>
  </mergeCells>
  <phoneticPr fontId="8"/>
  <pageMargins left="0.75" right="0.75" top="1" bottom="1" header="0.5" footer="0.5"/>
  <pageSetup paperSize="9" scale="8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S梁剛度増大率</vt:lpstr>
      <vt:lpstr>S梁剛度増大率!Print_Area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菅沼田 直人</cp:lastModifiedBy>
  <dcterms:created xsi:type="dcterms:W3CDTF">2026-08-28T03:26:46Z</dcterms:created>
  <dcterms:modified xsi:type="dcterms:W3CDTF">2026-08-28T03:44:55Z</dcterms:modified>
</cp:coreProperties>
</file>