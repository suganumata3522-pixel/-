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データ入力" sheetId="2" state="visible" r:id="rId4"/>
    <sheet name="極値統計計算" sheetId="3" state="visible" r:id="rId5"/>
    <sheet name="結果" sheetId="4" state="visible" r:id="rId6"/>
    <sheet name="サンプルデータ" sheetId="5" state="visible" r:id="rId7"/>
  </sheets>
  <definedNames>
    <definedName function="false" hidden="false" localSheetId="4" name="_xlnm.Print_Area" vbProcedure="false">サンプルデータ!$A$1:$C$79</definedName>
    <definedName function="false" hidden="false" localSheetId="4" name="_xlnm.Print_Titles" vbProcedure="false">サンプルデータ!$4:$4</definedName>
    <definedName function="false" hidden="false" localSheetId="1" name="_xlnm.Print_Area" vbProcedure="false">データ入力!$A$1:$P$211</definedName>
    <definedName function="false" hidden="false" localSheetId="1" name="_xlnm.Print_Titles" vbProcedure="false">データ入力!$11:$11</definedName>
    <definedName function="false" hidden="false" localSheetId="0" name="_xlnm.Print_Area" vbProcedure="false">使い方!$A$1:$C$12</definedName>
    <definedName function="false" hidden="false" localSheetId="2" name="_xlnm.Print_Area" vbProcedure="false">極値統計計算!$A$1:$R$206</definedName>
    <definedName function="false" hidden="false" localSheetId="2" name="_xlnm.Print_Titles" vbProcedure="false">極値統計計算!$6:$6</definedName>
    <definedName function="false" hidden="false" localSheetId="3" name="_xlnm.Print_Area" vbProcedure="false">結果!$A$1:$R$45</definedName>
    <definedName function="false" hidden="false" name="年最高気温" vbProcedure="false">データ入力!$B$12:$B$211</definedName>
    <definedName function="false" hidden="false" name="年次" vbProcedure="false">データ入力!$A$12:$A$211</definedName>
    <definedName function="false" hidden="false" name="標本数" vbProcedure="false">データ入力!$B$8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10" authorId="0">
      <text>
        <r>
          <rPr>
            <sz val="10"/>
            <rFont val="WenQuanYi Zen Hei"/>
            <family val="2"/>
          </rPr>
          <t xml:space="preserve">回帰直線の傾き</t>
        </r>
        <r>
          <rPr>
            <sz val="10"/>
            <rFont val="Arial"/>
            <family val="2"/>
          </rPr>
          <t xml:space="preserve">×100</t>
        </r>
        <r>
          <rPr>
            <sz val="10"/>
            <rFont val="WenQuanYi Zen Hei"/>
            <family val="2"/>
          </rPr>
          <t xml:space="preserve">年。値が大きい（おおむね </t>
        </r>
        <r>
          <rPr>
            <sz val="10"/>
            <rFont val="Arial"/>
            <family val="2"/>
          </rPr>
          <t xml:space="preserve">+1℃/100</t>
        </r>
        <r>
          <rPr>
            <sz val="10"/>
            <rFont val="WenQuanYi Zen Hei"/>
            <family val="2"/>
          </rPr>
          <t xml:space="preserve">年 以上）場合、母集団が定常でない可能性があります。期間を直近</t>
        </r>
        <r>
          <rPr>
            <sz val="10"/>
            <rFont val="Arial"/>
            <family val="2"/>
          </rPr>
          <t xml:space="preserve">30</t>
        </r>
        <r>
          <rPr>
            <sz val="10"/>
            <rFont val="WenQuanYi Zen Hei"/>
            <family val="2"/>
          </rPr>
          <t xml:space="preserve">〜</t>
        </r>
        <r>
          <rPr>
            <sz val="10"/>
            <rFont val="Arial"/>
            <family val="2"/>
          </rPr>
          <t xml:space="preserve">50</t>
        </r>
        <r>
          <rPr>
            <sz val="10"/>
            <rFont val="WenQuanYi Zen Hei"/>
            <family val="2"/>
          </rPr>
          <t xml:space="preserve">年に絞ることを検討してください。</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6" authorId="0">
      <text>
        <r>
          <rPr>
            <sz val="10"/>
            <rFont val="WenQuanYi Zen Hei"/>
            <family val="2"/>
          </rPr>
          <t xml:space="preserve">同じ気温の年が複数あるときは最初に見つかった年を返します（参考表示）。計算には使っていません。</t>
        </r>
      </text>
    </comment>
    <comment ref="N11" authorId="0">
      <text>
        <r>
          <rPr>
            <sz val="10"/>
            <rFont val="WenQuanYi Zen Hei"/>
            <family val="2"/>
          </rPr>
          <t xml:space="preserve">確率プロット上の直線あてはまりの良さ。</t>
        </r>
        <r>
          <rPr>
            <sz val="10"/>
            <rFont val="Arial"/>
            <family val="2"/>
          </rPr>
          <t xml:space="preserve">1</t>
        </r>
        <r>
          <rPr>
            <sz val="10"/>
            <rFont val="WenQuanYi Zen Hei"/>
            <family val="2"/>
          </rPr>
          <t xml:space="preserve">に近いほど良い。目安として </t>
        </r>
        <r>
          <rPr>
            <sz val="10"/>
            <rFont val="Arial"/>
            <family val="2"/>
          </rPr>
          <t xml:space="preserve">0.98 </t>
        </r>
        <r>
          <rPr>
            <sz val="10"/>
            <rFont val="WenQuanYi Zen Hei"/>
            <family val="2"/>
          </rPr>
          <t xml:space="preserve">以上あれば実用的。</t>
        </r>
      </text>
    </comment>
    <comment ref="N15" authorId="0">
      <text>
        <r>
          <rPr>
            <sz val="10"/>
            <rFont val="WenQuanYi Zen Hei"/>
            <family val="2"/>
          </rPr>
          <t xml:space="preserve">オイラーの定数 </t>
        </r>
        <r>
          <rPr>
            <sz val="10"/>
            <rFont val="Arial"/>
            <family val="2"/>
          </rPr>
          <t xml:space="preserve">γ=0.5772 </t>
        </r>
        <r>
          <rPr>
            <sz val="10"/>
            <rFont val="WenQuanYi Zen Hei"/>
            <family val="2"/>
          </rPr>
          <t xml:space="preserve">を用いた積率推定。最小二乗法の結果と大きく食い違う場合は外れ値の混入を疑ってください。</t>
        </r>
      </text>
    </comment>
    <comment ref="N21" authorId="0">
      <text>
        <r>
          <rPr>
            <sz val="10"/>
            <rFont val="WenQuanYi Zen Hei"/>
            <family val="2"/>
          </rPr>
          <t xml:space="preserve">相関係数 </t>
        </r>
        <r>
          <rPr>
            <sz val="10"/>
            <rFont val="Arial"/>
            <family val="2"/>
          </rPr>
          <t xml:space="preserve">r </t>
        </r>
        <r>
          <rPr>
            <sz val="10"/>
            <rFont val="WenQuanYi Zen Hei"/>
            <family val="2"/>
          </rPr>
          <t xml:space="preserve">が最大となる </t>
        </r>
        <r>
          <rPr>
            <sz val="10"/>
            <rFont val="Arial"/>
            <family val="2"/>
          </rPr>
          <t xml:space="preserve">ω </t>
        </r>
        <r>
          <rPr>
            <sz val="10"/>
            <rFont val="WenQuanYi Zen Hei"/>
            <family val="2"/>
          </rPr>
          <t xml:space="preserve">を</t>
        </r>
        <r>
          <rPr>
            <sz val="10"/>
            <rFont val="Arial"/>
            <family val="2"/>
          </rPr>
          <t xml:space="preserve">2</t>
        </r>
        <r>
          <rPr>
            <sz val="10"/>
            <rFont val="WenQuanYi Zen Hei"/>
            <family val="2"/>
          </rPr>
          <t xml:space="preserve">段階のグリッド探索（</t>
        </r>
        <r>
          <rPr>
            <sz val="10"/>
            <rFont val="Arial"/>
            <family val="2"/>
          </rPr>
          <t xml:space="preserve">T</t>
        </r>
        <r>
          <rPr>
            <sz val="10"/>
            <rFont val="WenQuanYi Zen Hei"/>
            <family val="2"/>
          </rPr>
          <t xml:space="preserve">〜</t>
        </r>
        <r>
          <rPr>
            <sz val="10"/>
            <rFont val="Arial"/>
            <family val="2"/>
          </rPr>
          <t xml:space="preserve">AD</t>
        </r>
        <r>
          <rPr>
            <sz val="10"/>
            <rFont val="WenQuanYi Zen Hei"/>
            <family val="2"/>
          </rPr>
          <t xml:space="preserve">列）で決めています。気温の物理的な上限に相当する母数です。</t>
        </r>
      </text>
    </comment>
    <comment ref="R5" authorId="0">
      <text>
        <r>
          <rPr>
            <sz val="10"/>
            <rFont val="WenQuanYi Zen Hei"/>
            <family val="2"/>
          </rPr>
          <t xml:space="preserve">探索範囲は </t>
        </r>
        <r>
          <rPr>
            <sz val="10"/>
            <rFont val="Arial"/>
            <family val="2"/>
          </rPr>
          <t xml:space="preserve">ω_min </t>
        </r>
        <r>
          <rPr>
            <sz val="10"/>
            <rFont val="WenQuanYi Zen Hei"/>
            <family val="2"/>
          </rPr>
          <t xml:space="preserve">から </t>
        </r>
        <r>
          <rPr>
            <sz val="10"/>
            <rFont val="Arial"/>
            <family val="2"/>
          </rPr>
          <t xml:space="preserve">ω_min+Δ1×199 </t>
        </r>
        <r>
          <rPr>
            <sz val="10"/>
            <rFont val="WenQuanYi Zen Hei"/>
            <family val="2"/>
          </rPr>
          <t xml:space="preserve">まで。上限に張り付く場合は </t>
        </r>
        <r>
          <rPr>
            <sz val="10"/>
            <rFont val="Arial"/>
            <family val="2"/>
          </rPr>
          <t xml:space="preserve">Δ1 </t>
        </r>
        <r>
          <rPr>
            <sz val="10"/>
            <rFont val="WenQuanYi Zen Hei"/>
            <family val="2"/>
          </rPr>
          <t xml:space="preserve">を大きくしてください。</t>
        </r>
      </text>
    </comment>
    <comment ref="AH6" authorId="0">
      <text>
        <r>
          <rPr>
            <sz val="10"/>
            <rFont val="WenQuanYi Zen Hei"/>
            <family val="2"/>
          </rPr>
          <t xml:space="preserve">確率紙上でのワイブル</t>
        </r>
        <r>
          <rPr>
            <sz val="10"/>
            <rFont val="Arial"/>
            <family val="2"/>
          </rPr>
          <t xml:space="preserve">(</t>
        </r>
        <r>
          <rPr>
            <sz val="10"/>
            <rFont val="WenQuanYi Zen Hei"/>
            <family val="2"/>
          </rPr>
          <t xml:space="preserve">第</t>
        </r>
        <r>
          <rPr>
            <sz val="10"/>
            <rFont val="Arial"/>
            <family val="2"/>
          </rPr>
          <t xml:space="preserve">III</t>
        </r>
        <r>
          <rPr>
            <sz val="10"/>
            <rFont val="WenQuanYi Zen Hei"/>
            <family val="2"/>
          </rPr>
          <t xml:space="preserve">種</t>
        </r>
        <r>
          <rPr>
            <sz val="10"/>
            <rFont val="Arial"/>
            <family val="2"/>
          </rPr>
          <t xml:space="preserve">)</t>
        </r>
        <r>
          <rPr>
            <sz val="10"/>
            <rFont val="WenQuanYi Zen Hei"/>
            <family val="2"/>
          </rPr>
          <t xml:space="preserve">の式：</t>
        </r>
        <r>
          <rPr>
            <sz val="10"/>
            <rFont val="Arial"/>
            <family val="2"/>
          </rPr>
          <t xml:space="preserve">x = ω − a·exp(−u/k)</t>
        </r>
        <r>
          <rPr>
            <sz val="10"/>
            <rFont val="WenQuanYi Zen Hei"/>
            <family val="2"/>
          </rPr>
          <t xml:space="preserve">。</t>
        </r>
        <r>
          <rPr>
            <sz val="10"/>
            <rFont val="Arial"/>
            <family val="2"/>
          </rPr>
          <t xml:space="preserve">u = −ln(−ln F) </t>
        </r>
        <r>
          <rPr>
            <sz val="10"/>
            <rFont val="WenQuanYi Zen Hei"/>
            <family val="2"/>
          </rPr>
          <t xml:space="preserve">なので </t>
        </r>
        <r>
          <rPr>
            <sz val="10"/>
            <rFont val="Arial"/>
            <family val="2"/>
          </rPr>
          <t xml:space="preserve">(−ln F)^(1/k) = exp(−u/k) </t>
        </r>
        <r>
          <rPr>
            <sz val="10"/>
            <rFont val="WenQuanYi Zen Hei"/>
            <family val="2"/>
          </rPr>
          <t xml:space="preserve">となります。</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13" authorId="0">
      <text>
        <r>
          <rPr>
            <sz val="10"/>
            <rFont val="WenQuanYi Zen Hei"/>
            <family val="2"/>
          </rPr>
          <t xml:space="preserve">グンベル分布の再現期待値に対する近似</t>
        </r>
        <r>
          <rPr>
            <sz val="10"/>
            <rFont val="Arial"/>
            <family val="2"/>
          </rPr>
          <t xml:space="preserve">95%</t>
        </r>
        <r>
          <rPr>
            <sz val="10"/>
            <rFont val="WenQuanYi Zen Hei"/>
            <family val="2"/>
          </rPr>
          <t xml:space="preserve">信頼区間（</t>
        </r>
        <r>
          <rPr>
            <sz val="10"/>
            <rFont val="Arial"/>
            <family val="2"/>
          </rPr>
          <t xml:space="preserve">Kite</t>
        </r>
        <r>
          <rPr>
            <sz val="10"/>
            <rFont val="WenQuanYi Zen Hei"/>
            <family val="2"/>
          </rPr>
          <t xml:space="preserve">の式）。
</t>
        </r>
        <r>
          <rPr>
            <sz val="10"/>
            <rFont val="Arial"/>
            <family val="2"/>
          </rPr>
          <t xml:space="preserve">Var[x(T)] = (s²/n)(1 + 1.1396·K(T) + 1.1·K(T)²)</t>
        </r>
        <r>
          <rPr>
            <sz val="10"/>
            <rFont val="WenQuanYi Zen Hei"/>
            <family val="2"/>
          </rPr>
          <t xml:space="preserve">、</t>
        </r>
        <r>
          <rPr>
            <sz val="10"/>
            <rFont val="Arial"/>
            <family val="2"/>
          </rPr>
          <t xml:space="preserve">K(T)=(√6/π)(u(T)−0.5772)</t>
        </r>
        <r>
          <rPr>
            <sz val="10"/>
            <rFont val="WenQuanYi Zen Hei"/>
            <family val="2"/>
          </rPr>
          <t xml:space="preserve">。
標本誤差のみを表し、母集団の非定常性（温暖化）の不確かさは含みません。</t>
        </r>
      </text>
    </comment>
  </commentList>
</comments>
</file>

<file path=xl/sharedStrings.xml><?xml version="1.0" encoding="utf-8"?>
<sst xmlns="http://schemas.openxmlformats.org/spreadsheetml/2006/main" count="137" uniqueCount="124">
  <si>
    <r>
      <rPr>
        <b val="true"/>
        <sz val="16"/>
        <color rgb="FFFFFFFF"/>
        <rFont val="WenQuanYi Zen Hei"/>
        <family val="2"/>
      </rPr>
      <t xml:space="preserve">年最高外気温度の極値統計解析（再現期間</t>
    </r>
    <r>
      <rPr>
        <b val="true"/>
        <sz val="16"/>
        <color rgb="FFFFFFFF"/>
        <rFont val="Yu Gothic"/>
        <family val="0"/>
        <charset val="1"/>
      </rPr>
      <t xml:space="preserve">100</t>
    </r>
    <r>
      <rPr>
        <b val="true"/>
        <sz val="16"/>
        <color rgb="FFFFFFFF"/>
        <rFont val="WenQuanYi Zen Hei"/>
        <family val="2"/>
      </rPr>
      <t xml:space="preserve">年）　― 使い方 ―</t>
    </r>
  </si>
  <si>
    <t xml:space="preserve">目的</t>
  </si>
  <si>
    <r>
      <rPr>
        <sz val="10"/>
        <rFont val="WenQuanYi Zen Hei"/>
        <family val="2"/>
      </rPr>
      <t xml:space="preserve">気象庁が公開している「年最高気温」の観測記録に極値統計（ワイブル分布）をあてはめ、再現期間 </t>
    </r>
    <r>
      <rPr>
        <sz val="10"/>
        <rFont val="Yu Gothic"/>
        <family val="0"/>
        <charset val="1"/>
      </rPr>
      <t xml:space="preserve">100 </t>
    </r>
    <r>
      <rPr>
        <sz val="10"/>
        <rFont val="WenQuanYi Zen Hei"/>
        <family val="2"/>
      </rPr>
      <t xml:space="preserve">年に相当する年最高外気温度（</t>
    </r>
    <r>
      <rPr>
        <sz val="10"/>
        <rFont val="Yu Gothic"/>
        <family val="0"/>
        <charset val="1"/>
      </rPr>
      <t xml:space="preserve">100</t>
    </r>
    <r>
      <rPr>
        <sz val="10"/>
        <rFont val="WenQuanYi Zen Hei"/>
        <family val="2"/>
      </rPr>
      <t xml:space="preserve">年に</t>
    </r>
    <r>
      <rPr>
        <sz val="10"/>
        <rFont val="Yu Gothic"/>
        <family val="0"/>
        <charset val="1"/>
      </rPr>
      <t xml:space="preserve">1</t>
    </r>
    <r>
      <rPr>
        <sz val="10"/>
        <rFont val="WenQuanYi Zen Hei"/>
        <family val="2"/>
      </rPr>
      <t xml:space="preserve">回程度の確率で起こる猛暑の気温）を求めます。空調負荷計算・設備機器の耐熱設計・屋外構造物の温度応力検討などの設計用外気温度の設定に使います。</t>
    </r>
  </si>
  <si>
    <t xml:space="preserve">使う順序</t>
  </si>
  <si>
    <r>
      <rPr>
        <sz val="10"/>
        <rFont val="WenQuanYi Zen Hei"/>
        <family val="2"/>
      </rPr>
      <t xml:space="preserve">① 「データ入力」シートに 年 と 年最高気温</t>
    </r>
    <r>
      <rPr>
        <sz val="10"/>
        <rFont val="Yu Gothic"/>
        <family val="0"/>
        <charset val="1"/>
      </rPr>
      <t xml:space="preserve">(℃) </t>
    </r>
    <r>
      <rPr>
        <sz val="10"/>
        <rFont val="WenQuanYi Zen Hei"/>
        <family val="2"/>
      </rPr>
      <t xml:space="preserve">を貼り付ける
② 「結果」シートの上部に 再現期間</t>
    </r>
    <r>
      <rPr>
        <sz val="10"/>
        <rFont val="Yu Gothic"/>
        <family val="0"/>
        <charset val="1"/>
      </rPr>
      <t xml:space="preserve">100</t>
    </r>
    <r>
      <rPr>
        <sz val="10"/>
        <rFont val="WenQuanYi Zen Hei"/>
        <family val="2"/>
      </rPr>
      <t xml:space="preserve">年の年最高外気温度 が表示される
③ 「極値統計計算」シートで分布パラメータ・相関係数（あてはまりの良さ）を確認する
※ 数式はすべて生きています。データを入れ替えれば自動的に再計算されます。</t>
    </r>
  </si>
  <si>
    <t xml:space="preserve">気象庁データの取り方</t>
  </si>
  <si>
    <r>
      <rPr>
        <sz val="10"/>
        <rFont val="WenQuanYi Zen Hei"/>
        <family val="2"/>
      </rPr>
      <t xml:space="preserve">【方法</t>
    </r>
    <r>
      <rPr>
        <sz val="10"/>
        <rFont val="Yu Gothic"/>
        <family val="0"/>
        <charset val="1"/>
      </rPr>
      <t xml:space="preserve">A</t>
    </r>
    <r>
      <rPr>
        <sz val="10"/>
        <rFont val="WenQuanYi Zen Hei"/>
        <family val="2"/>
      </rPr>
      <t xml:space="preserve">：過去の気象データ検索（年ごとの値）】
  </t>
    </r>
    <r>
      <rPr>
        <sz val="10"/>
        <rFont val="Yu Gothic"/>
        <family val="0"/>
        <charset val="1"/>
      </rPr>
      <t xml:space="preserve">https://www.data.jma.go.jp/obd/stats/etrn/index.php
  → </t>
    </r>
    <r>
      <rPr>
        <sz val="10"/>
        <rFont val="WenQuanYi Zen Hei"/>
        <family val="2"/>
      </rPr>
      <t xml:space="preserve">地点を選ぶ → 「年ごとの値を表示」 → 表の『最高気温</t>
    </r>
    <r>
      <rPr>
        <sz val="10"/>
        <rFont val="Yu Gothic"/>
        <family val="0"/>
        <charset val="1"/>
      </rPr>
      <t xml:space="preserve">(℃)</t>
    </r>
    <r>
      <rPr>
        <sz val="10"/>
        <rFont val="WenQuanYi Zen Hei"/>
        <family val="2"/>
      </rPr>
      <t xml:space="preserve">／最高』の列が年最高気温です。
【方法</t>
    </r>
    <r>
      <rPr>
        <sz val="10"/>
        <rFont val="Yu Gothic"/>
        <family val="0"/>
        <charset val="1"/>
      </rPr>
      <t xml:space="preserve">B</t>
    </r>
    <r>
      <rPr>
        <sz val="10"/>
        <rFont val="WenQuanYi Zen Hei"/>
        <family val="2"/>
      </rPr>
      <t xml:space="preserve">：過去の気象データ・ダウンロード（</t>
    </r>
    <r>
      <rPr>
        <sz val="10"/>
        <rFont val="Yu Gothic"/>
        <family val="0"/>
        <charset val="1"/>
      </rPr>
      <t xml:space="preserve">CSV</t>
    </r>
    <r>
      <rPr>
        <sz val="10"/>
        <rFont val="WenQuanYi Zen Hei"/>
        <family val="2"/>
      </rPr>
      <t xml:space="preserve">）】
  </t>
    </r>
    <r>
      <rPr>
        <sz val="10"/>
        <rFont val="Yu Gothic"/>
        <family val="0"/>
        <charset val="1"/>
      </rPr>
      <t xml:space="preserve">https://www.data.jma.go.jp/risk/obsdl/index.php
  → </t>
    </r>
    <r>
      <rPr>
        <sz val="10"/>
        <rFont val="WenQuanYi Zen Hei"/>
        <family val="2"/>
      </rPr>
      <t xml:space="preserve">地点を選ぶ → 項目を選ぶ →『年別値』→『最高気温の最高』→ </t>
    </r>
    <r>
      <rPr>
        <sz val="10"/>
        <rFont val="Yu Gothic"/>
        <family val="0"/>
        <charset val="1"/>
      </rPr>
      <t xml:space="preserve">CSV</t>
    </r>
    <r>
      <rPr>
        <sz val="10"/>
        <rFont val="WenQuanYi Zen Hei"/>
        <family val="2"/>
      </rPr>
      <t xml:space="preserve">をダウンロード
  → </t>
    </r>
    <r>
      <rPr>
        <sz val="10"/>
        <rFont val="Yu Gothic"/>
        <family val="0"/>
        <charset val="1"/>
      </rPr>
      <t xml:space="preserve">CSV </t>
    </r>
    <r>
      <rPr>
        <sz val="10"/>
        <rFont val="WenQuanYi Zen Hei"/>
        <family val="2"/>
      </rPr>
      <t xml:space="preserve">は </t>
    </r>
    <r>
      <rPr>
        <sz val="10"/>
        <rFont val="Yu Gothic"/>
        <family val="0"/>
        <charset val="1"/>
      </rPr>
      <t xml:space="preserve">Shift_JIS</t>
    </r>
    <r>
      <rPr>
        <sz val="10"/>
        <rFont val="WenQuanYi Zen Hei"/>
        <family val="2"/>
      </rPr>
      <t xml:space="preserve">。</t>
    </r>
    <r>
      <rPr>
        <sz val="10"/>
        <rFont val="Yu Gothic"/>
        <family val="0"/>
        <charset val="1"/>
      </rPr>
      <t xml:space="preserve">Excel</t>
    </r>
    <r>
      <rPr>
        <sz val="10"/>
        <rFont val="WenQuanYi Zen Hei"/>
        <family val="2"/>
      </rPr>
      <t xml:space="preserve">で開き、年 と 気温 の</t>
    </r>
    <r>
      <rPr>
        <sz val="10"/>
        <rFont val="Yu Gothic"/>
        <family val="0"/>
        <charset val="1"/>
      </rPr>
      <t xml:space="preserve">2</t>
    </r>
    <r>
      <rPr>
        <sz val="10"/>
        <rFont val="WenQuanYi Zen Hei"/>
        <family val="2"/>
      </rPr>
      <t xml:space="preserve">列を「データ入力」に貼り付け。
※ </t>
    </r>
    <r>
      <rPr>
        <sz val="10"/>
        <rFont val="Yu Gothic"/>
        <family val="0"/>
        <charset val="1"/>
      </rPr>
      <t xml:space="preserve">CSV</t>
    </r>
    <r>
      <rPr>
        <sz val="10"/>
        <rFont val="WenQuanYi Zen Hei"/>
        <family val="2"/>
      </rPr>
      <t xml:space="preserve">には品質情報（均質番号・現象なし情報）の列が付きます。値が不完全な年は除いてください。</t>
    </r>
  </si>
  <si>
    <t xml:space="preserve">計算方法（本ブックの中身）</t>
  </si>
  <si>
    <r>
      <rPr>
        <sz val="10"/>
        <rFont val="WenQuanYi Zen Hei"/>
        <family val="2"/>
      </rPr>
      <t xml:space="preserve">① 標本を降順に並べ、順位 </t>
    </r>
    <r>
      <rPr>
        <sz val="10"/>
        <rFont val="Yu Gothic"/>
        <family val="0"/>
        <charset val="1"/>
      </rPr>
      <t xml:space="preserve">m </t>
    </r>
    <r>
      <rPr>
        <sz val="10"/>
        <rFont val="WenQuanYi Zen Hei"/>
        <family val="2"/>
      </rPr>
      <t xml:space="preserve">を付ける（</t>
    </r>
    <r>
      <rPr>
        <sz val="10"/>
        <rFont val="Yu Gothic"/>
        <family val="0"/>
        <charset val="1"/>
      </rPr>
      <t xml:space="preserve">m=1 </t>
    </r>
    <r>
      <rPr>
        <sz val="10"/>
        <rFont val="WenQuanYi Zen Hei"/>
        <family val="2"/>
      </rPr>
      <t xml:space="preserve">が最大値）
② 非超過確率 </t>
    </r>
    <r>
      <rPr>
        <sz val="10"/>
        <rFont val="Yu Gothic"/>
        <family val="0"/>
        <charset val="1"/>
      </rPr>
      <t xml:space="preserve">F </t>
    </r>
    <r>
      <rPr>
        <sz val="10"/>
        <rFont val="WenQuanYi Zen Hei"/>
        <family val="2"/>
      </rPr>
      <t xml:space="preserve">をワイブルのプロッティング・ポジション </t>
    </r>
    <r>
      <rPr>
        <sz val="10"/>
        <rFont val="Yu Gothic"/>
        <family val="0"/>
        <charset val="1"/>
      </rPr>
      <t xml:space="preserve">F = 1 − m/(n+1) </t>
    </r>
    <r>
      <rPr>
        <sz val="10"/>
        <rFont val="WenQuanYi Zen Hei"/>
        <family val="2"/>
      </rPr>
      <t xml:space="preserve">で与える
   （再現期間は </t>
    </r>
    <r>
      <rPr>
        <sz val="10"/>
        <rFont val="Yu Gothic"/>
        <family val="0"/>
        <charset val="1"/>
      </rPr>
      <t xml:space="preserve">T = 1/(1−F) = (n+1)/m</t>
    </r>
    <r>
      <rPr>
        <sz val="10"/>
        <rFont val="WenQuanYi Zen Hei"/>
        <family val="2"/>
      </rPr>
      <t xml:space="preserve">）
③ ワイブル分布（第</t>
    </r>
    <r>
      <rPr>
        <sz val="10"/>
        <rFont val="Yu Gothic"/>
        <family val="0"/>
        <charset val="1"/>
      </rPr>
      <t xml:space="preserve">III</t>
    </r>
    <r>
      <rPr>
        <sz val="10"/>
        <rFont val="WenQuanYi Zen Hei"/>
        <family val="2"/>
      </rPr>
      <t xml:space="preserve">種極値分布・上限型）を最小二乗であてはめる
   </t>
    </r>
    <r>
      <rPr>
        <sz val="10"/>
        <rFont val="Yu Gothic"/>
        <family val="0"/>
        <charset val="1"/>
      </rPr>
      <t xml:space="preserve">F(x) = exp[ −((ω−x)/a)^k ]</t>
    </r>
    <r>
      <rPr>
        <sz val="10"/>
        <rFont val="WenQuanYi Zen Hei"/>
        <family val="2"/>
      </rPr>
      <t xml:space="preserve">　　</t>
    </r>
    <r>
      <rPr>
        <sz val="10"/>
        <rFont val="Yu Gothic"/>
        <family val="0"/>
        <charset val="1"/>
      </rPr>
      <t xml:space="preserve">x ≦ ω
   ln(−ln F) = k·ln(ω−x) − k·ln a</t>
    </r>
    <r>
      <rPr>
        <sz val="10"/>
        <rFont val="WenQuanYi Zen Hei"/>
        <family val="2"/>
      </rPr>
      <t xml:space="preserve">　… </t>
    </r>
    <r>
      <rPr>
        <sz val="10"/>
        <rFont val="Yu Gothic"/>
        <family val="0"/>
        <charset val="1"/>
      </rPr>
      <t xml:space="preserve">ω </t>
    </r>
    <r>
      <rPr>
        <sz val="10"/>
        <rFont val="WenQuanYi Zen Hei"/>
        <family val="2"/>
      </rPr>
      <t xml:space="preserve">を仮定すると直線になる
   → </t>
    </r>
    <r>
      <rPr>
        <sz val="10"/>
        <rFont val="Yu Gothic"/>
        <family val="0"/>
        <charset val="1"/>
      </rPr>
      <t xml:space="preserve">ω </t>
    </r>
    <r>
      <rPr>
        <sz val="10"/>
        <rFont val="WenQuanYi Zen Hei"/>
        <family val="2"/>
      </rPr>
      <t xml:space="preserve">を</t>
    </r>
    <r>
      <rPr>
        <sz val="10"/>
        <rFont val="Yu Gothic"/>
        <family val="0"/>
        <charset val="1"/>
      </rPr>
      <t xml:space="preserve">2</t>
    </r>
    <r>
      <rPr>
        <sz val="10"/>
        <rFont val="WenQuanYi Zen Hei"/>
        <family val="2"/>
      </rPr>
      <t xml:space="preserve">段階のグリッド探索で振り、相関係数 </t>
    </r>
    <r>
      <rPr>
        <sz val="10"/>
        <rFont val="Yu Gothic"/>
        <family val="0"/>
        <charset val="1"/>
      </rPr>
      <t xml:space="preserve">r </t>
    </r>
    <r>
      <rPr>
        <sz val="10"/>
        <rFont val="WenQuanYi Zen Hei"/>
        <family val="2"/>
      </rPr>
      <t xml:space="preserve">が最大になる </t>
    </r>
    <r>
      <rPr>
        <sz val="10"/>
        <rFont val="Yu Gothic"/>
        <family val="0"/>
        <charset val="1"/>
      </rPr>
      <t xml:space="preserve">ω </t>
    </r>
    <r>
      <rPr>
        <sz val="10"/>
        <rFont val="WenQuanYi Zen Hei"/>
        <family val="2"/>
      </rPr>
      <t xml:space="preserve">を採用
   → 傾き </t>
    </r>
    <r>
      <rPr>
        <sz val="10"/>
        <rFont val="Yu Gothic"/>
        <family val="0"/>
        <charset val="1"/>
      </rPr>
      <t xml:space="preserve">k</t>
    </r>
    <r>
      <rPr>
        <sz val="10"/>
        <rFont val="WenQuanYi Zen Hei"/>
        <family val="2"/>
      </rPr>
      <t xml:space="preserve">（形状）と切片から </t>
    </r>
    <r>
      <rPr>
        <sz val="10"/>
        <rFont val="Yu Gothic"/>
        <family val="0"/>
        <charset val="1"/>
      </rPr>
      <t xml:space="preserve">a</t>
    </r>
    <r>
      <rPr>
        <sz val="10"/>
        <rFont val="WenQuanYi Zen Hei"/>
        <family val="2"/>
      </rPr>
      <t xml:space="preserve">（尺度）を決定
④ 再現期間 </t>
    </r>
    <r>
      <rPr>
        <sz val="10"/>
        <rFont val="Yu Gothic"/>
        <family val="0"/>
        <charset val="1"/>
      </rPr>
      <t xml:space="preserve">T </t>
    </r>
    <r>
      <rPr>
        <sz val="10"/>
        <rFont val="WenQuanYi Zen Hei"/>
        <family val="2"/>
      </rPr>
      <t xml:space="preserve">の値：　</t>
    </r>
    <r>
      <rPr>
        <sz val="10"/>
        <rFont val="Yu Gothic"/>
        <family val="0"/>
        <charset val="1"/>
      </rPr>
      <t xml:space="preserve">x(T) = ω − a·[ −ln(1 − 1/T) ]^(1/k)
⑤ </t>
    </r>
    <r>
      <rPr>
        <sz val="10"/>
        <rFont val="WenQuanYi Zen Hei"/>
        <family val="2"/>
      </rPr>
      <t xml:space="preserve">検証用に グンベル分布（第</t>
    </r>
    <r>
      <rPr>
        <sz val="10"/>
        <rFont val="Yu Gothic"/>
        <family val="0"/>
        <charset val="1"/>
      </rPr>
      <t xml:space="preserve">I</t>
    </r>
    <r>
      <rPr>
        <sz val="10"/>
        <rFont val="WenQuanYi Zen Hei"/>
        <family val="2"/>
      </rPr>
      <t xml:space="preserve">種極値分布）も併記
   </t>
    </r>
    <r>
      <rPr>
        <sz val="10"/>
        <rFont val="Yu Gothic"/>
        <family val="0"/>
        <charset val="1"/>
      </rPr>
      <t xml:space="preserve">F(x)=exp[−exp(−(x−β)/α)]</t>
    </r>
    <r>
      <rPr>
        <sz val="10"/>
        <rFont val="WenQuanYi Zen Hei"/>
        <family val="2"/>
      </rPr>
      <t xml:space="preserve">　</t>
    </r>
    <r>
      <rPr>
        <sz val="10"/>
        <rFont val="Yu Gothic"/>
        <family val="0"/>
        <charset val="1"/>
      </rPr>
      <t xml:space="preserve">x(T) = β + α·[ −ln(−ln(1−1/T)) ]</t>
    </r>
  </si>
  <si>
    <r>
      <rPr>
        <b val="true"/>
        <sz val="11"/>
        <color rgb="FF1F3864"/>
        <rFont val="WenQuanYi Zen Hei"/>
        <family val="2"/>
      </rPr>
      <t xml:space="preserve">なぜワイブル（第</t>
    </r>
    <r>
      <rPr>
        <b val="true"/>
        <sz val="11"/>
        <color rgb="FF1F3864"/>
        <rFont val="Yu Gothic"/>
        <family val="0"/>
        <charset val="1"/>
      </rPr>
      <t xml:space="preserve">III</t>
    </r>
    <r>
      <rPr>
        <b val="true"/>
        <sz val="11"/>
        <color rgb="FF1F3864"/>
        <rFont val="WenQuanYi Zen Hei"/>
        <family val="2"/>
      </rPr>
      <t xml:space="preserve">種）か</t>
    </r>
  </si>
  <si>
    <r>
      <rPr>
        <sz val="10"/>
        <rFont val="WenQuanYi Zen Hei"/>
        <family val="2"/>
      </rPr>
      <t xml:space="preserve">気温には物理的な上限が存在すると考えられるため、上に有界な第</t>
    </r>
    <r>
      <rPr>
        <sz val="10"/>
        <rFont val="Yu Gothic"/>
        <family val="0"/>
        <charset val="1"/>
      </rPr>
      <t xml:space="preserve">III</t>
    </r>
    <r>
      <rPr>
        <sz val="10"/>
        <rFont val="WenQuanYi Zen Hei"/>
        <family val="2"/>
      </rPr>
      <t xml:space="preserve">種極値分布（逆ワイブル分布）は年最高気温に適した形をしています。
形状母数 </t>
    </r>
    <r>
      <rPr>
        <sz val="10"/>
        <rFont val="Yu Gothic"/>
        <family val="0"/>
        <charset val="1"/>
      </rPr>
      <t xml:space="preserve">k </t>
    </r>
    <r>
      <rPr>
        <sz val="10"/>
        <rFont val="WenQuanYi Zen Hei"/>
        <family val="2"/>
      </rPr>
      <t xml:space="preserve">が大きく、</t>
    </r>
    <r>
      <rPr>
        <sz val="10"/>
        <rFont val="Yu Gothic"/>
        <family val="0"/>
        <charset val="1"/>
      </rPr>
      <t xml:space="preserve">ω </t>
    </r>
    <r>
      <rPr>
        <sz val="10"/>
        <rFont val="WenQuanYi Zen Hei"/>
        <family val="2"/>
      </rPr>
      <t xml:space="preserve">が標本最大値からかけ離れて大きくなる場合、分布はグンベル分布（</t>
    </r>
    <r>
      <rPr>
        <sz val="10"/>
        <rFont val="Yu Gothic"/>
        <family val="0"/>
        <charset val="1"/>
      </rPr>
      <t xml:space="preserve">k→∞ </t>
    </r>
    <r>
      <rPr>
        <sz val="10"/>
        <rFont val="WenQuanYi Zen Hei"/>
        <family val="2"/>
      </rPr>
      <t xml:space="preserve">の極限）に漸近しています。その場合はグンベルの値を採用してください。「極値統計計算」シートに自動判定を表示します。</t>
    </r>
  </si>
  <si>
    <t xml:space="preserve">結果を使うときの注意</t>
  </si>
  <si>
    <r>
      <rPr>
        <sz val="10"/>
        <rFont val="WenQuanYi Zen Hei"/>
        <family val="2"/>
      </rPr>
      <t xml:space="preserve">・標本数 </t>
    </r>
    <r>
      <rPr>
        <sz val="10"/>
        <rFont val="Yu Gothic"/>
        <family val="0"/>
        <charset val="1"/>
      </rPr>
      <t xml:space="preserve">n</t>
    </r>
    <r>
      <rPr>
        <sz val="10"/>
        <rFont val="WenQuanYi Zen Hei"/>
        <family val="2"/>
      </rPr>
      <t xml:space="preserve">：</t>
    </r>
    <r>
      <rPr>
        <sz val="10"/>
        <rFont val="Yu Gothic"/>
        <family val="0"/>
        <charset val="1"/>
      </rPr>
      <t xml:space="preserve">n≧30</t>
    </r>
    <r>
      <rPr>
        <sz val="10"/>
        <rFont val="WenQuanYi Zen Hei"/>
        <family val="2"/>
      </rPr>
      <t xml:space="preserve">、できれば </t>
    </r>
    <r>
      <rPr>
        <sz val="10"/>
        <rFont val="Yu Gothic"/>
        <family val="0"/>
        <charset val="1"/>
      </rPr>
      <t xml:space="preserve">n≧50 </t>
    </r>
    <r>
      <rPr>
        <sz val="10"/>
        <rFont val="WenQuanYi Zen Hei"/>
        <family val="2"/>
      </rPr>
      <t xml:space="preserve">を推奨します。</t>
    </r>
    <r>
      <rPr>
        <sz val="10"/>
        <rFont val="Yu Gothic"/>
        <family val="0"/>
        <charset val="1"/>
      </rPr>
      <t xml:space="preserve">n </t>
    </r>
    <r>
      <rPr>
        <sz val="10"/>
        <rFont val="WenQuanYi Zen Hei"/>
        <family val="2"/>
      </rPr>
      <t xml:space="preserve">が小さいまま </t>
    </r>
    <r>
      <rPr>
        <sz val="10"/>
        <rFont val="Yu Gothic"/>
        <family val="0"/>
        <charset val="1"/>
      </rPr>
      <t xml:space="preserve">100 </t>
    </r>
    <r>
      <rPr>
        <sz val="10"/>
        <rFont val="WenQuanYi Zen Hei"/>
        <family val="2"/>
      </rPr>
      <t xml:space="preserve">年を外挿すると誤差が大きくなります（「結果」シートに </t>
    </r>
    <r>
      <rPr>
        <sz val="10"/>
        <rFont val="Yu Gothic"/>
        <family val="0"/>
        <charset val="1"/>
      </rPr>
      <t xml:space="preserve">95%</t>
    </r>
    <r>
      <rPr>
        <sz val="10"/>
        <rFont val="WenQuanYi Zen Hei"/>
        <family val="2"/>
      </rPr>
      <t xml:space="preserve">信頼区間の目安を表示）。
・温暖化トレンド：極値統計は「母集団が変わらない（定常）」ことを前提にします。昇温トレンドがある地点では過去の長期データをそのまま使うと過小評価になります。直近</t>
    </r>
    <r>
      <rPr>
        <sz val="10"/>
        <rFont val="Yu Gothic"/>
        <family val="0"/>
        <charset val="1"/>
      </rPr>
      <t xml:space="preserve">30</t>
    </r>
    <r>
      <rPr>
        <sz val="10"/>
        <rFont val="WenQuanYi Zen Hei"/>
        <family val="2"/>
      </rPr>
      <t xml:space="preserve">〜</t>
    </r>
    <r>
      <rPr>
        <sz val="10"/>
        <rFont val="Yu Gothic"/>
        <family val="0"/>
        <charset val="1"/>
      </rPr>
      <t xml:space="preserve">50</t>
    </r>
    <r>
      <rPr>
        <sz val="10"/>
        <rFont val="WenQuanYi Zen Hei"/>
        <family val="2"/>
      </rPr>
      <t xml:space="preserve">年に期間を絞る、あるいはトレンド補正した値を入力してください。（「データ入力」シートに経年変化グラフと回帰トレンドを表示します）
・観測所の移転・周辺環境の変化（都市化・ヒートアイランド）があると系列が不連続になります。気象庁の観測所メタデータで移転履歴を確認してください。
・ここで求まるのは「観測露場の気温」です。建物周辺の実効的な外気温は日射・輻射・排熱の影響で数℃高くなることがあります。設計値には別途割増しを検討してください。
・空調設計では </t>
    </r>
    <r>
      <rPr>
        <sz val="10"/>
        <rFont val="Yu Gothic"/>
        <family val="0"/>
        <charset val="1"/>
      </rPr>
      <t xml:space="preserve">TAC </t>
    </r>
    <r>
      <rPr>
        <sz val="10"/>
        <rFont val="WenQuanYi Zen Hei"/>
        <family val="2"/>
      </rPr>
      <t xml:space="preserve">温度（超過確率を許容する設計外気温）など別の考え方もあります。用途に応じて使い分けてください。</t>
    </r>
  </si>
  <si>
    <t xml:space="preserve">シート構成</t>
  </si>
  <si>
    <r>
      <rPr>
        <sz val="10"/>
        <rFont val="WenQuanYi Zen Hei"/>
        <family val="2"/>
      </rPr>
      <t xml:space="preserve">使い方　　　　… このシート
データ入力　　… 年 と 年最高気温を入れる（黄色いセルが入力欄）
極値統計計算　… 順位統計・確率プロット・</t>
    </r>
    <r>
      <rPr>
        <sz val="10"/>
        <rFont val="Yu Gothic"/>
        <family val="0"/>
        <charset val="1"/>
      </rPr>
      <t xml:space="preserve">ω</t>
    </r>
    <r>
      <rPr>
        <sz val="10"/>
        <rFont val="WenQuanYi Zen Hei"/>
        <family val="2"/>
      </rPr>
      <t xml:space="preserve">探索・分布母数の算出（通常は触らない）
結果　　　　　… 再現期間表・確率プロット・再現期間曲線
サンプルデータ… 動作確認用のダミー標本の控え（実測値ではありません）</t>
    </r>
  </si>
  <si>
    <t xml:space="preserve">記号</t>
  </si>
  <si>
    <r>
      <rPr>
        <sz val="10"/>
        <rFont val="Yu Gothic"/>
        <family val="0"/>
        <charset val="1"/>
      </rPr>
      <t xml:space="preserve">n</t>
    </r>
    <r>
      <rPr>
        <sz val="10"/>
        <rFont val="WenQuanYi Zen Hei"/>
        <family val="2"/>
      </rPr>
      <t xml:space="preserve">：標本数（年数）　</t>
    </r>
    <r>
      <rPr>
        <sz val="10"/>
        <rFont val="Yu Gothic"/>
        <family val="0"/>
        <charset val="1"/>
      </rPr>
      <t xml:space="preserve">m</t>
    </r>
    <r>
      <rPr>
        <sz val="10"/>
        <rFont val="WenQuanYi Zen Hei"/>
        <family val="2"/>
      </rPr>
      <t xml:space="preserve">：降順順位　</t>
    </r>
    <r>
      <rPr>
        <sz val="10"/>
        <rFont val="Yu Gothic"/>
        <family val="0"/>
        <charset val="1"/>
      </rPr>
      <t xml:space="preserve">x(m)</t>
    </r>
    <r>
      <rPr>
        <sz val="10"/>
        <rFont val="WenQuanYi Zen Hei"/>
        <family val="2"/>
      </rPr>
      <t xml:space="preserve">：</t>
    </r>
    <r>
      <rPr>
        <sz val="10"/>
        <rFont val="Yu Gothic"/>
        <family val="0"/>
        <charset val="1"/>
      </rPr>
      <t xml:space="preserve">m</t>
    </r>
    <r>
      <rPr>
        <sz val="10"/>
        <rFont val="WenQuanYi Zen Hei"/>
        <family val="2"/>
      </rPr>
      <t xml:space="preserve">番目に大きい年最高気温
</t>
    </r>
    <r>
      <rPr>
        <sz val="10"/>
        <rFont val="Yu Gothic"/>
        <family val="0"/>
        <charset val="1"/>
      </rPr>
      <t xml:space="preserve">F</t>
    </r>
    <r>
      <rPr>
        <sz val="10"/>
        <rFont val="WenQuanYi Zen Hei"/>
        <family val="2"/>
      </rPr>
      <t xml:space="preserve">：非超過確率　</t>
    </r>
    <r>
      <rPr>
        <sz val="10"/>
        <rFont val="Yu Gothic"/>
        <family val="0"/>
        <charset val="1"/>
      </rPr>
      <t xml:space="preserve">T</t>
    </r>
    <r>
      <rPr>
        <sz val="10"/>
        <rFont val="WenQuanYi Zen Hei"/>
        <family val="2"/>
      </rPr>
      <t xml:space="preserve">：再現期間</t>
    </r>
    <r>
      <rPr>
        <sz val="10"/>
        <rFont val="Yu Gothic"/>
        <family val="0"/>
        <charset val="1"/>
      </rPr>
      <t xml:space="preserve">(</t>
    </r>
    <r>
      <rPr>
        <sz val="10"/>
        <rFont val="WenQuanYi Zen Hei"/>
        <family val="2"/>
      </rPr>
      <t xml:space="preserve">年</t>
    </r>
    <r>
      <rPr>
        <sz val="10"/>
        <rFont val="Yu Gothic"/>
        <family val="0"/>
        <charset val="1"/>
      </rPr>
      <t xml:space="preserve">)</t>
    </r>
    <r>
      <rPr>
        <sz val="10"/>
        <rFont val="WenQuanYi Zen Hei"/>
        <family val="2"/>
      </rPr>
      <t xml:space="preserve">　</t>
    </r>
    <r>
      <rPr>
        <sz val="10"/>
        <rFont val="Yu Gothic"/>
        <family val="0"/>
        <charset val="1"/>
      </rPr>
      <t xml:space="preserve">ω</t>
    </r>
    <r>
      <rPr>
        <sz val="10"/>
        <rFont val="WenQuanYi Zen Hei"/>
        <family val="2"/>
      </rPr>
      <t xml:space="preserve">：上限母数</t>
    </r>
    <r>
      <rPr>
        <sz val="10"/>
        <rFont val="Yu Gothic"/>
        <family val="0"/>
        <charset val="1"/>
      </rPr>
      <t xml:space="preserve">(℃)</t>
    </r>
    <r>
      <rPr>
        <sz val="10"/>
        <rFont val="WenQuanYi Zen Hei"/>
        <family val="2"/>
      </rPr>
      <t xml:space="preserve">　</t>
    </r>
    <r>
      <rPr>
        <sz val="10"/>
        <rFont val="Yu Gothic"/>
        <family val="0"/>
        <charset val="1"/>
      </rPr>
      <t xml:space="preserve">a</t>
    </r>
    <r>
      <rPr>
        <sz val="10"/>
        <rFont val="WenQuanYi Zen Hei"/>
        <family val="2"/>
      </rPr>
      <t xml:space="preserve">：尺度母数</t>
    </r>
    <r>
      <rPr>
        <sz val="10"/>
        <rFont val="Yu Gothic"/>
        <family val="0"/>
        <charset val="1"/>
      </rPr>
      <t xml:space="preserve">(℃)</t>
    </r>
    <r>
      <rPr>
        <sz val="10"/>
        <rFont val="WenQuanYi Zen Hei"/>
        <family val="2"/>
      </rPr>
      <t xml:space="preserve">　</t>
    </r>
    <r>
      <rPr>
        <sz val="10"/>
        <rFont val="Yu Gothic"/>
        <family val="0"/>
        <charset val="1"/>
      </rPr>
      <t xml:space="preserve">k</t>
    </r>
    <r>
      <rPr>
        <sz val="10"/>
        <rFont val="WenQuanYi Zen Hei"/>
        <family val="2"/>
      </rPr>
      <t xml:space="preserve">：形状母数
</t>
    </r>
    <r>
      <rPr>
        <sz val="10"/>
        <rFont val="Yu Gothic"/>
        <family val="0"/>
        <charset val="1"/>
      </rPr>
      <t xml:space="preserve">α</t>
    </r>
    <r>
      <rPr>
        <sz val="10"/>
        <rFont val="WenQuanYi Zen Hei"/>
        <family val="2"/>
      </rPr>
      <t xml:space="preserve">：グンベル尺度母数</t>
    </r>
    <r>
      <rPr>
        <sz val="10"/>
        <rFont val="Yu Gothic"/>
        <family val="0"/>
        <charset val="1"/>
      </rPr>
      <t xml:space="preserve">(℃)</t>
    </r>
    <r>
      <rPr>
        <sz val="10"/>
        <rFont val="WenQuanYi Zen Hei"/>
        <family val="2"/>
      </rPr>
      <t xml:space="preserve">　</t>
    </r>
    <r>
      <rPr>
        <sz val="10"/>
        <rFont val="Yu Gothic"/>
        <family val="0"/>
        <charset val="1"/>
      </rPr>
      <t xml:space="preserve">β</t>
    </r>
    <r>
      <rPr>
        <sz val="10"/>
        <rFont val="WenQuanYi Zen Hei"/>
        <family val="2"/>
      </rPr>
      <t xml:space="preserve">：グンベル位置母数</t>
    </r>
    <r>
      <rPr>
        <sz val="10"/>
        <rFont val="Yu Gothic"/>
        <family val="0"/>
        <charset val="1"/>
      </rPr>
      <t xml:space="preserve">(℃)</t>
    </r>
    <r>
      <rPr>
        <sz val="10"/>
        <rFont val="WenQuanYi Zen Hei"/>
        <family val="2"/>
      </rPr>
      <t xml:space="preserve">　</t>
    </r>
    <r>
      <rPr>
        <sz val="10"/>
        <rFont val="Yu Gothic"/>
        <family val="0"/>
        <charset val="1"/>
      </rPr>
      <t xml:space="preserve">r</t>
    </r>
    <r>
      <rPr>
        <sz val="10"/>
        <rFont val="WenQuanYi Zen Hei"/>
        <family val="2"/>
      </rPr>
      <t xml:space="preserve">：確率プロット上の相関係数</t>
    </r>
  </si>
  <si>
    <t xml:space="preserve">重要</t>
  </si>
  <si>
    <t xml:space="preserve">出荷時の「データ入力」シートには動作確認用のダミー値が入っています。気象庁の実測値に必ず置き換えてください。ダミーのままの結果は設計に使えません。</t>
  </si>
  <si>
    <t xml:space="preserve">データ入力　― 気象庁の年最高気温を貼り付けてください ―</t>
  </si>
  <si>
    <r>
      <rPr>
        <b val="true"/>
        <sz val="10"/>
        <color rgb="FFC00000"/>
        <rFont val="WenQuanYi Zen Hei"/>
        <family val="2"/>
      </rPr>
      <t xml:space="preserve">⚠ 現在入っている値は動作確認用のダミーです。気象庁の実測値に置き換えてください（黄色いセルが入力欄）。行が足りない場合は </t>
    </r>
    <r>
      <rPr>
        <b val="true"/>
        <sz val="10"/>
        <color rgb="FFC00000"/>
        <rFont val="Yu Gothic"/>
        <family val="0"/>
        <charset val="1"/>
      </rPr>
      <t xml:space="preserve">211 </t>
    </r>
    <r>
      <rPr>
        <b val="true"/>
        <sz val="10"/>
        <color rgb="FFC00000"/>
        <rFont val="WenQuanYi Zen Hei"/>
        <family val="2"/>
      </rPr>
      <t xml:space="preserve">行目までのどこかに追記してください。</t>
    </r>
  </si>
  <si>
    <t xml:space="preserve">標本統計量（自動計算）</t>
  </si>
  <si>
    <t xml:space="preserve">観測地点名</t>
  </si>
  <si>
    <t xml:space="preserve">（ダミー）東京 相当</t>
  </si>
  <si>
    <r>
      <rPr>
        <sz val="10"/>
        <rFont val="WenQuanYi Zen Hei"/>
        <family val="2"/>
      </rPr>
      <t xml:space="preserve">平均 </t>
    </r>
    <r>
      <rPr>
        <sz val="10"/>
        <rFont val="Yu Gothic"/>
        <family val="0"/>
        <charset val="1"/>
      </rPr>
      <t xml:space="preserve">(℃)</t>
    </r>
  </si>
  <si>
    <t xml:space="preserve">観測所番号</t>
  </si>
  <si>
    <r>
      <rPr>
        <sz val="10"/>
        <color rgb="FF0000FF"/>
        <rFont val="WenQuanYi Zen Hei"/>
        <family val="2"/>
      </rPr>
      <t xml:space="preserve">（ダミー）</t>
    </r>
    <r>
      <rPr>
        <sz val="10"/>
        <color rgb="FF0000FF"/>
        <rFont val="Yu Gothic"/>
        <family val="0"/>
        <charset val="1"/>
      </rPr>
      <t xml:space="preserve">47662 </t>
    </r>
    <r>
      <rPr>
        <sz val="10"/>
        <color rgb="FF0000FF"/>
        <rFont val="WenQuanYi Zen Hei"/>
        <family val="2"/>
      </rPr>
      <t xml:space="preserve">相当</t>
    </r>
  </si>
  <si>
    <r>
      <rPr>
        <sz val="10"/>
        <rFont val="WenQuanYi Zen Hei"/>
        <family val="2"/>
      </rPr>
      <t xml:space="preserve">標準偏差 </t>
    </r>
    <r>
      <rPr>
        <sz val="10"/>
        <rFont val="Yu Gothic"/>
        <family val="0"/>
        <charset val="1"/>
      </rPr>
      <t xml:space="preserve">(℃)</t>
    </r>
  </si>
  <si>
    <t xml:space="preserve">データ出典</t>
  </si>
  <si>
    <t xml:space="preserve">※ダミーデータ／実データは気象庁 過去の気象データ検索に置換</t>
  </si>
  <si>
    <r>
      <rPr>
        <sz val="10"/>
        <rFont val="WenQuanYi Zen Hei"/>
        <family val="2"/>
      </rPr>
      <t xml:space="preserve">最大 </t>
    </r>
    <r>
      <rPr>
        <sz val="10"/>
        <rFont val="Yu Gothic"/>
        <family val="0"/>
        <charset val="1"/>
      </rPr>
      <t xml:space="preserve">(℃)</t>
    </r>
  </si>
  <si>
    <t xml:space="preserve">統計期間</t>
  </si>
  <si>
    <t xml:space="preserve">最大値の年</t>
  </si>
  <si>
    <r>
      <rPr>
        <b val="true"/>
        <sz val="10"/>
        <rFont val="WenQuanYi Zen Hei"/>
        <family val="2"/>
      </rPr>
      <t xml:space="preserve">標本数 </t>
    </r>
    <r>
      <rPr>
        <b val="true"/>
        <sz val="10"/>
        <rFont val="Yu Gothic"/>
        <family val="0"/>
        <charset val="1"/>
      </rPr>
      <t xml:space="preserve">n</t>
    </r>
  </si>
  <si>
    <t xml:space="preserve">← 年最高気温が入力されている年数（自動）</t>
  </si>
  <si>
    <r>
      <rPr>
        <sz val="10"/>
        <rFont val="WenQuanYi Zen Hei"/>
        <family val="2"/>
      </rPr>
      <t xml:space="preserve">最小 </t>
    </r>
    <r>
      <rPr>
        <sz val="10"/>
        <rFont val="Yu Gothic"/>
        <family val="0"/>
        <charset val="1"/>
      </rPr>
      <t xml:space="preserve">(℃)</t>
    </r>
  </si>
  <si>
    <t xml:space="preserve">標本数の判定</t>
  </si>
  <si>
    <r>
      <rPr>
        <sz val="10"/>
        <rFont val="WenQuanYi Zen Hei"/>
        <family val="2"/>
      </rPr>
      <t xml:space="preserve">トレンド </t>
    </r>
    <r>
      <rPr>
        <sz val="10"/>
        <rFont val="Yu Gothic"/>
        <family val="0"/>
        <charset val="1"/>
      </rPr>
      <t xml:space="preserve">(℃/</t>
    </r>
    <r>
      <rPr>
        <sz val="10"/>
        <rFont val="WenQuanYi Zen Hei"/>
        <family val="2"/>
      </rPr>
      <t xml:space="preserve">年</t>
    </r>
    <r>
      <rPr>
        <sz val="10"/>
        <rFont val="Yu Gothic"/>
        <family val="0"/>
        <charset val="1"/>
      </rPr>
      <t xml:space="preserve">)</t>
    </r>
  </si>
  <si>
    <r>
      <rPr>
        <sz val="10"/>
        <rFont val="Yu Gothic"/>
        <family val="0"/>
        <charset val="1"/>
      </rPr>
      <t xml:space="preserve">100</t>
    </r>
    <r>
      <rPr>
        <sz val="10"/>
        <rFont val="WenQuanYi Zen Hei"/>
        <family val="2"/>
      </rPr>
      <t xml:space="preserve">年あたり </t>
    </r>
    <r>
      <rPr>
        <sz val="10"/>
        <rFont val="Yu Gothic"/>
        <family val="0"/>
        <charset val="1"/>
      </rPr>
      <t xml:space="preserve">(℃)</t>
    </r>
  </si>
  <si>
    <t xml:space="preserve">年</t>
  </si>
  <si>
    <r>
      <rPr>
        <b val="true"/>
        <sz val="11"/>
        <color rgb="FFFFFFFF"/>
        <rFont val="WenQuanYi Zen Hei"/>
        <family val="2"/>
      </rPr>
      <t xml:space="preserve">年最高気温 </t>
    </r>
    <r>
      <rPr>
        <b val="true"/>
        <sz val="11"/>
        <color rgb="FFFFFFFF"/>
        <rFont val="Yu Gothic"/>
        <family val="0"/>
        <charset val="1"/>
      </rPr>
      <t xml:space="preserve">(℃)</t>
    </r>
  </si>
  <si>
    <t xml:space="preserve">備考</t>
  </si>
  <si>
    <r>
      <rPr>
        <sz val="9"/>
        <color rgb="FF595959"/>
        <rFont val="WenQuanYi Zen Hei"/>
        <family val="2"/>
      </rPr>
      <t xml:space="preserve">※ グラフの縦軸が </t>
    </r>
    <r>
      <rPr>
        <sz val="9"/>
        <color rgb="FF595959"/>
        <rFont val="Yu Gothic"/>
        <family val="0"/>
        <charset val="1"/>
      </rPr>
      <t xml:space="preserve">0 </t>
    </r>
    <r>
      <rPr>
        <sz val="9"/>
        <color rgb="FF595959"/>
        <rFont val="WenQuanYi Zen Hei"/>
        <family val="2"/>
      </rPr>
      <t xml:space="preserve">から始まる場合は、縦軸を右クリック →［軸の書式設定］で最小値を調整してください。</t>
    </r>
  </si>
  <si>
    <t xml:space="preserve">ダミー</t>
  </si>
  <si>
    <t xml:space="preserve">極値統計計算（順位統計・確率プロット・分布母数の推定）</t>
  </si>
  <si>
    <r>
      <rPr>
        <sz val="9"/>
        <color rgb="FF595959"/>
        <rFont val="WenQuanYi Zen Hei"/>
        <family val="2"/>
      </rPr>
      <t xml:space="preserve">このシートは自動計算です。通常は編集しないでください。灰色の列（</t>
    </r>
    <r>
      <rPr>
        <sz val="9"/>
        <color rgb="FF595959"/>
        <rFont val="Yu Gothic"/>
        <family val="0"/>
        <charset val="1"/>
      </rPr>
      <t xml:space="preserve">T</t>
    </r>
    <r>
      <rPr>
        <sz val="9"/>
        <color rgb="FF595959"/>
        <rFont val="WenQuanYi Zen Hei"/>
        <family val="2"/>
      </rPr>
      <t xml:space="preserve">〜</t>
    </r>
    <r>
      <rPr>
        <sz val="9"/>
        <color rgb="FF595959"/>
        <rFont val="Yu Gothic"/>
        <family val="0"/>
        <charset val="1"/>
      </rPr>
      <t xml:space="preserve">AD</t>
    </r>
    <r>
      <rPr>
        <sz val="9"/>
        <color rgb="FF595959"/>
        <rFont val="WenQuanYi Zen Hei"/>
        <family val="2"/>
      </rPr>
      <t xml:space="preserve">）は上限母数 </t>
    </r>
    <r>
      <rPr>
        <sz val="9"/>
        <color rgb="FF595959"/>
        <rFont val="Yu Gothic"/>
        <family val="0"/>
        <charset val="1"/>
      </rPr>
      <t xml:space="preserve">ω </t>
    </r>
    <r>
      <rPr>
        <sz val="9"/>
        <color rgb="FF595959"/>
        <rFont val="WenQuanYi Zen Hei"/>
        <family val="2"/>
      </rPr>
      <t xml:space="preserve">を探索するための作業領域です。</t>
    </r>
  </si>
  <si>
    <t xml:space="preserve">【順位統計表】降順に並べ替え、ワイブルのプロッティング・ポジションを与える</t>
  </si>
  <si>
    <r>
      <rPr>
        <b val="true"/>
        <sz val="11"/>
        <color rgb="FF1F3864"/>
        <rFont val="WenQuanYi Zen Hei"/>
        <family val="2"/>
      </rPr>
      <t xml:space="preserve">【</t>
    </r>
    <r>
      <rPr>
        <b val="true"/>
        <sz val="11"/>
        <color rgb="FF1F3864"/>
        <rFont val="Yu Gothic"/>
        <family val="0"/>
        <charset val="1"/>
      </rPr>
      <t xml:space="preserve">1</t>
    </r>
    <r>
      <rPr>
        <b val="true"/>
        <sz val="11"/>
        <color rgb="FF1F3864"/>
        <rFont val="WenQuanYi Zen Hei"/>
        <family val="2"/>
      </rPr>
      <t xml:space="preserve">】グンベル分布（第</t>
    </r>
    <r>
      <rPr>
        <b val="true"/>
        <sz val="11"/>
        <color rgb="FF1F3864"/>
        <rFont val="Yu Gothic"/>
        <family val="0"/>
        <charset val="1"/>
      </rPr>
      <t xml:space="preserve">I</t>
    </r>
    <r>
      <rPr>
        <b val="true"/>
        <sz val="11"/>
        <color rgb="FF1F3864"/>
        <rFont val="WenQuanYi Zen Hei"/>
        <family val="2"/>
      </rPr>
      <t xml:space="preserve">種極値分布）― 確率プロット最小二乗法</t>
    </r>
  </si>
  <si>
    <r>
      <rPr>
        <b val="true"/>
        <sz val="11"/>
        <color rgb="FF1F3864"/>
        <rFont val="WenQuanYi Zen Hei"/>
        <family val="2"/>
      </rPr>
      <t xml:space="preserve">【</t>
    </r>
    <r>
      <rPr>
        <b val="true"/>
        <sz val="11"/>
        <color rgb="FF1F3864"/>
        <rFont val="Yu Gothic"/>
        <family val="0"/>
        <charset val="1"/>
      </rPr>
      <t xml:space="preserve">ω </t>
    </r>
    <r>
      <rPr>
        <b val="true"/>
        <sz val="11"/>
        <color rgb="FF1F3864"/>
        <rFont val="WenQuanYi Zen Hei"/>
        <family val="2"/>
      </rPr>
      <t xml:space="preserve">グリッド探索の設定】</t>
    </r>
  </si>
  <si>
    <r>
      <rPr>
        <b val="true"/>
        <sz val="11"/>
        <color rgb="FF1F3864"/>
        <rFont val="WenQuanYi Zen Hei"/>
        <family val="2"/>
      </rPr>
      <t xml:space="preserve">【第</t>
    </r>
    <r>
      <rPr>
        <b val="true"/>
        <sz val="11"/>
        <color rgb="FF1F3864"/>
        <rFont val="Yu Gothic"/>
        <family val="0"/>
        <charset val="1"/>
      </rPr>
      <t xml:space="preserve">1</t>
    </r>
    <r>
      <rPr>
        <b val="true"/>
        <sz val="11"/>
        <color rgb="FF1F3864"/>
        <rFont val="WenQuanYi Zen Hei"/>
        <family val="2"/>
      </rPr>
      <t xml:space="preserve">段】粗い探索</t>
    </r>
  </si>
  <si>
    <r>
      <rPr>
        <b val="true"/>
        <sz val="11"/>
        <color rgb="FF1F3864"/>
        <rFont val="WenQuanYi Zen Hei"/>
        <family val="2"/>
      </rPr>
      <t xml:space="preserve">【第</t>
    </r>
    <r>
      <rPr>
        <b val="true"/>
        <sz val="11"/>
        <color rgb="FF1F3864"/>
        <rFont val="Yu Gothic"/>
        <family val="0"/>
        <charset val="1"/>
      </rPr>
      <t xml:space="preserve">2</t>
    </r>
    <r>
      <rPr>
        <b val="true"/>
        <sz val="11"/>
        <color rgb="FF1F3864"/>
        <rFont val="WenQuanYi Zen Hei"/>
        <family val="2"/>
      </rPr>
      <t xml:space="preserve">段】細かい探索</t>
    </r>
  </si>
  <si>
    <t xml:space="preserve">【適合曲線の描画用】</t>
  </si>
  <si>
    <r>
      <rPr>
        <sz val="9"/>
        <color rgb="FF595959"/>
        <rFont val="Yu Gothic"/>
        <family val="0"/>
        <charset val="1"/>
      </rPr>
      <t xml:space="preserve">x = β + α·u</t>
    </r>
    <r>
      <rPr>
        <sz val="9"/>
        <color rgb="FF595959"/>
        <rFont val="WenQuanYi Zen Hei"/>
        <family val="2"/>
      </rPr>
      <t xml:space="preserve">　　</t>
    </r>
    <r>
      <rPr>
        <sz val="9"/>
        <color rgb="FF595959"/>
        <rFont val="Yu Gothic"/>
        <family val="0"/>
        <charset val="1"/>
      </rPr>
      <t xml:space="preserve">u = −ln(−ln F)</t>
    </r>
  </si>
  <si>
    <r>
      <rPr>
        <sz val="10"/>
        <rFont val="WenQuanYi Zen Hei"/>
        <family val="2"/>
      </rPr>
      <t xml:space="preserve">第</t>
    </r>
    <r>
      <rPr>
        <sz val="10"/>
        <rFont val="Yu Gothic"/>
        <family val="0"/>
        <charset val="1"/>
      </rPr>
      <t xml:space="preserve">1</t>
    </r>
    <r>
      <rPr>
        <sz val="10"/>
        <rFont val="WenQuanYi Zen Hei"/>
        <family val="2"/>
      </rPr>
      <t xml:space="preserve">段 刻み </t>
    </r>
    <r>
      <rPr>
        <sz val="10"/>
        <rFont val="Yu Gothic"/>
        <family val="0"/>
        <charset val="1"/>
      </rPr>
      <t xml:space="preserve">Δ1 (℃)</t>
    </r>
  </si>
  <si>
    <r>
      <rPr>
        <b val="true"/>
        <sz val="11"/>
        <color rgb="FFFFFFFF"/>
        <rFont val="WenQuanYi Zen Hei"/>
        <family val="2"/>
      </rPr>
      <t xml:space="preserve">順位 </t>
    </r>
    <r>
      <rPr>
        <b val="true"/>
        <sz val="11"/>
        <color rgb="FFFFFFFF"/>
        <rFont val="Yu Gothic"/>
        <family val="0"/>
        <charset val="1"/>
      </rPr>
      <t xml:space="preserve">m</t>
    </r>
  </si>
  <si>
    <t xml:space="preserve">有効</t>
  </si>
  <si>
    <r>
      <rPr>
        <b val="true"/>
        <sz val="11"/>
        <color rgb="FFFFFFFF"/>
        <rFont val="Yu Gothic"/>
        <family val="0"/>
        <charset val="1"/>
      </rPr>
      <t xml:space="preserve">x(m) </t>
    </r>
    <r>
      <rPr>
        <b val="true"/>
        <sz val="11"/>
        <color rgb="FFFFFFFF"/>
        <rFont val="WenQuanYi Zen Hei"/>
        <family val="2"/>
      </rPr>
      <t xml:space="preserve">降順 </t>
    </r>
    <r>
      <rPr>
        <b val="true"/>
        <sz val="11"/>
        <color rgb="FFFFFFFF"/>
        <rFont val="Yu Gothic"/>
        <family val="0"/>
        <charset val="1"/>
      </rPr>
      <t xml:space="preserve">(℃)</t>
    </r>
  </si>
  <si>
    <r>
      <rPr>
        <b val="true"/>
        <sz val="11"/>
        <color rgb="FFFFFFFF"/>
        <rFont val="WenQuanYi Zen Hei"/>
        <family val="2"/>
      </rPr>
      <t xml:space="preserve">対応年</t>
    </r>
    <r>
      <rPr>
        <b val="true"/>
        <sz val="11"/>
        <color rgb="FFFFFFFF"/>
        <rFont val="Yu Gothic"/>
        <family val="0"/>
        <charset val="1"/>
      </rPr>
      <t xml:space="preserve">(</t>
    </r>
    <r>
      <rPr>
        <b val="true"/>
        <sz val="11"/>
        <color rgb="FFFFFFFF"/>
        <rFont val="WenQuanYi Zen Hei"/>
        <family val="2"/>
      </rPr>
      <t xml:space="preserve">参考</t>
    </r>
    <r>
      <rPr>
        <b val="true"/>
        <sz val="11"/>
        <color rgb="FFFFFFFF"/>
        <rFont val="Yu Gothic"/>
        <family val="0"/>
        <charset val="1"/>
      </rPr>
      <t xml:space="preserve">)</t>
    </r>
  </si>
  <si>
    <t xml:space="preserve">F = 1−m/(n+1)</t>
  </si>
  <si>
    <t xml:space="preserve">T = 1/(1−F)</t>
  </si>
  <si>
    <t xml:space="preserve">u = −ln(−ln F)</t>
  </si>
  <si>
    <t xml:space="preserve">y = ln(−ln F)</t>
  </si>
  <si>
    <t xml:space="preserve">残差 グンベル</t>
  </si>
  <si>
    <t xml:space="preserve">残差 ワイブル</t>
  </si>
  <si>
    <t xml:space="preserve">Σx</t>
  </si>
  <si>
    <r>
      <rPr>
        <sz val="10"/>
        <rFont val="WenQuanYi Zen Hei"/>
        <family val="2"/>
      </rPr>
      <t xml:space="preserve">探索下限 </t>
    </r>
    <r>
      <rPr>
        <sz val="10"/>
        <rFont val="Yu Gothic"/>
        <family val="0"/>
        <charset val="1"/>
      </rPr>
      <t xml:space="preserve">ω_min (℃)</t>
    </r>
  </si>
  <si>
    <r>
      <rPr>
        <b val="true"/>
        <sz val="11"/>
        <color rgb="FFFFFFFF"/>
        <rFont val="Yu Gothic"/>
        <family val="0"/>
        <charset val="1"/>
      </rPr>
      <t xml:space="preserve">ω </t>
    </r>
    <r>
      <rPr>
        <b val="true"/>
        <sz val="11"/>
        <color rgb="FFFFFFFF"/>
        <rFont val="WenQuanYi Zen Hei"/>
        <family val="2"/>
      </rPr>
      <t xml:space="preserve">候補 </t>
    </r>
    <r>
      <rPr>
        <b val="true"/>
        <sz val="11"/>
        <color rgb="FFFFFFFF"/>
        <rFont val="Yu Gothic"/>
        <family val="0"/>
        <charset val="1"/>
      </rPr>
      <t xml:space="preserve">(℃)</t>
    </r>
  </si>
  <si>
    <t xml:space="preserve">Σ ln(ω−x)</t>
  </si>
  <si>
    <t xml:space="preserve">Σ [ln(ω−x)]²</t>
  </si>
  <si>
    <t xml:space="preserve">Σ y·ln(ω−x)</t>
  </si>
  <si>
    <r>
      <rPr>
        <b val="true"/>
        <sz val="11"/>
        <color rgb="FFFFFFFF"/>
        <rFont val="WenQuanYi Zen Hei"/>
        <family val="2"/>
      </rPr>
      <t xml:space="preserve">相関係数 </t>
    </r>
    <r>
      <rPr>
        <b val="true"/>
        <sz val="11"/>
        <color rgb="FFFFFFFF"/>
        <rFont val="Yu Gothic"/>
        <family val="0"/>
        <charset val="1"/>
      </rPr>
      <t xml:space="preserve">r</t>
    </r>
  </si>
  <si>
    <t xml:space="preserve">u</t>
  </si>
  <si>
    <r>
      <rPr>
        <b val="true"/>
        <sz val="11"/>
        <color rgb="FFFFFFFF"/>
        <rFont val="WenQuanYi Zen Hei"/>
        <family val="2"/>
      </rPr>
      <t xml:space="preserve">グンベル適合 </t>
    </r>
    <r>
      <rPr>
        <b val="true"/>
        <sz val="11"/>
        <color rgb="FFFFFFFF"/>
        <rFont val="Yu Gothic"/>
        <family val="0"/>
        <charset val="1"/>
      </rPr>
      <t xml:space="preserve">(℃)</t>
    </r>
  </si>
  <si>
    <r>
      <rPr>
        <b val="true"/>
        <sz val="11"/>
        <color rgb="FFFFFFFF"/>
        <rFont val="WenQuanYi Zen Hei"/>
        <family val="2"/>
      </rPr>
      <t xml:space="preserve">ワイブル適合 </t>
    </r>
    <r>
      <rPr>
        <b val="true"/>
        <sz val="11"/>
        <color rgb="FFFFFFFF"/>
        <rFont val="Yu Gothic"/>
        <family val="0"/>
        <charset val="1"/>
      </rPr>
      <t xml:space="preserve">(℃)</t>
    </r>
  </si>
  <si>
    <r>
      <rPr>
        <b val="true"/>
        <sz val="11"/>
        <color rgb="FFFFFFFF"/>
        <rFont val="Yu Gothic"/>
        <family val="0"/>
        <charset val="1"/>
      </rPr>
      <t xml:space="preserve">T (</t>
    </r>
    <r>
      <rPr>
        <b val="true"/>
        <sz val="11"/>
        <color rgb="FFFFFFFF"/>
        <rFont val="WenQuanYi Zen Hei"/>
        <family val="2"/>
      </rPr>
      <t xml:space="preserve">年</t>
    </r>
    <r>
      <rPr>
        <b val="true"/>
        <sz val="11"/>
        <color rgb="FFFFFFFF"/>
        <rFont val="Yu Gothic"/>
        <family val="0"/>
        <charset val="1"/>
      </rPr>
      <t xml:space="preserve">)</t>
    </r>
  </si>
  <si>
    <t xml:space="preserve">Σu</t>
  </si>
  <si>
    <r>
      <rPr>
        <sz val="10"/>
        <rFont val="WenQuanYi Zen Hei"/>
        <family val="2"/>
      </rPr>
      <t xml:space="preserve">探索上限 </t>
    </r>
    <r>
      <rPr>
        <sz val="10"/>
        <rFont val="Yu Gothic"/>
        <family val="0"/>
        <charset val="1"/>
      </rPr>
      <t xml:space="preserve">(℃)</t>
    </r>
  </si>
  <si>
    <t xml:space="preserve">Σu²</t>
  </si>
  <si>
    <r>
      <rPr>
        <sz val="10"/>
        <rFont val="WenQuanYi Zen Hei"/>
        <family val="2"/>
      </rPr>
      <t xml:space="preserve">第</t>
    </r>
    <r>
      <rPr>
        <sz val="10"/>
        <rFont val="Yu Gothic"/>
        <family val="0"/>
        <charset val="1"/>
      </rPr>
      <t xml:space="preserve">1</t>
    </r>
    <r>
      <rPr>
        <sz val="10"/>
        <rFont val="WenQuanYi Zen Hei"/>
        <family val="2"/>
      </rPr>
      <t xml:space="preserve">段の最良 </t>
    </r>
    <r>
      <rPr>
        <sz val="10"/>
        <rFont val="Yu Gothic"/>
        <family val="0"/>
        <charset val="1"/>
      </rPr>
      <t xml:space="preserve">ω (℃)</t>
    </r>
  </si>
  <si>
    <r>
      <rPr>
        <b val="true"/>
        <sz val="10"/>
        <rFont val="WenQuanYi Zen Hei"/>
        <family val="2"/>
      </rPr>
      <t xml:space="preserve">尺度母数 </t>
    </r>
    <r>
      <rPr>
        <b val="true"/>
        <sz val="10"/>
        <rFont val="Yu Gothic"/>
        <family val="0"/>
        <charset val="1"/>
      </rPr>
      <t xml:space="preserve">α (℃)</t>
    </r>
  </si>
  <si>
    <r>
      <rPr>
        <sz val="10"/>
        <rFont val="WenQuanYi Zen Hei"/>
        <family val="2"/>
      </rPr>
      <t xml:space="preserve">第</t>
    </r>
    <r>
      <rPr>
        <sz val="10"/>
        <rFont val="Yu Gothic"/>
        <family val="0"/>
        <charset val="1"/>
      </rPr>
      <t xml:space="preserve">2</t>
    </r>
    <r>
      <rPr>
        <sz val="10"/>
        <rFont val="WenQuanYi Zen Hei"/>
        <family val="2"/>
      </rPr>
      <t xml:space="preserve">段 刻み </t>
    </r>
    <r>
      <rPr>
        <sz val="10"/>
        <rFont val="Yu Gothic"/>
        <family val="0"/>
        <charset val="1"/>
      </rPr>
      <t xml:space="preserve">Δ2 (℃)</t>
    </r>
  </si>
  <si>
    <r>
      <rPr>
        <b val="true"/>
        <sz val="10"/>
        <rFont val="WenQuanYi Zen Hei"/>
        <family val="2"/>
      </rPr>
      <t xml:space="preserve">位置母数 </t>
    </r>
    <r>
      <rPr>
        <b val="true"/>
        <sz val="10"/>
        <rFont val="Yu Gothic"/>
        <family val="0"/>
        <charset val="1"/>
      </rPr>
      <t xml:space="preserve">β (℃)</t>
    </r>
  </si>
  <si>
    <r>
      <rPr>
        <sz val="10"/>
        <rFont val="WenQuanYi Zen Hei"/>
        <family val="2"/>
      </rPr>
      <t xml:space="preserve">第</t>
    </r>
    <r>
      <rPr>
        <sz val="10"/>
        <rFont val="Yu Gothic"/>
        <family val="0"/>
        <charset val="1"/>
      </rPr>
      <t xml:space="preserve">2</t>
    </r>
    <r>
      <rPr>
        <sz val="10"/>
        <rFont val="WenQuanYi Zen Hei"/>
        <family val="2"/>
      </rPr>
      <t xml:space="preserve">段 探索下限 </t>
    </r>
    <r>
      <rPr>
        <sz val="10"/>
        <rFont val="Yu Gothic"/>
        <family val="0"/>
        <charset val="1"/>
      </rPr>
      <t xml:space="preserve">(℃)</t>
    </r>
  </si>
  <si>
    <r>
      <rPr>
        <sz val="10"/>
        <rFont val="WenQuanYi Zen Hei"/>
        <family val="2"/>
      </rPr>
      <t xml:space="preserve">相関係数 </t>
    </r>
    <r>
      <rPr>
        <sz val="10"/>
        <rFont val="Yu Gothic"/>
        <family val="0"/>
        <charset val="1"/>
      </rPr>
      <t xml:space="preserve">r</t>
    </r>
  </si>
  <si>
    <r>
      <rPr>
        <b val="true"/>
        <sz val="11"/>
        <color rgb="FF1F3864"/>
        <rFont val="WenQuanYi Zen Hei"/>
        <family val="2"/>
      </rPr>
      <t xml:space="preserve">【</t>
    </r>
    <r>
      <rPr>
        <b val="true"/>
        <sz val="11"/>
        <color rgb="FF1F3864"/>
        <rFont val="Yu Gothic"/>
        <family val="0"/>
        <charset val="1"/>
      </rPr>
      <t xml:space="preserve">2</t>
    </r>
    <r>
      <rPr>
        <b val="true"/>
        <sz val="11"/>
        <color rgb="FF1F3864"/>
        <rFont val="WenQuanYi Zen Hei"/>
        <family val="2"/>
      </rPr>
      <t xml:space="preserve">】グンベル分布 ― 積率法（参考・検算用）</t>
    </r>
  </si>
  <si>
    <r>
      <rPr>
        <sz val="10"/>
        <rFont val="WenQuanYi Zen Hei"/>
        <family val="2"/>
      </rPr>
      <t xml:space="preserve">尺度母数 </t>
    </r>
    <r>
      <rPr>
        <sz val="10"/>
        <rFont val="Yu Gothic"/>
        <family val="0"/>
        <charset val="1"/>
      </rPr>
      <t xml:space="preserve">α (℃)</t>
    </r>
  </si>
  <si>
    <r>
      <rPr>
        <sz val="10"/>
        <rFont val="WenQuanYi Zen Hei"/>
        <family val="2"/>
      </rPr>
      <t xml:space="preserve">位置母数 </t>
    </r>
    <r>
      <rPr>
        <sz val="10"/>
        <rFont val="Yu Gothic"/>
        <family val="0"/>
        <charset val="1"/>
      </rPr>
      <t xml:space="preserve">β (℃)</t>
    </r>
  </si>
  <si>
    <r>
      <rPr>
        <b val="true"/>
        <sz val="11"/>
        <color rgb="FF1F3864"/>
        <rFont val="WenQuanYi Zen Hei"/>
        <family val="2"/>
      </rPr>
      <t xml:space="preserve">【</t>
    </r>
    <r>
      <rPr>
        <b val="true"/>
        <sz val="11"/>
        <color rgb="FF1F3864"/>
        <rFont val="Yu Gothic"/>
        <family val="0"/>
        <charset val="1"/>
      </rPr>
      <t xml:space="preserve">3</t>
    </r>
    <r>
      <rPr>
        <b val="true"/>
        <sz val="11"/>
        <color rgb="FF1F3864"/>
        <rFont val="WenQuanYi Zen Hei"/>
        <family val="2"/>
      </rPr>
      <t xml:space="preserve">】ワイブル分布（第</t>
    </r>
    <r>
      <rPr>
        <b val="true"/>
        <sz val="11"/>
        <color rgb="FF1F3864"/>
        <rFont val="Yu Gothic"/>
        <family val="0"/>
        <charset val="1"/>
      </rPr>
      <t xml:space="preserve">III</t>
    </r>
    <r>
      <rPr>
        <b val="true"/>
        <sz val="11"/>
        <color rgb="FF1F3864"/>
        <rFont val="WenQuanYi Zen Hei"/>
        <family val="2"/>
      </rPr>
      <t xml:space="preserve">種極値分布・上限型）★主結果</t>
    </r>
  </si>
  <si>
    <r>
      <rPr>
        <sz val="9"/>
        <color rgb="FF595959"/>
        <rFont val="Yu Gothic"/>
        <family val="0"/>
        <charset val="1"/>
      </rPr>
      <t xml:space="preserve">F(x)=exp[−((ω−x)/a)^k]</t>
    </r>
    <r>
      <rPr>
        <sz val="9"/>
        <color rgb="FF595959"/>
        <rFont val="WenQuanYi Zen Hei"/>
        <family val="2"/>
      </rPr>
      <t xml:space="preserve">　</t>
    </r>
    <r>
      <rPr>
        <sz val="9"/>
        <color rgb="FF595959"/>
        <rFont val="Yu Gothic"/>
        <family val="0"/>
        <charset val="1"/>
      </rPr>
      <t xml:space="preserve">ln(−ln F)=k·ln(ω−x)−k·ln a</t>
    </r>
  </si>
  <si>
    <r>
      <rPr>
        <b val="true"/>
        <sz val="10"/>
        <rFont val="WenQuanYi Zen Hei"/>
        <family val="2"/>
      </rPr>
      <t xml:space="preserve">上限母数 </t>
    </r>
    <r>
      <rPr>
        <b val="true"/>
        <sz val="10"/>
        <rFont val="Yu Gothic"/>
        <family val="0"/>
        <charset val="1"/>
      </rPr>
      <t xml:space="preserve">ω (℃)</t>
    </r>
  </si>
  <si>
    <t xml:space="preserve">Σ y</t>
  </si>
  <si>
    <t xml:space="preserve">Σ y²</t>
  </si>
  <si>
    <r>
      <rPr>
        <b val="true"/>
        <sz val="10"/>
        <rFont val="WenQuanYi Zen Hei"/>
        <family val="2"/>
      </rPr>
      <t xml:space="preserve">形状母数 </t>
    </r>
    <r>
      <rPr>
        <b val="true"/>
        <sz val="10"/>
        <rFont val="Yu Gothic"/>
        <family val="0"/>
        <charset val="1"/>
      </rPr>
      <t xml:space="preserve">k</t>
    </r>
  </si>
  <si>
    <r>
      <rPr>
        <sz val="10"/>
        <rFont val="WenQuanYi Zen Hei"/>
        <family val="2"/>
      </rPr>
      <t xml:space="preserve">切片 −</t>
    </r>
    <r>
      <rPr>
        <sz val="10"/>
        <rFont val="Yu Gothic"/>
        <family val="0"/>
        <charset val="1"/>
      </rPr>
      <t xml:space="preserve">k·ln a</t>
    </r>
  </si>
  <si>
    <r>
      <rPr>
        <b val="true"/>
        <sz val="10"/>
        <rFont val="WenQuanYi Zen Hei"/>
        <family val="2"/>
      </rPr>
      <t xml:space="preserve">尺度母数 </t>
    </r>
    <r>
      <rPr>
        <b val="true"/>
        <sz val="10"/>
        <rFont val="Yu Gothic"/>
        <family val="0"/>
        <charset val="1"/>
      </rPr>
      <t xml:space="preserve">a (℃)</t>
    </r>
  </si>
  <si>
    <t xml:space="preserve">分布形の判定</t>
  </si>
  <si>
    <t xml:space="preserve">結果　― 再現期間に対する年最高外気温度 ―</t>
  </si>
  <si>
    <r>
      <rPr>
        <sz val="9"/>
        <color rgb="FF595959"/>
        <rFont val="WenQuanYi Zen Hei"/>
        <family val="2"/>
      </rPr>
      <t xml:space="preserve">※ グラフの縦軸が </t>
    </r>
    <r>
      <rPr>
        <sz val="9"/>
        <color rgb="FF595959"/>
        <rFont val="Yu Gothic"/>
        <family val="0"/>
        <charset val="1"/>
      </rPr>
      <t xml:space="preserve">0 </t>
    </r>
    <r>
      <rPr>
        <sz val="9"/>
        <color rgb="FF595959"/>
        <rFont val="WenQuanYi Zen Hei"/>
        <family val="2"/>
      </rPr>
      <t xml:space="preserve">から始まってしまう場合は、縦軸を右クリック →［軸の書式設定］で最小値を </t>
    </r>
    <r>
      <rPr>
        <sz val="9"/>
        <color rgb="FF595959"/>
        <rFont val="Yu Gothic"/>
        <family val="0"/>
        <charset val="1"/>
      </rPr>
      <t xml:space="preserve">30 </t>
    </r>
    <r>
      <rPr>
        <sz val="9"/>
        <color rgb="FF595959"/>
        <rFont val="WenQuanYi Zen Hei"/>
        <family val="2"/>
      </rPr>
      <t xml:space="preserve">などに変更してください。</t>
    </r>
  </si>
  <si>
    <t xml:space="preserve">観測地点</t>
  </si>
  <si>
    <r>
      <rPr>
        <b val="true"/>
        <sz val="11"/>
        <color rgb="FFFFFFFF"/>
        <rFont val="WenQuanYi Zen Hei"/>
        <family val="2"/>
      </rPr>
      <t xml:space="preserve">【主結果】再現期間 </t>
    </r>
    <r>
      <rPr>
        <b val="true"/>
        <sz val="11"/>
        <color rgb="FFFFFFFF"/>
        <rFont val="Yu Gothic"/>
        <family val="0"/>
        <charset val="1"/>
      </rPr>
      <t xml:space="preserve">100 </t>
    </r>
    <r>
      <rPr>
        <b val="true"/>
        <sz val="11"/>
        <color rgb="FFFFFFFF"/>
        <rFont val="WenQuanYi Zen Hei"/>
        <family val="2"/>
      </rPr>
      <t xml:space="preserve">年に対する年最高外気温度</t>
    </r>
  </si>
  <si>
    <r>
      <rPr>
        <b val="true"/>
        <sz val="10"/>
        <rFont val="WenQuanYi Zen Hei"/>
        <family val="2"/>
      </rPr>
      <t xml:space="preserve">ワイブル分布
（第</t>
    </r>
    <r>
      <rPr>
        <b val="true"/>
        <sz val="10"/>
        <rFont val="Yu Gothic"/>
        <family val="0"/>
        <charset val="1"/>
      </rPr>
      <t xml:space="preserve">III</t>
    </r>
    <r>
      <rPr>
        <b val="true"/>
        <sz val="10"/>
        <rFont val="WenQuanYi Zen Hei"/>
        <family val="2"/>
      </rPr>
      <t xml:space="preserve">種極値分布）</t>
    </r>
  </si>
  <si>
    <r>
      <rPr>
        <b val="true"/>
        <sz val="10"/>
        <rFont val="WenQuanYi Zen Hei"/>
        <family val="2"/>
      </rPr>
      <t xml:space="preserve">グンベル分布
（第</t>
    </r>
    <r>
      <rPr>
        <b val="true"/>
        <sz val="10"/>
        <rFont val="Yu Gothic"/>
        <family val="0"/>
        <charset val="1"/>
      </rPr>
      <t xml:space="preserve">I</t>
    </r>
    <r>
      <rPr>
        <b val="true"/>
        <sz val="10"/>
        <rFont val="WenQuanYi Zen Hei"/>
        <family val="2"/>
      </rPr>
      <t xml:space="preserve">種・比較用）</t>
    </r>
  </si>
  <si>
    <t xml:space="preserve">【再現期間表】</t>
  </si>
  <si>
    <r>
      <rPr>
        <b val="true"/>
        <sz val="11"/>
        <color rgb="FFFFFFFF"/>
        <rFont val="WenQuanYi Zen Hei"/>
        <family val="2"/>
      </rPr>
      <t xml:space="preserve">再現期間 </t>
    </r>
    <r>
      <rPr>
        <b val="true"/>
        <sz val="11"/>
        <color rgb="FFFFFFFF"/>
        <rFont val="Yu Gothic"/>
        <family val="0"/>
        <charset val="1"/>
      </rPr>
      <t xml:space="preserve">T
(</t>
    </r>
    <r>
      <rPr>
        <b val="true"/>
        <sz val="11"/>
        <color rgb="FFFFFFFF"/>
        <rFont val="WenQuanYi Zen Hei"/>
        <family val="2"/>
      </rPr>
      <t xml:space="preserve">年</t>
    </r>
    <r>
      <rPr>
        <b val="true"/>
        <sz val="11"/>
        <color rgb="FFFFFFFF"/>
        <rFont val="Yu Gothic"/>
        <family val="0"/>
        <charset val="1"/>
      </rPr>
      <t xml:space="preserve">)</t>
    </r>
  </si>
  <si>
    <r>
      <rPr>
        <b val="true"/>
        <sz val="11"/>
        <color rgb="FFFFFFFF"/>
        <rFont val="WenQuanYi Zen Hei"/>
        <family val="2"/>
      </rPr>
      <t xml:space="preserve">非超過確率 </t>
    </r>
    <r>
      <rPr>
        <b val="true"/>
        <sz val="11"/>
        <color rgb="FFFFFFFF"/>
        <rFont val="Yu Gothic"/>
        <family val="0"/>
        <charset val="1"/>
      </rPr>
      <t xml:space="preserve">F</t>
    </r>
  </si>
  <si>
    <r>
      <rPr>
        <b val="true"/>
        <sz val="11"/>
        <color rgb="FFFFFFFF"/>
        <rFont val="WenQuanYi Zen Hei"/>
        <family val="2"/>
      </rPr>
      <t xml:space="preserve">ワイブル分布</t>
    </r>
    <r>
      <rPr>
        <b val="true"/>
        <sz val="11"/>
        <color rgb="FFFFFFFF"/>
        <rFont val="Yu Gothic"/>
        <family val="0"/>
        <charset val="1"/>
      </rPr>
      <t xml:space="preserve">
(</t>
    </r>
    <r>
      <rPr>
        <b val="true"/>
        <sz val="11"/>
        <color rgb="FFFFFFFF"/>
        <rFont val="WenQuanYi Zen Hei"/>
        <family val="2"/>
      </rPr>
      <t xml:space="preserve">第</t>
    </r>
    <r>
      <rPr>
        <b val="true"/>
        <sz val="11"/>
        <color rgb="FFFFFFFF"/>
        <rFont val="Yu Gothic"/>
        <family val="0"/>
        <charset val="1"/>
      </rPr>
      <t xml:space="preserve">III</t>
    </r>
    <r>
      <rPr>
        <b val="true"/>
        <sz val="11"/>
        <color rgb="FFFFFFFF"/>
        <rFont val="WenQuanYi Zen Hei"/>
        <family val="2"/>
      </rPr>
      <t xml:space="preserve">種</t>
    </r>
    <r>
      <rPr>
        <b val="true"/>
        <sz val="11"/>
        <color rgb="FFFFFFFF"/>
        <rFont val="Yu Gothic"/>
        <family val="0"/>
        <charset val="1"/>
      </rPr>
      <t xml:space="preserve">) ℃</t>
    </r>
  </si>
  <si>
    <r>
      <rPr>
        <b val="true"/>
        <sz val="11"/>
        <color rgb="FFFFFFFF"/>
        <rFont val="WenQuanYi Zen Hei"/>
        <family val="2"/>
      </rPr>
      <t xml:space="preserve">グンベル分布</t>
    </r>
    <r>
      <rPr>
        <b val="true"/>
        <sz val="11"/>
        <color rgb="FFFFFFFF"/>
        <rFont val="Yu Gothic"/>
        <family val="0"/>
        <charset val="1"/>
      </rPr>
      <t xml:space="preserve">
(</t>
    </r>
    <r>
      <rPr>
        <b val="true"/>
        <sz val="11"/>
        <color rgb="FFFFFFFF"/>
        <rFont val="WenQuanYi Zen Hei"/>
        <family val="2"/>
      </rPr>
      <t xml:space="preserve">最小二乗</t>
    </r>
    <r>
      <rPr>
        <b val="true"/>
        <sz val="11"/>
        <color rgb="FFFFFFFF"/>
        <rFont val="Yu Gothic"/>
        <family val="0"/>
        <charset val="1"/>
      </rPr>
      <t xml:space="preserve">) ℃</t>
    </r>
  </si>
  <si>
    <r>
      <rPr>
        <b val="true"/>
        <sz val="11"/>
        <color rgb="FFFFFFFF"/>
        <rFont val="WenQuanYi Zen Hei"/>
        <family val="2"/>
      </rPr>
      <t xml:space="preserve">グンベル分布</t>
    </r>
    <r>
      <rPr>
        <b val="true"/>
        <sz val="11"/>
        <color rgb="FFFFFFFF"/>
        <rFont val="Yu Gothic"/>
        <family val="0"/>
        <charset val="1"/>
      </rPr>
      <t xml:space="preserve">
(</t>
    </r>
    <r>
      <rPr>
        <b val="true"/>
        <sz val="11"/>
        <color rgb="FFFFFFFF"/>
        <rFont val="WenQuanYi Zen Hei"/>
        <family val="2"/>
      </rPr>
      <t xml:space="preserve">積率法</t>
    </r>
    <r>
      <rPr>
        <b val="true"/>
        <sz val="11"/>
        <color rgb="FFFFFFFF"/>
        <rFont val="Yu Gothic"/>
        <family val="0"/>
        <charset val="1"/>
      </rPr>
      <t xml:space="preserve">) ℃</t>
    </r>
  </si>
  <si>
    <r>
      <rPr>
        <b val="true"/>
        <sz val="11"/>
        <color rgb="FFFFFFFF"/>
        <rFont val="WenQuanYi Zen Hei"/>
        <family val="2"/>
      </rPr>
      <t xml:space="preserve">グンベル</t>
    </r>
    <r>
      <rPr>
        <b val="true"/>
        <sz val="11"/>
        <color rgb="FFFFFFFF"/>
        <rFont val="Yu Gothic"/>
        <family val="0"/>
        <charset val="1"/>
      </rPr>
      <t xml:space="preserve">
95%</t>
    </r>
    <r>
      <rPr>
        <b val="true"/>
        <sz val="11"/>
        <color rgb="FFFFFFFF"/>
        <rFont val="WenQuanYi Zen Hei"/>
        <family val="2"/>
      </rPr>
      <t xml:space="preserve">下限 ℃</t>
    </r>
  </si>
  <si>
    <r>
      <rPr>
        <b val="true"/>
        <sz val="11"/>
        <color rgb="FFFFFFFF"/>
        <rFont val="WenQuanYi Zen Hei"/>
        <family val="2"/>
      </rPr>
      <t xml:space="preserve">グンベル</t>
    </r>
    <r>
      <rPr>
        <b val="true"/>
        <sz val="11"/>
        <color rgb="FFFFFFFF"/>
        <rFont val="Yu Gothic"/>
        <family val="0"/>
        <charset val="1"/>
      </rPr>
      <t xml:space="preserve">
95%</t>
    </r>
    <r>
      <rPr>
        <b val="true"/>
        <sz val="11"/>
        <color rgb="FFFFFFFF"/>
        <rFont val="WenQuanYi Zen Hei"/>
        <family val="2"/>
      </rPr>
      <t xml:space="preserve">上限 ℃</t>
    </r>
  </si>
  <si>
    <r>
      <rPr>
        <b val="true"/>
        <sz val="11"/>
        <color rgb="FFFFFFFF"/>
        <rFont val="WenQuanYi Zen Hei"/>
        <family val="2"/>
      </rPr>
      <t xml:space="preserve">頻度係数 </t>
    </r>
    <r>
      <rPr>
        <b val="true"/>
        <sz val="11"/>
        <color rgb="FFFFFFFF"/>
        <rFont val="Yu Gothic"/>
        <family val="0"/>
        <charset val="1"/>
      </rPr>
      <t xml:space="preserve">K(T)</t>
    </r>
  </si>
  <si>
    <r>
      <rPr>
        <b val="true"/>
        <sz val="11"/>
        <color rgb="FFFFFFFF"/>
        <rFont val="WenQuanYi Zen Hei"/>
        <family val="2"/>
      </rPr>
      <t xml:space="preserve">標準誤差 </t>
    </r>
    <r>
      <rPr>
        <b val="true"/>
        <sz val="11"/>
        <color rgb="FFFFFFFF"/>
        <rFont val="Yu Gothic"/>
        <family val="0"/>
        <charset val="1"/>
      </rPr>
      <t xml:space="preserve">(℃)</t>
    </r>
  </si>
  <si>
    <t xml:space="preserve">推定された分布母数</t>
  </si>
  <si>
    <r>
      <rPr>
        <sz val="10"/>
        <rFont val="WenQuanYi Zen Hei"/>
        <family val="2"/>
      </rPr>
      <t xml:space="preserve">ワイブル 上限母数 </t>
    </r>
    <r>
      <rPr>
        <sz val="10"/>
        <rFont val="Yu Gothic"/>
        <family val="0"/>
        <charset val="1"/>
      </rPr>
      <t xml:space="preserve">ω (℃)</t>
    </r>
  </si>
  <si>
    <r>
      <rPr>
        <sz val="10"/>
        <rFont val="WenQuanYi Zen Hei"/>
        <family val="2"/>
      </rPr>
      <t xml:space="preserve">ワイブル 尺度母数 </t>
    </r>
    <r>
      <rPr>
        <sz val="10"/>
        <rFont val="Yu Gothic"/>
        <family val="0"/>
        <charset val="1"/>
      </rPr>
      <t xml:space="preserve">a (℃)</t>
    </r>
  </si>
  <si>
    <r>
      <rPr>
        <sz val="10"/>
        <rFont val="WenQuanYi Zen Hei"/>
        <family val="2"/>
      </rPr>
      <t xml:space="preserve">ワイブル 形状母数 </t>
    </r>
    <r>
      <rPr>
        <sz val="10"/>
        <rFont val="Yu Gothic"/>
        <family val="0"/>
        <charset val="1"/>
      </rPr>
      <t xml:space="preserve">k</t>
    </r>
  </si>
  <si>
    <r>
      <rPr>
        <sz val="10"/>
        <rFont val="WenQuanYi Zen Hei"/>
        <family val="2"/>
      </rPr>
      <t xml:space="preserve">ワイブル 相関係数 </t>
    </r>
    <r>
      <rPr>
        <sz val="10"/>
        <rFont val="Yu Gothic"/>
        <family val="0"/>
        <charset val="1"/>
      </rPr>
      <t xml:space="preserve">r</t>
    </r>
  </si>
  <si>
    <r>
      <rPr>
        <sz val="10"/>
        <rFont val="WenQuanYi Zen Hei"/>
        <family val="2"/>
      </rPr>
      <t xml:space="preserve">グンベル 尺度母数 </t>
    </r>
    <r>
      <rPr>
        <sz val="10"/>
        <rFont val="Yu Gothic"/>
        <family val="0"/>
        <charset val="1"/>
      </rPr>
      <t xml:space="preserve">α (℃)</t>
    </r>
  </si>
  <si>
    <r>
      <rPr>
        <sz val="10"/>
        <rFont val="WenQuanYi Zen Hei"/>
        <family val="2"/>
      </rPr>
      <t xml:space="preserve">グンベル 位置母数 </t>
    </r>
    <r>
      <rPr>
        <sz val="10"/>
        <rFont val="Yu Gothic"/>
        <family val="0"/>
        <charset val="1"/>
      </rPr>
      <t xml:space="preserve">β (℃)</t>
    </r>
  </si>
  <si>
    <r>
      <rPr>
        <sz val="10"/>
        <rFont val="WenQuanYi Zen Hei"/>
        <family val="2"/>
      </rPr>
      <t xml:space="preserve">グンベル 相関係数 </t>
    </r>
    <r>
      <rPr>
        <sz val="10"/>
        <rFont val="Yu Gothic"/>
        <family val="0"/>
        <charset val="1"/>
      </rPr>
      <t xml:space="preserve">r</t>
    </r>
  </si>
  <si>
    <r>
      <rPr>
        <sz val="9"/>
        <color rgb="FF595959"/>
        <rFont val="WenQuanYi Zen Hei"/>
        <family val="2"/>
      </rPr>
      <t xml:space="preserve">計算式
　ワイブル（第</t>
    </r>
    <r>
      <rPr>
        <sz val="9"/>
        <color rgb="FF595959"/>
        <rFont val="Yu Gothic"/>
        <family val="0"/>
        <charset val="1"/>
      </rPr>
      <t xml:space="preserve">III</t>
    </r>
    <r>
      <rPr>
        <sz val="9"/>
        <color rgb="FF595959"/>
        <rFont val="WenQuanYi Zen Hei"/>
        <family val="2"/>
      </rPr>
      <t xml:space="preserve">種極値分布）： </t>
    </r>
    <r>
      <rPr>
        <sz val="9"/>
        <color rgb="FF595959"/>
        <rFont val="Yu Gothic"/>
        <family val="0"/>
        <charset val="1"/>
      </rPr>
      <t xml:space="preserve">F(x)=exp[−((ω−x)/a)^k]</t>
    </r>
    <r>
      <rPr>
        <sz val="9"/>
        <color rgb="FF595959"/>
        <rFont val="WenQuanYi Zen Hei"/>
        <family val="2"/>
      </rPr>
      <t xml:space="preserve">　→　</t>
    </r>
    <r>
      <rPr>
        <sz val="9"/>
        <color rgb="FF595959"/>
        <rFont val="Yu Gothic"/>
        <family val="0"/>
        <charset val="1"/>
      </rPr>
      <t xml:space="preserve">x(T) = ω − a·[−ln(1−1/T)]^(1/k)
</t>
    </r>
    <r>
      <rPr>
        <sz val="9"/>
        <color rgb="FF595959"/>
        <rFont val="WenQuanYi Zen Hei"/>
        <family val="2"/>
      </rPr>
      <t xml:space="preserve">　グンベル（第</t>
    </r>
    <r>
      <rPr>
        <sz val="9"/>
        <color rgb="FF595959"/>
        <rFont val="Yu Gothic"/>
        <family val="0"/>
        <charset val="1"/>
      </rPr>
      <t xml:space="preserve">I</t>
    </r>
    <r>
      <rPr>
        <sz val="9"/>
        <color rgb="FF595959"/>
        <rFont val="WenQuanYi Zen Hei"/>
        <family val="2"/>
      </rPr>
      <t xml:space="preserve">種極値分布）　： </t>
    </r>
    <r>
      <rPr>
        <sz val="9"/>
        <color rgb="FF595959"/>
        <rFont val="Yu Gothic"/>
        <family val="0"/>
        <charset val="1"/>
      </rPr>
      <t xml:space="preserve">F(x)=exp[−exp(−(x−β)/α)]</t>
    </r>
    <r>
      <rPr>
        <sz val="9"/>
        <color rgb="FF595959"/>
        <rFont val="WenQuanYi Zen Hei"/>
        <family val="2"/>
      </rPr>
      <t xml:space="preserve">　→　</t>
    </r>
    <r>
      <rPr>
        <sz val="9"/>
        <color rgb="FF595959"/>
        <rFont val="Yu Gothic"/>
        <family val="0"/>
        <charset val="1"/>
      </rPr>
      <t xml:space="preserve">x(T) = β + α·[−ln(−ln(1−1/T))]
</t>
    </r>
    <r>
      <rPr>
        <sz val="9"/>
        <color rgb="FF595959"/>
        <rFont val="WenQuanYi Zen Hei"/>
        <family val="2"/>
      </rPr>
      <t xml:space="preserve">　非超過確率はワイブルのプロッティング・ポジション </t>
    </r>
    <r>
      <rPr>
        <sz val="9"/>
        <color rgb="FF595959"/>
        <rFont val="Yu Gothic"/>
        <family val="0"/>
        <charset val="1"/>
      </rPr>
      <t xml:space="preserve">F = 1 − m/(n+1)</t>
    </r>
    <r>
      <rPr>
        <sz val="9"/>
        <color rgb="FF595959"/>
        <rFont val="WenQuanYi Zen Hei"/>
        <family val="2"/>
      </rPr>
      <t xml:space="preserve">（</t>
    </r>
    <r>
      <rPr>
        <sz val="9"/>
        <color rgb="FF595959"/>
        <rFont val="Yu Gothic"/>
        <family val="0"/>
        <charset val="1"/>
      </rPr>
      <t xml:space="preserve">m </t>
    </r>
    <r>
      <rPr>
        <sz val="9"/>
        <color rgb="FF595959"/>
        <rFont val="WenQuanYi Zen Hei"/>
        <family val="2"/>
      </rPr>
      <t xml:space="preserve">は降順順位）で与えています。</t>
    </r>
  </si>
  <si>
    <t xml:space="preserve">サンプルデータ（動作確認用のダミー・気象庁の実測値ではありません）</t>
  </si>
  <si>
    <r>
      <rPr>
        <sz val="9"/>
        <color rgb="FF595959"/>
        <rFont val="WenQuanYi Zen Hei"/>
        <family val="2"/>
      </rPr>
      <t xml:space="preserve">グンベル分布に緩やかな昇温トレンド（</t>
    </r>
    <r>
      <rPr>
        <sz val="9"/>
        <color rgb="FF595959"/>
        <rFont val="Yu Gothic"/>
        <family val="0"/>
        <charset val="1"/>
      </rPr>
      <t xml:space="preserve">+0.02℃/</t>
    </r>
    <r>
      <rPr>
        <sz val="9"/>
        <color rgb="FF595959"/>
        <rFont val="WenQuanYi Zen Hei"/>
        <family val="2"/>
      </rPr>
      <t xml:space="preserve">年）を与えて発生させた人工標本です。「データ入力」シートを実データに置き換えたあと、動作を確認したくなったときの控えです。</t>
    </r>
  </si>
  <si>
    <t xml:space="preserve">ダミー（実測値ではない）</t>
  </si>
</sst>
</file>

<file path=xl/styles.xml><?xml version="1.0" encoding="utf-8"?>
<styleSheet xmlns="http://schemas.openxmlformats.org/spreadsheetml/2006/main">
  <numFmts count="8">
    <numFmt numFmtId="164" formatCode="General"/>
    <numFmt numFmtId="165" formatCode="0.00"/>
    <numFmt numFmtId="166" formatCode="0.000"/>
    <numFmt numFmtId="167" formatCode="0.0"/>
    <numFmt numFmtId="168" formatCode="0"/>
    <numFmt numFmtId="169" formatCode="0.0000"/>
    <numFmt numFmtId="170" formatCode="0.00000"/>
    <numFmt numFmtId="171" formatCode="0.000000"/>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WenQuanYi Zen Hei"/>
      <family val="2"/>
    </font>
    <font>
      <b val="true"/>
      <sz val="16"/>
      <color rgb="FFFFFFFF"/>
      <name val="Yu Gothic"/>
      <family val="0"/>
      <charset val="1"/>
    </font>
    <font>
      <b val="true"/>
      <sz val="11"/>
      <color rgb="FF1F3864"/>
      <name val="WenQuanYi Zen Hei"/>
      <family val="2"/>
    </font>
    <font>
      <sz val="10"/>
      <name val="WenQuanYi Zen Hei"/>
      <family val="2"/>
    </font>
    <font>
      <sz val="10"/>
      <name val="Yu Gothic"/>
      <family val="0"/>
      <charset val="1"/>
    </font>
    <font>
      <b val="true"/>
      <sz val="11"/>
      <color rgb="FF1F3864"/>
      <name val="Yu Gothic"/>
      <family val="0"/>
      <charset val="1"/>
    </font>
    <font>
      <b val="true"/>
      <sz val="10"/>
      <color rgb="FFC00000"/>
      <name val="WenQuanYi Zen Hei"/>
      <family val="2"/>
    </font>
    <font>
      <b val="true"/>
      <sz val="10"/>
      <color rgb="FFC00000"/>
      <name val="Yu Gothic"/>
      <family val="0"/>
      <charset val="1"/>
    </font>
    <font>
      <b val="true"/>
      <sz val="10"/>
      <name val="WenQuanYi Zen Hei"/>
      <family val="2"/>
    </font>
    <font>
      <sz val="10"/>
      <color rgb="FF0000FF"/>
      <name val="WenQuanYi Zen Hei"/>
      <family val="2"/>
    </font>
    <font>
      <b val="true"/>
      <sz val="10"/>
      <name val="Yu Gothic"/>
      <family val="0"/>
      <charset val="1"/>
    </font>
    <font>
      <sz val="10"/>
      <color rgb="FF0000FF"/>
      <name val="Yu Gothic"/>
      <family val="0"/>
      <charset val="1"/>
    </font>
    <font>
      <sz val="9"/>
      <color rgb="FF595959"/>
      <name val="WenQuanYi Zen Hei"/>
      <family val="2"/>
    </font>
    <font>
      <b val="true"/>
      <sz val="11"/>
      <color rgb="FFFFFFFF"/>
      <name val="WenQuanYi Zen Hei"/>
      <family val="2"/>
    </font>
    <font>
      <b val="true"/>
      <sz val="11"/>
      <color rgb="FFFFFFFF"/>
      <name val="Yu Gothic"/>
      <family val="0"/>
      <charset val="1"/>
    </font>
    <font>
      <sz val="9"/>
      <color rgb="FF595959"/>
      <name val="Yu Gothic"/>
      <family val="0"/>
      <charset val="1"/>
    </font>
    <font>
      <sz val="10"/>
      <name val="Arial"/>
      <family val="2"/>
    </font>
    <font>
      <b val="true"/>
      <sz val="18"/>
      <color rgb="FF000000"/>
      <name val="WenQuanYi Zen Hei"/>
      <family val="2"/>
    </font>
    <font>
      <sz val="10"/>
      <color rgb="FF000000"/>
      <name val="Calibri"/>
      <family val="2"/>
    </font>
    <font>
      <b val="true"/>
      <sz val="10"/>
      <color rgb="FF000000"/>
      <name val="WenQuanYi Zen Hei"/>
      <family val="2"/>
    </font>
    <font>
      <b val="true"/>
      <sz val="10"/>
      <color rgb="FF000000"/>
      <name val="Calibri"/>
      <family val="2"/>
    </font>
    <font>
      <b val="true"/>
      <sz val="24"/>
      <color rgb="FFC00000"/>
      <name val="Yu Gothic"/>
      <family val="0"/>
      <charset val="1"/>
    </font>
    <font>
      <b val="true"/>
      <sz val="24"/>
      <color rgb="FF1F3864"/>
      <name val="Yu Gothic"/>
      <family val="0"/>
      <charset val="1"/>
    </font>
  </fonts>
  <fills count="9">
    <fill>
      <patternFill patternType="none"/>
    </fill>
    <fill>
      <patternFill patternType="gray125"/>
    </fill>
    <fill>
      <patternFill patternType="solid">
        <fgColor rgb="FF1F3864"/>
        <bgColor rgb="FF1F4E79"/>
      </patternFill>
    </fill>
    <fill>
      <patternFill patternType="solid">
        <fgColor rgb="FFDCE6F1"/>
        <bgColor rgb="FFD9D9D9"/>
      </patternFill>
    </fill>
    <fill>
      <patternFill patternType="solid">
        <fgColor rgb="FFFFF2CC"/>
        <bgColor rgb="FFFCE4D6"/>
      </patternFill>
    </fill>
    <fill>
      <patternFill patternType="solid">
        <fgColor rgb="FF2E5C8A"/>
        <bgColor rgb="FF1F4E79"/>
      </patternFill>
    </fill>
    <fill>
      <patternFill patternType="solid">
        <fgColor rgb="FFFFFFFF"/>
        <bgColor rgb="FFF2F2F2"/>
      </patternFill>
    </fill>
    <fill>
      <patternFill patternType="solid">
        <fgColor rgb="FFF2F2F2"/>
        <bgColor rgb="FFFFFFFF"/>
      </patternFill>
    </fill>
    <fill>
      <patternFill patternType="solid">
        <fgColor rgb="FFFCE4D6"/>
        <bgColor rgb="FFFFF2CC"/>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4" borderId="0"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8" fontId="15" fillId="4" borderId="1" xfId="0" applyFont="true" applyBorder="true" applyAlignment="true" applyProtection="false">
      <alignment horizontal="center" vertical="center" textRotation="0" wrapText="false" indent="0" shrinkToFit="false"/>
      <protection locked="true" hidden="false"/>
    </xf>
    <xf numFmtId="167" fontId="15"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4" fontId="16" fillId="7"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71" fontId="19" fillId="0" borderId="1" xfId="0" applyFont="true" applyBorder="true" applyAlignment="true" applyProtection="false">
      <alignment horizontal="center" vertical="center"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9" fontId="14" fillId="8"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6" fontId="14" fillId="8"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true" applyAlignment="true" applyProtection="false">
      <alignment horizontal="left" vertical="center" textRotation="0" wrapText="fals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25" fillId="8"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4" fontId="26" fillId="3" borderId="2"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8" fontId="14" fillId="8" borderId="1" xfId="0" applyFont="true" applyBorder="true" applyAlignment="true" applyProtection="false">
      <alignment horizontal="center" vertical="center" textRotation="0" wrapText="false" indent="0" shrinkToFit="false"/>
      <protection locked="true" hidden="false"/>
    </xf>
    <xf numFmtId="170" fontId="14" fillId="8" borderId="1" xfId="0" applyFont="true" applyBorder="true" applyAlignment="true" applyProtection="false">
      <alignment horizontal="center" vertical="center" textRotation="0" wrapText="false" indent="0" shrinkToFit="false"/>
      <protection locked="true" hidden="false"/>
    </xf>
    <xf numFmtId="165" fontId="14" fillId="8" borderId="1" xfId="0" applyFont="true" applyBorder="true" applyAlignment="true" applyProtection="false">
      <alignment horizontal="center" vertical="center" textRotation="0" wrapText="false" indent="0" shrinkToFit="false"/>
      <protection locked="true" hidden="false"/>
    </xf>
    <xf numFmtId="166" fontId="19" fillId="8"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70" fontId="14" fillId="0" borderId="1"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general" vertical="top" textRotation="0" wrapText="true" indent="0" shrinkToFit="false"/>
      <protection locked="true" hidden="false"/>
    </xf>
    <xf numFmtId="164" fontId="16" fillId="7" borderId="0"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DCE6F1"/>
      <rgbColor rgb="FF660066"/>
      <rgbColor rgb="FFFF8080"/>
      <rgbColor rgb="FF2E5C8A"/>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年最高気温の経年変化</a:t>
            </a:r>
          </a:p>
        </c:rich>
      </c:tx>
      <c:overlay val="0"/>
      <c:spPr>
        <a:noFill/>
        <a:ln w="0">
          <a:noFill/>
        </a:ln>
      </c:spPr>
    </c:title>
    <c:autoTitleDeleted val="0"/>
    <c:plotArea>
      <c:scatterChart>
        <c:scatterStyle val="lineMarker"/>
        <c:varyColors val="0"/>
        <c:ser>
          <c:idx val="0"/>
          <c:order val="0"/>
          <c:tx>
            <c:strRef>
              <c:f>"年最高気温"</c:f>
              <c:strCache>
                <c:ptCount val="1"/>
                <c:pt idx="0">
                  <c:v>年最高気温</c:v>
                </c:pt>
              </c:strCache>
            </c:strRef>
          </c:tx>
          <c:spPr>
            <a:solidFill>
              <a:srgbClr val="ffffff"/>
            </a:solidFill>
            <a:ln w="2844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データ入力!$A$12:$A$211</c:f>
              <c:numCache>
                <c:formatCode>0</c:formatCode>
                <c:ptCount val="200"/>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numCache>
            </c:numRef>
          </c:xVal>
          <c:yVal>
            <c:numRef>
              <c:f>データ入力!$B$12:$B$211</c:f>
              <c:numCache>
                <c:formatCode>0.0</c:formatCode>
                <c:ptCount val="200"/>
                <c:pt idx="0">
                  <c:v>36</c:v>
                </c:pt>
                <c:pt idx="1">
                  <c:v>33.3</c:v>
                </c:pt>
                <c:pt idx="2">
                  <c:v>33</c:v>
                </c:pt>
                <c:pt idx="3">
                  <c:v>34.7</c:v>
                </c:pt>
                <c:pt idx="4">
                  <c:v>34.9</c:v>
                </c:pt>
                <c:pt idx="5">
                  <c:v>34.4</c:v>
                </c:pt>
                <c:pt idx="6">
                  <c:v>35.6</c:v>
                </c:pt>
                <c:pt idx="7">
                  <c:v>32.7</c:v>
                </c:pt>
                <c:pt idx="8">
                  <c:v>33.2</c:v>
                </c:pt>
                <c:pt idx="9">
                  <c:v>33</c:v>
                </c:pt>
                <c:pt idx="10">
                  <c:v>35</c:v>
                </c:pt>
                <c:pt idx="11">
                  <c:v>35.5</c:v>
                </c:pt>
                <c:pt idx="12">
                  <c:v>33.8</c:v>
                </c:pt>
                <c:pt idx="13">
                  <c:v>32.9</c:v>
                </c:pt>
                <c:pt idx="14">
                  <c:v>35.3</c:v>
                </c:pt>
                <c:pt idx="15">
                  <c:v>33.5</c:v>
                </c:pt>
                <c:pt idx="16">
                  <c:v>33.1</c:v>
                </c:pt>
                <c:pt idx="17">
                  <c:v>33.6</c:v>
                </c:pt>
                <c:pt idx="18">
                  <c:v>33.5</c:v>
                </c:pt>
                <c:pt idx="19">
                  <c:v>34.2</c:v>
                </c:pt>
                <c:pt idx="20">
                  <c:v>35.7</c:v>
                </c:pt>
                <c:pt idx="21">
                  <c:v>35.1</c:v>
                </c:pt>
                <c:pt idx="22">
                  <c:v>36.9</c:v>
                </c:pt>
                <c:pt idx="23">
                  <c:v>34.9</c:v>
                </c:pt>
                <c:pt idx="24">
                  <c:v>34.7</c:v>
                </c:pt>
                <c:pt idx="25">
                  <c:v>33.4</c:v>
                </c:pt>
                <c:pt idx="26">
                  <c:v>35</c:v>
                </c:pt>
                <c:pt idx="27">
                  <c:v>34.9</c:v>
                </c:pt>
                <c:pt idx="28">
                  <c:v>38.5</c:v>
                </c:pt>
                <c:pt idx="29">
                  <c:v>32.4</c:v>
                </c:pt>
                <c:pt idx="30">
                  <c:v>34.2</c:v>
                </c:pt>
                <c:pt idx="31">
                  <c:v>35.3</c:v>
                </c:pt>
                <c:pt idx="32">
                  <c:v>33.9</c:v>
                </c:pt>
                <c:pt idx="33">
                  <c:v>39.4</c:v>
                </c:pt>
                <c:pt idx="34">
                  <c:v>33.8</c:v>
                </c:pt>
                <c:pt idx="35">
                  <c:v>34.6</c:v>
                </c:pt>
                <c:pt idx="36">
                  <c:v>34.8</c:v>
                </c:pt>
                <c:pt idx="37">
                  <c:v>34.2</c:v>
                </c:pt>
                <c:pt idx="38">
                  <c:v>37.6</c:v>
                </c:pt>
                <c:pt idx="39">
                  <c:v>34.7</c:v>
                </c:pt>
                <c:pt idx="40">
                  <c:v>35.5</c:v>
                </c:pt>
                <c:pt idx="41">
                  <c:v>35.2</c:v>
                </c:pt>
                <c:pt idx="42">
                  <c:v>36.8</c:v>
                </c:pt>
                <c:pt idx="43">
                  <c:v>36.8</c:v>
                </c:pt>
                <c:pt idx="44">
                  <c:v>36.3</c:v>
                </c:pt>
                <c:pt idx="45">
                  <c:v>35.5</c:v>
                </c:pt>
                <c:pt idx="46">
                  <c:v>33.1</c:v>
                </c:pt>
                <c:pt idx="47">
                  <c:v>36.4</c:v>
                </c:pt>
                <c:pt idx="48">
                  <c:v>36.1</c:v>
                </c:pt>
                <c:pt idx="49">
                  <c:v>36.1</c:v>
                </c:pt>
                <c:pt idx="50">
                  <c:v>35.1</c:v>
                </c:pt>
                <c:pt idx="51">
                  <c:v>35.3</c:v>
                </c:pt>
                <c:pt idx="52">
                  <c:v>34.2</c:v>
                </c:pt>
                <c:pt idx="53">
                  <c:v>36.5</c:v>
                </c:pt>
                <c:pt idx="54">
                  <c:v>34.3</c:v>
                </c:pt>
                <c:pt idx="55">
                  <c:v>37.2</c:v>
                </c:pt>
                <c:pt idx="56">
                  <c:v>35.8</c:v>
                </c:pt>
                <c:pt idx="57">
                  <c:v>35</c:v>
                </c:pt>
                <c:pt idx="58">
                  <c:v>36.9</c:v>
                </c:pt>
                <c:pt idx="59">
                  <c:v>39.1</c:v>
                </c:pt>
                <c:pt idx="60">
                  <c:v>34.7</c:v>
                </c:pt>
                <c:pt idx="61">
                  <c:v>34.4</c:v>
                </c:pt>
                <c:pt idx="62">
                  <c:v>34</c:v>
                </c:pt>
                <c:pt idx="63">
                  <c:v>36.2</c:v>
                </c:pt>
                <c:pt idx="64">
                  <c:v>36</c:v>
                </c:pt>
                <c:pt idx="65">
                  <c:v>34.6</c:v>
                </c:pt>
                <c:pt idx="66">
                  <c:v>33.6</c:v>
                </c:pt>
                <c:pt idx="67">
                  <c:v>34.6</c:v>
                </c:pt>
                <c:pt idx="68">
                  <c:v>34.9</c:v>
                </c:pt>
                <c:pt idx="69">
                  <c:v>35.9</c:v>
                </c:pt>
                <c:pt idx="70">
                  <c:v>35.6</c:v>
                </c:pt>
                <c:pt idx="71">
                  <c:v>36.9</c:v>
                </c:pt>
                <c:pt idx="72">
                  <c:v>35.3</c:v>
                </c:pt>
                <c:pt idx="73">
                  <c:v>37.5</c:v>
                </c:pt>
                <c:pt idx="74">
                  <c:v>38.3</c:v>
                </c:pt>
              </c:numCache>
            </c:numRef>
          </c:yVal>
          <c:smooth val="1"/>
        </c:ser>
        <c:axId val="16499388"/>
        <c:axId val="27388655"/>
      </c:scatterChart>
      <c:valAx>
        <c:axId val="1649938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388655"/>
        <c:crosses val="autoZero"/>
        <c:crossBetween val="midCat"/>
      </c:valAx>
      <c:valAx>
        <c:axId val="273886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年最高気温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9938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確率プロット（グンベル確率紙）</a:t>
            </a:r>
          </a:p>
        </c:rich>
      </c:tx>
      <c:overlay val="0"/>
      <c:spPr>
        <a:noFill/>
        <a:ln w="0">
          <a:noFill/>
        </a:ln>
      </c:spPr>
    </c:title>
    <c:autoTitleDeleted val="0"/>
    <c:plotArea>
      <c:scatterChart>
        <c:scatterStyle val="lineMarker"/>
        <c:varyColors val="0"/>
        <c:ser>
          <c:idx val="0"/>
          <c:order val="0"/>
          <c:tx>
            <c:strRef>
              <c:f>"実測値"</c:f>
              <c:strCache>
                <c:ptCount val="1"/>
                <c:pt idx="0">
                  <c:v>実測値</c:v>
                </c:pt>
              </c:strCache>
            </c:strRef>
          </c:tx>
          <c:spPr>
            <a:solidFill>
              <a:srgbClr val="ffffff"/>
            </a:solidFill>
            <a:ln w="28440">
              <a:noFill/>
            </a:ln>
          </c:spPr>
          <c:marker>
            <c:symbol val="circle"/>
            <c:size val="6"/>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極値統計計算!$G$7:$G$206</c:f>
              <c:numCache>
                <c:formatCode>0.0000</c:formatCode>
                <c:ptCount val="200"/>
                <c:pt idx="0">
                  <c:v>4.32411803673528</c:v>
                </c:pt>
                <c:pt idx="1">
                  <c:v>3.62428166915145</c:v>
                </c:pt>
                <c:pt idx="2">
                  <c:v>3.21205168392545</c:v>
                </c:pt>
                <c:pt idx="3">
                  <c:v>2.91752716824826</c:v>
                </c:pt>
                <c:pt idx="4">
                  <c:v>2.68746165852696</c:v>
                </c:pt>
                <c:pt idx="5">
                  <c:v>2.4981366020931</c:v>
                </c:pt>
                <c:pt idx="6">
                  <c:v>2.33689877417924</c:v>
                </c:pt>
                <c:pt idx="7">
                  <c:v>2.19619439216721</c:v>
                </c:pt>
                <c:pt idx="8">
                  <c:v>2.07115024253337</c:v>
                </c:pt>
                <c:pt idx="9">
                  <c:v>1.95843810944543</c:v>
                </c:pt>
                <c:pt idx="10">
                  <c:v>1.85568332880831</c:v>
                </c:pt>
                <c:pt idx="11">
                  <c:v>1.76113178062393</c:v>
                </c:pt>
                <c:pt idx="12">
                  <c:v>1.67345063105779</c:v>
                </c:pt>
                <c:pt idx="13">
                  <c:v>1.59160312574703</c:v>
                </c:pt>
                <c:pt idx="14">
                  <c:v>1.51476668165505</c:v>
                </c:pt>
                <c:pt idx="15">
                  <c:v>1.4422774646944</c:v>
                </c:pt>
                <c:pt idx="16">
                  <c:v>1.37359179587105</c:v>
                </c:pt>
                <c:pt idx="17">
                  <c:v>1.30825860236668</c:v>
                </c:pt>
                <c:pt idx="18">
                  <c:v>1.24589932370724</c:v>
                </c:pt>
                <c:pt idx="19">
                  <c:v>1.18619297460674</c:v>
                </c:pt>
                <c:pt idx="20">
                  <c:v>1.12886485239008</c:v>
                </c:pt>
                <c:pt idx="21">
                  <c:v>1.07367787003111</c:v>
                </c:pt>
                <c:pt idx="22">
                  <c:v>1.02042581331049</c:v>
                </c:pt>
                <c:pt idx="23">
                  <c:v>0.968928029806553</c:v>
                </c:pt>
                <c:pt idx="24">
                  <c:v>0.919025198216819</c:v>
                </c:pt>
                <c:pt idx="25">
                  <c:v>0.870575923056064</c:v>
                </c:pt>
                <c:pt idx="26">
                  <c:v>0.823453967132036</c:v>
                </c:pt>
                <c:pt idx="27">
                  <c:v>0.777545981928109</c:v>
                </c:pt>
                <c:pt idx="28">
                  <c:v>0.732749630326731</c:v>
                </c:pt>
                <c:pt idx="29">
                  <c:v>0.688972021086659</c:v>
                </c:pt>
                <c:pt idx="30">
                  <c:v>0.646128392892847</c:v>
                </c:pt>
                <c:pt idx="31">
                  <c:v>0.604140999507441</c:v>
                </c:pt>
                <c:pt idx="32">
                  <c:v>0.562938157861984</c:v>
                </c:pt>
                <c:pt idx="33">
                  <c:v>0.522453428754192</c:v>
                </c:pt>
                <c:pt idx="34">
                  <c:v>0.482624905792189</c:v>
                </c:pt>
                <c:pt idx="35">
                  <c:v>0.443394592826866</c:v>
                </c:pt>
                <c:pt idx="36">
                  <c:v>0.404707853662671</c:v>
                </c:pt>
                <c:pt idx="37">
                  <c:v>0.366512920581664</c:v>
                </c:pt>
                <c:pt idx="38">
                  <c:v>0.328760450332515</c:v>
                </c:pt>
                <c:pt idx="39">
                  <c:v>0.291403117855206</c:v>
                </c:pt>
                <c:pt idx="40">
                  <c:v>0.254395239227418</c:v>
                </c:pt>
                <c:pt idx="41">
                  <c:v>0.217692416196994</c:v>
                </c:pt>
                <c:pt idx="42">
                  <c:v>0.181251195251485</c:v>
                </c:pt>
                <c:pt idx="43">
                  <c:v>0.145028734497877</c:v>
                </c:pt>
                <c:pt idx="44">
                  <c:v>0.108982471693961</c:v>
                </c:pt>
                <c:pt idx="45">
                  <c:v>0.0730697865827188</c:v>
                </c:pt>
                <c:pt idx="46">
                  <c:v>0.0372476502109304</c:v>
                </c:pt>
                <c:pt idx="47">
                  <c:v>0.00147225312183743</c:v>
                </c:pt>
                <c:pt idx="48">
                  <c:v>-0.0343013968662063</c:v>
                </c:pt>
                <c:pt idx="49">
                  <c:v>-0.0701199182449438</c:v>
                </c:pt>
                <c:pt idx="50">
                  <c:v>-0.106032054001788</c:v>
                </c:pt>
                <c:pt idx="51">
                  <c:v>-0.142089240756235</c:v>
                </c:pt>
                <c:pt idx="52">
                  <c:v>-0.178346269429913</c:v>
                </c:pt>
                <c:pt idx="53">
                  <c:v>-0.21486206380487</c:v>
                </c:pt>
                <c:pt idx="54">
                  <c:v>-0.251700611251591</c:v>
                </c:pt>
                <c:pt idx="55">
                  <c:v>-0.288932090902336</c:v>
                </c:pt>
                <c:pt idx="56">
                  <c:v>-0.326634259978281</c:v>
                </c:pt>
                <c:pt idx="57">
                  <c:v>-0.364894180949921</c:v>
                </c:pt>
                <c:pt idx="58">
                  <c:v>-0.403810403993518</c:v>
                </c:pt>
                <c:pt idx="59">
                  <c:v>-0.443495766020465</c:v>
                </c:pt>
                <c:pt idx="60">
                  <c:v>-0.484081037915991</c:v>
                </c:pt>
                <c:pt idx="61">
                  <c:v>-0.525719759793889</c:v>
                </c:pt>
                <c:pt idx="62">
                  <c:v>-0.568594774668803</c:v>
                </c:pt>
                <c:pt idx="63">
                  <c:v>-0.612927247869579</c:v>
                </c:pt>
                <c:pt idx="64">
                  <c:v>-0.658989424077629</c:v>
                </c:pt>
                <c:pt idx="65">
                  <c:v>-0.707123183299989</c:v>
                </c:pt>
                <c:pt idx="66">
                  <c:v>-0.757767930949464</c:v>
                </c:pt>
                <c:pt idx="67">
                  <c:v>-0.811504184179196</c:v>
                </c:pt>
                <c:pt idx="68">
                  <c:v>-0.869124987936512</c:v>
                </c:pt>
                <c:pt idx="69">
                  <c:v>-0.931760011633068</c:v>
                </c:pt>
                <c:pt idx="70">
                  <c:v>-1.00110802717179</c:v>
                </c:pt>
                <c:pt idx="71">
                  <c:v>-1.07991829952208</c:v>
                </c:pt>
                <c:pt idx="72">
                  <c:v>-1.17313859404726</c:v>
                </c:pt>
                <c:pt idx="73">
                  <c:v>-1.29132031873981</c:v>
                </c:pt>
                <c:pt idx="74">
                  <c:v>-1.4657368903269</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numCache>
            </c:numRef>
          </c:xVal>
          <c:yVal>
            <c:numRef>
              <c:f>極値統計計算!$C$7:$C$206</c:f>
              <c:numCache>
                <c:formatCode>0.0</c:formatCode>
                <c:ptCount val="200"/>
                <c:pt idx="0">
                  <c:v>39.4</c:v>
                </c:pt>
                <c:pt idx="1">
                  <c:v>39.1</c:v>
                </c:pt>
                <c:pt idx="2">
                  <c:v>38.5</c:v>
                </c:pt>
                <c:pt idx="3">
                  <c:v>38.3</c:v>
                </c:pt>
                <c:pt idx="4">
                  <c:v>37.6</c:v>
                </c:pt>
                <c:pt idx="5">
                  <c:v>37.5</c:v>
                </c:pt>
                <c:pt idx="6">
                  <c:v>37.2</c:v>
                </c:pt>
                <c:pt idx="7">
                  <c:v>36.9</c:v>
                </c:pt>
                <c:pt idx="8">
                  <c:v>36.9</c:v>
                </c:pt>
                <c:pt idx="9">
                  <c:v>36.9</c:v>
                </c:pt>
                <c:pt idx="10">
                  <c:v>36.8</c:v>
                </c:pt>
                <c:pt idx="11">
                  <c:v>36.8</c:v>
                </c:pt>
                <c:pt idx="12">
                  <c:v>36.5</c:v>
                </c:pt>
                <c:pt idx="13">
                  <c:v>36.4</c:v>
                </c:pt>
                <c:pt idx="14">
                  <c:v>36.3</c:v>
                </c:pt>
                <c:pt idx="15">
                  <c:v>36.2</c:v>
                </c:pt>
                <c:pt idx="16">
                  <c:v>36.1</c:v>
                </c:pt>
                <c:pt idx="17">
                  <c:v>36.1</c:v>
                </c:pt>
                <c:pt idx="18">
                  <c:v>36</c:v>
                </c:pt>
                <c:pt idx="19">
                  <c:v>36</c:v>
                </c:pt>
                <c:pt idx="20">
                  <c:v>35.9</c:v>
                </c:pt>
                <c:pt idx="21">
                  <c:v>35.8</c:v>
                </c:pt>
                <c:pt idx="22">
                  <c:v>35.7</c:v>
                </c:pt>
                <c:pt idx="23">
                  <c:v>35.6</c:v>
                </c:pt>
                <c:pt idx="24">
                  <c:v>35.6</c:v>
                </c:pt>
                <c:pt idx="25">
                  <c:v>35.5</c:v>
                </c:pt>
                <c:pt idx="26">
                  <c:v>35.5</c:v>
                </c:pt>
                <c:pt idx="27">
                  <c:v>35.5</c:v>
                </c:pt>
                <c:pt idx="28">
                  <c:v>35.3</c:v>
                </c:pt>
                <c:pt idx="29">
                  <c:v>35.3</c:v>
                </c:pt>
                <c:pt idx="30">
                  <c:v>35.3</c:v>
                </c:pt>
                <c:pt idx="31">
                  <c:v>35.3</c:v>
                </c:pt>
                <c:pt idx="32">
                  <c:v>35.2</c:v>
                </c:pt>
                <c:pt idx="33">
                  <c:v>35.1</c:v>
                </c:pt>
                <c:pt idx="34">
                  <c:v>35.1</c:v>
                </c:pt>
                <c:pt idx="35">
                  <c:v>35</c:v>
                </c:pt>
                <c:pt idx="36">
                  <c:v>35</c:v>
                </c:pt>
                <c:pt idx="37">
                  <c:v>35</c:v>
                </c:pt>
                <c:pt idx="38">
                  <c:v>34.9</c:v>
                </c:pt>
                <c:pt idx="39">
                  <c:v>34.9</c:v>
                </c:pt>
                <c:pt idx="40">
                  <c:v>34.9</c:v>
                </c:pt>
                <c:pt idx="41">
                  <c:v>34.9</c:v>
                </c:pt>
                <c:pt idx="42">
                  <c:v>34.8</c:v>
                </c:pt>
                <c:pt idx="43">
                  <c:v>34.7</c:v>
                </c:pt>
                <c:pt idx="44">
                  <c:v>34.7</c:v>
                </c:pt>
                <c:pt idx="45">
                  <c:v>34.7</c:v>
                </c:pt>
                <c:pt idx="46">
                  <c:v>34.7</c:v>
                </c:pt>
                <c:pt idx="47">
                  <c:v>34.6</c:v>
                </c:pt>
                <c:pt idx="48">
                  <c:v>34.6</c:v>
                </c:pt>
                <c:pt idx="49">
                  <c:v>34.6</c:v>
                </c:pt>
                <c:pt idx="50">
                  <c:v>34.4</c:v>
                </c:pt>
                <c:pt idx="51">
                  <c:v>34.4</c:v>
                </c:pt>
                <c:pt idx="52">
                  <c:v>34.3</c:v>
                </c:pt>
                <c:pt idx="53">
                  <c:v>34.2</c:v>
                </c:pt>
                <c:pt idx="54">
                  <c:v>34.2</c:v>
                </c:pt>
                <c:pt idx="55">
                  <c:v>34.2</c:v>
                </c:pt>
                <c:pt idx="56">
                  <c:v>34.2</c:v>
                </c:pt>
                <c:pt idx="57">
                  <c:v>34</c:v>
                </c:pt>
                <c:pt idx="58">
                  <c:v>33.9</c:v>
                </c:pt>
                <c:pt idx="59">
                  <c:v>33.8</c:v>
                </c:pt>
                <c:pt idx="60">
                  <c:v>33.8</c:v>
                </c:pt>
                <c:pt idx="61">
                  <c:v>33.6</c:v>
                </c:pt>
                <c:pt idx="62">
                  <c:v>33.6</c:v>
                </c:pt>
                <c:pt idx="63">
                  <c:v>33.5</c:v>
                </c:pt>
                <c:pt idx="64">
                  <c:v>33.5</c:v>
                </c:pt>
                <c:pt idx="65">
                  <c:v>33.4</c:v>
                </c:pt>
                <c:pt idx="66">
                  <c:v>33.3</c:v>
                </c:pt>
                <c:pt idx="67">
                  <c:v>33.2</c:v>
                </c:pt>
                <c:pt idx="68">
                  <c:v>33.1</c:v>
                </c:pt>
                <c:pt idx="69">
                  <c:v>33.1</c:v>
                </c:pt>
                <c:pt idx="70">
                  <c:v>33</c:v>
                </c:pt>
                <c:pt idx="71">
                  <c:v>33</c:v>
                </c:pt>
                <c:pt idx="72">
                  <c:v>32.9</c:v>
                </c:pt>
                <c:pt idx="73">
                  <c:v>32.7</c:v>
                </c:pt>
                <c:pt idx="74">
                  <c:v>32.4</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numCache>
            </c:numRef>
          </c:yVal>
          <c:smooth val="1"/>
        </c:ser>
        <c:ser>
          <c:idx val="1"/>
          <c:order val="1"/>
          <c:tx>
            <c:strRef>
              <c:f>"ワイブル分布(第III種)"</c:f>
              <c:strCache>
                <c:ptCount val="1"/>
                <c:pt idx="0">
                  <c:v>ワイブル分布(第III種)</c:v>
                </c:pt>
              </c:strCache>
            </c:strRef>
          </c:tx>
          <c:spPr>
            <a:solidFill>
              <a:srgbClr val="c00000"/>
            </a:solidFill>
            <a:ln w="2196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極値統計計算!$AF$7:$AF$47</c:f>
              <c:numCache>
                <c:formatCode>0.00</c:formatCode>
                <c:ptCount val="41"/>
                <c:pt idx="0">
                  <c:v>-2</c:v>
                </c:pt>
                <c:pt idx="1">
                  <c:v>-1.8</c:v>
                </c:pt>
                <c:pt idx="2">
                  <c:v>-1.6</c:v>
                </c:pt>
                <c:pt idx="3">
                  <c:v>-1.4</c:v>
                </c:pt>
                <c:pt idx="4">
                  <c:v>-1.2</c:v>
                </c:pt>
                <c:pt idx="5">
                  <c:v>-1</c:v>
                </c:pt>
                <c:pt idx="6">
                  <c:v>-0.8</c:v>
                </c:pt>
                <c:pt idx="7">
                  <c:v>-0.6</c:v>
                </c:pt>
                <c:pt idx="8">
                  <c:v>-0.4</c:v>
                </c:pt>
                <c:pt idx="9">
                  <c:v>-0.2</c:v>
                </c:pt>
                <c:pt idx="10">
                  <c:v>0</c:v>
                </c:pt>
                <c:pt idx="11">
                  <c:v>0.2</c:v>
                </c:pt>
                <c:pt idx="12">
                  <c:v>0.4</c:v>
                </c:pt>
                <c:pt idx="13">
                  <c:v>0.6</c:v>
                </c:pt>
                <c:pt idx="14">
                  <c:v>0.8</c:v>
                </c:pt>
                <c:pt idx="15">
                  <c:v>1</c:v>
                </c:pt>
                <c:pt idx="16">
                  <c:v>1.2</c:v>
                </c:pt>
                <c:pt idx="17">
                  <c:v>1.4</c:v>
                </c:pt>
                <c:pt idx="18">
                  <c:v>1.6</c:v>
                </c:pt>
                <c:pt idx="19">
                  <c:v>1.8</c:v>
                </c:pt>
                <c:pt idx="20">
                  <c:v>2</c:v>
                </c:pt>
                <c:pt idx="21">
                  <c:v>2.2</c:v>
                </c:pt>
                <c:pt idx="22">
                  <c:v>2.4</c:v>
                </c:pt>
                <c:pt idx="23">
                  <c:v>2.6</c:v>
                </c:pt>
                <c:pt idx="24">
                  <c:v>2.8</c:v>
                </c:pt>
                <c:pt idx="25">
                  <c:v>3</c:v>
                </c:pt>
                <c:pt idx="26">
                  <c:v>3.2</c:v>
                </c:pt>
                <c:pt idx="27">
                  <c:v>3.4</c:v>
                </c:pt>
                <c:pt idx="28">
                  <c:v>3.6</c:v>
                </c:pt>
                <c:pt idx="29">
                  <c:v>3.8</c:v>
                </c:pt>
                <c:pt idx="30">
                  <c:v>4</c:v>
                </c:pt>
                <c:pt idx="31">
                  <c:v>4.2</c:v>
                </c:pt>
                <c:pt idx="32">
                  <c:v>4.4</c:v>
                </c:pt>
                <c:pt idx="33">
                  <c:v>4.6</c:v>
                </c:pt>
                <c:pt idx="34">
                  <c:v>4.8</c:v>
                </c:pt>
                <c:pt idx="35">
                  <c:v>5</c:v>
                </c:pt>
                <c:pt idx="36">
                  <c:v>5.2</c:v>
                </c:pt>
                <c:pt idx="37">
                  <c:v>5.4</c:v>
                </c:pt>
                <c:pt idx="38">
                  <c:v>5.6</c:v>
                </c:pt>
                <c:pt idx="39">
                  <c:v>5.8</c:v>
                </c:pt>
                <c:pt idx="40">
                  <c:v>6</c:v>
                </c:pt>
              </c:numCache>
            </c:numRef>
          </c:xVal>
          <c:yVal>
            <c:numRef>
              <c:f>極値統計計算!$AH$7:$AH$47</c:f>
              <c:numCache>
                <c:formatCode>0.00</c:formatCode>
                <c:ptCount val="41"/>
                <c:pt idx="0">
                  <c:v>31.6554597712847</c:v>
                </c:pt>
                <c:pt idx="1">
                  <c:v>31.9487424350154</c:v>
                </c:pt>
                <c:pt idx="2">
                  <c:v>32.2389323932787</c:v>
                </c:pt>
                <c:pt idx="3">
                  <c:v>32.5260622590734</c:v>
                </c:pt>
                <c:pt idx="4">
                  <c:v>32.8101643014894</c:v>
                </c:pt>
                <c:pt idx="5">
                  <c:v>33.091270449335</c:v>
                </c:pt>
                <c:pt idx="6">
                  <c:v>33.3694122947248</c:v>
                </c:pt>
                <c:pt idx="7">
                  <c:v>33.6446210966303</c:v>
                </c:pt>
                <c:pt idx="8">
                  <c:v>33.9169277843927</c:v>
                </c:pt>
                <c:pt idx="9">
                  <c:v>34.1863629611994</c:v>
                </c:pt>
                <c:pt idx="10">
                  <c:v>34.4529569075228</c:v>
                </c:pt>
                <c:pt idx="11">
                  <c:v>34.7167395845237</c:v>
                </c:pt>
                <c:pt idx="12">
                  <c:v>34.9777406374185</c:v>
                </c:pt>
                <c:pt idx="13">
                  <c:v>35.2359893988106</c:v>
                </c:pt>
                <c:pt idx="14">
                  <c:v>35.4915148919872</c:v>
                </c:pt>
                <c:pt idx="15">
                  <c:v>35.744345834181</c:v>
                </c:pt>
                <c:pt idx="16">
                  <c:v>35.9945106397975</c:v>
                </c:pt>
                <c:pt idx="17">
                  <c:v>36.2420374236087</c:v>
                </c:pt>
                <c:pt idx="18">
                  <c:v>36.4869540039122</c:v>
                </c:pt>
                <c:pt idx="19">
                  <c:v>36.7292879056581</c:v>
                </c:pt>
                <c:pt idx="20">
                  <c:v>36.969066363542</c:v>
                </c:pt>
                <c:pt idx="21">
                  <c:v>37.206316325066</c:v>
                </c:pt>
                <c:pt idx="22">
                  <c:v>37.4410644535673</c:v>
                </c:pt>
                <c:pt idx="23">
                  <c:v>37.6733371312143</c:v>
                </c:pt>
                <c:pt idx="24">
                  <c:v>37.9031604619721</c:v>
                </c:pt>
                <c:pt idx="25">
                  <c:v>38.1305602745358</c:v>
                </c:pt>
                <c:pt idx="26">
                  <c:v>38.3555621252335</c:v>
                </c:pt>
                <c:pt idx="27">
                  <c:v>38.5781913008983</c:v>
                </c:pt>
                <c:pt idx="28">
                  <c:v>38.7984728217102</c:v>
                </c:pt>
                <c:pt idx="29">
                  <c:v>39.0164314440081</c:v>
                </c:pt>
                <c:pt idx="30">
                  <c:v>39.2320916630719</c:v>
                </c:pt>
                <c:pt idx="31">
                  <c:v>39.4454777158753</c:v>
                </c:pt>
                <c:pt idx="32">
                  <c:v>39.6566135838102</c:v>
                </c:pt>
                <c:pt idx="33">
                  <c:v>39.865522995381</c:v>
                </c:pt>
                <c:pt idx="34">
                  <c:v>40.0722294288721</c:v>
                </c:pt>
                <c:pt idx="35">
                  <c:v>40.2767561149863</c:v>
                </c:pt>
                <c:pt idx="36">
                  <c:v>40.4791260394551</c:v>
                </c:pt>
                <c:pt idx="37">
                  <c:v>40.6793619456227</c:v>
                </c:pt>
                <c:pt idx="38">
                  <c:v>40.8774863370016</c:v>
                </c:pt>
                <c:pt idx="39">
                  <c:v>41.0735214798014</c:v>
                </c:pt>
                <c:pt idx="40">
                  <c:v>41.267489405432</c:v>
                </c:pt>
              </c:numCache>
            </c:numRef>
          </c:yVal>
          <c:smooth val="1"/>
        </c:ser>
        <c:ser>
          <c:idx val="2"/>
          <c:order val="2"/>
          <c:tx>
            <c:strRef>
              <c:f>"グンベル分布(第I種)"</c:f>
              <c:strCache>
                <c:ptCount val="1"/>
                <c:pt idx="0">
                  <c:v>グンベル分布(第I種)</c:v>
                </c:pt>
              </c:strCache>
            </c:strRef>
          </c:tx>
          <c:spPr>
            <a:solidFill>
              <a:srgbClr val="1f4e79"/>
            </a:solidFill>
            <a:ln w="21960">
              <a:solidFill>
                <a:srgbClr val="1f4e7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極値統計計算!$AF$7:$AF$47</c:f>
              <c:numCache>
                <c:formatCode>0.00</c:formatCode>
                <c:ptCount val="41"/>
                <c:pt idx="0">
                  <c:v>-2</c:v>
                </c:pt>
                <c:pt idx="1">
                  <c:v>-1.8</c:v>
                </c:pt>
                <c:pt idx="2">
                  <c:v>-1.6</c:v>
                </c:pt>
                <c:pt idx="3">
                  <c:v>-1.4</c:v>
                </c:pt>
                <c:pt idx="4">
                  <c:v>-1.2</c:v>
                </c:pt>
                <c:pt idx="5">
                  <c:v>-1</c:v>
                </c:pt>
                <c:pt idx="6">
                  <c:v>-0.8</c:v>
                </c:pt>
                <c:pt idx="7">
                  <c:v>-0.6</c:v>
                </c:pt>
                <c:pt idx="8">
                  <c:v>-0.4</c:v>
                </c:pt>
                <c:pt idx="9">
                  <c:v>-0.2</c:v>
                </c:pt>
                <c:pt idx="10">
                  <c:v>0</c:v>
                </c:pt>
                <c:pt idx="11">
                  <c:v>0.2</c:v>
                </c:pt>
                <c:pt idx="12">
                  <c:v>0.4</c:v>
                </c:pt>
                <c:pt idx="13">
                  <c:v>0.6</c:v>
                </c:pt>
                <c:pt idx="14">
                  <c:v>0.8</c:v>
                </c:pt>
                <c:pt idx="15">
                  <c:v>1</c:v>
                </c:pt>
                <c:pt idx="16">
                  <c:v>1.2</c:v>
                </c:pt>
                <c:pt idx="17">
                  <c:v>1.4</c:v>
                </c:pt>
                <c:pt idx="18">
                  <c:v>1.6</c:v>
                </c:pt>
                <c:pt idx="19">
                  <c:v>1.8</c:v>
                </c:pt>
                <c:pt idx="20">
                  <c:v>2</c:v>
                </c:pt>
                <c:pt idx="21">
                  <c:v>2.2</c:v>
                </c:pt>
                <c:pt idx="22">
                  <c:v>2.4</c:v>
                </c:pt>
                <c:pt idx="23">
                  <c:v>2.6</c:v>
                </c:pt>
                <c:pt idx="24">
                  <c:v>2.8</c:v>
                </c:pt>
                <c:pt idx="25">
                  <c:v>3</c:v>
                </c:pt>
                <c:pt idx="26">
                  <c:v>3.2</c:v>
                </c:pt>
                <c:pt idx="27">
                  <c:v>3.4</c:v>
                </c:pt>
                <c:pt idx="28">
                  <c:v>3.6</c:v>
                </c:pt>
                <c:pt idx="29">
                  <c:v>3.8</c:v>
                </c:pt>
                <c:pt idx="30">
                  <c:v>4</c:v>
                </c:pt>
                <c:pt idx="31">
                  <c:v>4.2</c:v>
                </c:pt>
                <c:pt idx="32">
                  <c:v>4.4</c:v>
                </c:pt>
                <c:pt idx="33">
                  <c:v>4.6</c:v>
                </c:pt>
                <c:pt idx="34">
                  <c:v>4.8</c:v>
                </c:pt>
                <c:pt idx="35">
                  <c:v>5</c:v>
                </c:pt>
                <c:pt idx="36">
                  <c:v>5.2</c:v>
                </c:pt>
                <c:pt idx="37">
                  <c:v>5.4</c:v>
                </c:pt>
                <c:pt idx="38">
                  <c:v>5.6</c:v>
                </c:pt>
                <c:pt idx="39">
                  <c:v>5.8</c:v>
                </c:pt>
                <c:pt idx="40">
                  <c:v>6</c:v>
                </c:pt>
              </c:numCache>
            </c:numRef>
          </c:xVal>
          <c:yVal>
            <c:numRef>
              <c:f>極値統計計算!$AG$7:$AG$47</c:f>
              <c:numCache>
                <c:formatCode>0.00</c:formatCode>
                <c:ptCount val="41"/>
                <c:pt idx="0">
                  <c:v>31.9362671614258</c:v>
                </c:pt>
                <c:pt idx="1">
                  <c:v>32.1863355856141</c:v>
                </c:pt>
                <c:pt idx="2">
                  <c:v>32.4364040098024</c:v>
                </c:pt>
                <c:pt idx="3">
                  <c:v>32.6864724339906</c:v>
                </c:pt>
                <c:pt idx="4">
                  <c:v>32.9365408581789</c:v>
                </c:pt>
                <c:pt idx="5">
                  <c:v>33.1866092823672</c:v>
                </c:pt>
                <c:pt idx="6">
                  <c:v>33.4366777065554</c:v>
                </c:pt>
                <c:pt idx="7">
                  <c:v>33.6867461307437</c:v>
                </c:pt>
                <c:pt idx="8">
                  <c:v>33.936814554932</c:v>
                </c:pt>
                <c:pt idx="9">
                  <c:v>34.1868829791202</c:v>
                </c:pt>
                <c:pt idx="10">
                  <c:v>34.4369514033085</c:v>
                </c:pt>
                <c:pt idx="11">
                  <c:v>34.6870198274968</c:v>
                </c:pt>
                <c:pt idx="12">
                  <c:v>34.9370882516851</c:v>
                </c:pt>
                <c:pt idx="13">
                  <c:v>35.1871566758733</c:v>
                </c:pt>
                <c:pt idx="14">
                  <c:v>35.4372251000616</c:v>
                </c:pt>
                <c:pt idx="15">
                  <c:v>35.6872935242499</c:v>
                </c:pt>
                <c:pt idx="16">
                  <c:v>35.9373619484381</c:v>
                </c:pt>
                <c:pt idx="17">
                  <c:v>36.1874303726264</c:v>
                </c:pt>
                <c:pt idx="18">
                  <c:v>36.4374987968147</c:v>
                </c:pt>
                <c:pt idx="19">
                  <c:v>36.6875672210029</c:v>
                </c:pt>
                <c:pt idx="20">
                  <c:v>36.9376356451912</c:v>
                </c:pt>
                <c:pt idx="21">
                  <c:v>37.1877040693795</c:v>
                </c:pt>
                <c:pt idx="22">
                  <c:v>37.4377724935678</c:v>
                </c:pt>
                <c:pt idx="23">
                  <c:v>37.687840917756</c:v>
                </c:pt>
                <c:pt idx="24">
                  <c:v>37.9379093419443</c:v>
                </c:pt>
                <c:pt idx="25">
                  <c:v>38.1879777661326</c:v>
                </c:pt>
                <c:pt idx="26">
                  <c:v>38.4380461903208</c:v>
                </c:pt>
                <c:pt idx="27">
                  <c:v>38.6881146145091</c:v>
                </c:pt>
                <c:pt idx="28">
                  <c:v>38.9381830386974</c:v>
                </c:pt>
                <c:pt idx="29">
                  <c:v>39.1882514628856</c:v>
                </c:pt>
                <c:pt idx="30">
                  <c:v>39.4383198870739</c:v>
                </c:pt>
                <c:pt idx="31">
                  <c:v>39.6883883112622</c:v>
                </c:pt>
                <c:pt idx="32">
                  <c:v>39.9384567354505</c:v>
                </c:pt>
                <c:pt idx="33">
                  <c:v>40.1885251596387</c:v>
                </c:pt>
                <c:pt idx="34">
                  <c:v>40.438593583827</c:v>
                </c:pt>
                <c:pt idx="35">
                  <c:v>40.6886620080153</c:v>
                </c:pt>
                <c:pt idx="36">
                  <c:v>40.9387304322035</c:v>
                </c:pt>
                <c:pt idx="37">
                  <c:v>41.1887988563918</c:v>
                </c:pt>
                <c:pt idx="38">
                  <c:v>41.4388672805801</c:v>
                </c:pt>
                <c:pt idx="39">
                  <c:v>41.6889357047684</c:v>
                </c:pt>
                <c:pt idx="40">
                  <c:v>41.9390041289566</c:v>
                </c:pt>
              </c:numCache>
            </c:numRef>
          </c:yVal>
          <c:smooth val="1"/>
        </c:ser>
        <c:axId val="63606928"/>
        <c:axId val="74248984"/>
      </c:scatterChart>
      <c:valAx>
        <c:axId val="6360692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基準化変数 u = −ln(−ln F)</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48984"/>
        <c:crosses val="autoZero"/>
        <c:crossBetween val="midCat"/>
      </c:valAx>
      <c:valAx>
        <c:axId val="742489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年最高気温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60692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再現期間と年最高外気温度</a:t>
            </a:r>
          </a:p>
        </c:rich>
      </c:tx>
      <c:overlay val="0"/>
      <c:spPr>
        <a:noFill/>
        <a:ln w="0">
          <a:noFill/>
        </a:ln>
      </c:spPr>
    </c:title>
    <c:autoTitleDeleted val="0"/>
    <c:plotArea>
      <c:scatterChart>
        <c:scatterStyle val="lineMarker"/>
        <c:varyColors val="0"/>
        <c:ser>
          <c:idx val="0"/>
          <c:order val="0"/>
          <c:tx>
            <c:strRef>
              <c:f>"実測値"</c:f>
              <c:strCache>
                <c:ptCount val="1"/>
                <c:pt idx="0">
                  <c:v>実測値</c:v>
                </c:pt>
              </c:strCache>
            </c:strRef>
          </c:tx>
          <c:spPr>
            <a:solidFill>
              <a:srgbClr val="ffffff"/>
            </a:solidFill>
            <a:ln w="28440">
              <a:noFill/>
            </a:ln>
          </c:spPr>
          <c:marker>
            <c:symbol val="circle"/>
            <c:size val="6"/>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極値統計計算!$F$7:$F$206</c:f>
              <c:numCache>
                <c:formatCode>0.00</c:formatCode>
                <c:ptCount val="200"/>
                <c:pt idx="0">
                  <c:v>76</c:v>
                </c:pt>
                <c:pt idx="1">
                  <c:v>38</c:v>
                </c:pt>
                <c:pt idx="2">
                  <c:v>25.3333333333333</c:v>
                </c:pt>
                <c:pt idx="3">
                  <c:v>19</c:v>
                </c:pt>
                <c:pt idx="4">
                  <c:v>15.2</c:v>
                </c:pt>
                <c:pt idx="5">
                  <c:v>12.6666666666667</c:v>
                </c:pt>
                <c:pt idx="6">
                  <c:v>10.8571428571429</c:v>
                </c:pt>
                <c:pt idx="7">
                  <c:v>9.5</c:v>
                </c:pt>
                <c:pt idx="8">
                  <c:v>8.44444444444445</c:v>
                </c:pt>
                <c:pt idx="9">
                  <c:v>7.6</c:v>
                </c:pt>
                <c:pt idx="10">
                  <c:v>6.90909090909091</c:v>
                </c:pt>
                <c:pt idx="11">
                  <c:v>6.33333333333333</c:v>
                </c:pt>
                <c:pt idx="12">
                  <c:v>5.84615384615385</c:v>
                </c:pt>
                <c:pt idx="13">
                  <c:v>5.42857142857143</c:v>
                </c:pt>
                <c:pt idx="14">
                  <c:v>5.06666666666667</c:v>
                </c:pt>
                <c:pt idx="15">
                  <c:v>4.75</c:v>
                </c:pt>
                <c:pt idx="16">
                  <c:v>4.47058823529412</c:v>
                </c:pt>
                <c:pt idx="17">
                  <c:v>4.22222222222222</c:v>
                </c:pt>
                <c:pt idx="18">
                  <c:v>4</c:v>
                </c:pt>
                <c:pt idx="19">
                  <c:v>3.8</c:v>
                </c:pt>
                <c:pt idx="20">
                  <c:v>3.61904761904762</c:v>
                </c:pt>
                <c:pt idx="21">
                  <c:v>3.45454545454545</c:v>
                </c:pt>
                <c:pt idx="22">
                  <c:v>3.30434782608696</c:v>
                </c:pt>
                <c:pt idx="23">
                  <c:v>3.16666666666667</c:v>
                </c:pt>
                <c:pt idx="24">
                  <c:v>3.04</c:v>
                </c:pt>
                <c:pt idx="25">
                  <c:v>2.92307692307692</c:v>
                </c:pt>
                <c:pt idx="26">
                  <c:v>2.81481481481482</c:v>
                </c:pt>
                <c:pt idx="27">
                  <c:v>2.71428571428571</c:v>
                </c:pt>
                <c:pt idx="28">
                  <c:v>2.62068965517241</c:v>
                </c:pt>
                <c:pt idx="29">
                  <c:v>2.53333333333333</c:v>
                </c:pt>
                <c:pt idx="30">
                  <c:v>2.45161290322581</c:v>
                </c:pt>
                <c:pt idx="31">
                  <c:v>2.375</c:v>
                </c:pt>
                <c:pt idx="32">
                  <c:v>2.3030303030303</c:v>
                </c:pt>
                <c:pt idx="33">
                  <c:v>2.23529411764706</c:v>
                </c:pt>
                <c:pt idx="34">
                  <c:v>2.17142857142857</c:v>
                </c:pt>
                <c:pt idx="35">
                  <c:v>2.11111111111111</c:v>
                </c:pt>
                <c:pt idx="36">
                  <c:v>2.05405405405405</c:v>
                </c:pt>
                <c:pt idx="37">
                  <c:v>2</c:v>
                </c:pt>
                <c:pt idx="38">
                  <c:v>1.94871794871795</c:v>
                </c:pt>
                <c:pt idx="39">
                  <c:v>1.9</c:v>
                </c:pt>
                <c:pt idx="40">
                  <c:v>1.85365853658537</c:v>
                </c:pt>
                <c:pt idx="41">
                  <c:v>1.80952380952381</c:v>
                </c:pt>
                <c:pt idx="42">
                  <c:v>1.76744186046512</c:v>
                </c:pt>
                <c:pt idx="43">
                  <c:v>1.72727272727273</c:v>
                </c:pt>
                <c:pt idx="44">
                  <c:v>1.68888888888889</c:v>
                </c:pt>
                <c:pt idx="45">
                  <c:v>1.65217391304348</c:v>
                </c:pt>
                <c:pt idx="46">
                  <c:v>1.61702127659574</c:v>
                </c:pt>
                <c:pt idx="47">
                  <c:v>1.58333333333333</c:v>
                </c:pt>
                <c:pt idx="48">
                  <c:v>1.55102040816327</c:v>
                </c:pt>
                <c:pt idx="49">
                  <c:v>1.52</c:v>
                </c:pt>
                <c:pt idx="50">
                  <c:v>1.49019607843137</c:v>
                </c:pt>
                <c:pt idx="51">
                  <c:v>1.46153846153846</c:v>
                </c:pt>
                <c:pt idx="52">
                  <c:v>1.43396226415094</c:v>
                </c:pt>
                <c:pt idx="53">
                  <c:v>1.40740740740741</c:v>
                </c:pt>
                <c:pt idx="54">
                  <c:v>1.38181818181818</c:v>
                </c:pt>
                <c:pt idx="55">
                  <c:v>1.35714285714286</c:v>
                </c:pt>
                <c:pt idx="56">
                  <c:v>1.33333333333333</c:v>
                </c:pt>
                <c:pt idx="57">
                  <c:v>1.31034482758621</c:v>
                </c:pt>
                <c:pt idx="58">
                  <c:v>1.28813559322034</c:v>
                </c:pt>
                <c:pt idx="59">
                  <c:v>1.26666666666667</c:v>
                </c:pt>
                <c:pt idx="60">
                  <c:v>1.24590163934426</c:v>
                </c:pt>
                <c:pt idx="61">
                  <c:v>1.2258064516129</c:v>
                </c:pt>
                <c:pt idx="62">
                  <c:v>1.20634920634921</c:v>
                </c:pt>
                <c:pt idx="63">
                  <c:v>1.1875</c:v>
                </c:pt>
                <c:pt idx="64">
                  <c:v>1.16923076923077</c:v>
                </c:pt>
                <c:pt idx="65">
                  <c:v>1.15151515151515</c:v>
                </c:pt>
                <c:pt idx="66">
                  <c:v>1.13432835820896</c:v>
                </c:pt>
                <c:pt idx="67">
                  <c:v>1.11764705882353</c:v>
                </c:pt>
                <c:pt idx="68">
                  <c:v>1.10144927536232</c:v>
                </c:pt>
                <c:pt idx="69">
                  <c:v>1.08571428571429</c:v>
                </c:pt>
                <c:pt idx="70">
                  <c:v>1.07042253521127</c:v>
                </c:pt>
                <c:pt idx="71">
                  <c:v>1.05555555555556</c:v>
                </c:pt>
                <c:pt idx="72">
                  <c:v>1.04109589041096</c:v>
                </c:pt>
                <c:pt idx="73">
                  <c:v>1.02702702702703</c:v>
                </c:pt>
                <c:pt idx="74">
                  <c:v>1.01333333333333</c:v>
                </c:pt>
              </c:numCache>
            </c:numRef>
          </c:xVal>
          <c:yVal>
            <c:numRef>
              <c:f>極値統計計算!$C$7:$C$206</c:f>
              <c:numCache>
                <c:formatCode>0.0</c:formatCode>
                <c:ptCount val="200"/>
                <c:pt idx="0">
                  <c:v>39.4</c:v>
                </c:pt>
                <c:pt idx="1">
                  <c:v>39.1</c:v>
                </c:pt>
                <c:pt idx="2">
                  <c:v>38.5</c:v>
                </c:pt>
                <c:pt idx="3">
                  <c:v>38.3</c:v>
                </c:pt>
                <c:pt idx="4">
                  <c:v>37.6</c:v>
                </c:pt>
                <c:pt idx="5">
                  <c:v>37.5</c:v>
                </c:pt>
                <c:pt idx="6">
                  <c:v>37.2</c:v>
                </c:pt>
                <c:pt idx="7">
                  <c:v>36.9</c:v>
                </c:pt>
                <c:pt idx="8">
                  <c:v>36.9</c:v>
                </c:pt>
                <c:pt idx="9">
                  <c:v>36.9</c:v>
                </c:pt>
                <c:pt idx="10">
                  <c:v>36.8</c:v>
                </c:pt>
                <c:pt idx="11">
                  <c:v>36.8</c:v>
                </c:pt>
                <c:pt idx="12">
                  <c:v>36.5</c:v>
                </c:pt>
                <c:pt idx="13">
                  <c:v>36.4</c:v>
                </c:pt>
                <c:pt idx="14">
                  <c:v>36.3</c:v>
                </c:pt>
                <c:pt idx="15">
                  <c:v>36.2</c:v>
                </c:pt>
                <c:pt idx="16">
                  <c:v>36.1</c:v>
                </c:pt>
                <c:pt idx="17">
                  <c:v>36.1</c:v>
                </c:pt>
                <c:pt idx="18">
                  <c:v>36</c:v>
                </c:pt>
                <c:pt idx="19">
                  <c:v>36</c:v>
                </c:pt>
                <c:pt idx="20">
                  <c:v>35.9</c:v>
                </c:pt>
                <c:pt idx="21">
                  <c:v>35.8</c:v>
                </c:pt>
                <c:pt idx="22">
                  <c:v>35.7</c:v>
                </c:pt>
                <c:pt idx="23">
                  <c:v>35.6</c:v>
                </c:pt>
                <c:pt idx="24">
                  <c:v>35.6</c:v>
                </c:pt>
                <c:pt idx="25">
                  <c:v>35.5</c:v>
                </c:pt>
                <c:pt idx="26">
                  <c:v>35.5</c:v>
                </c:pt>
                <c:pt idx="27">
                  <c:v>35.5</c:v>
                </c:pt>
                <c:pt idx="28">
                  <c:v>35.3</c:v>
                </c:pt>
                <c:pt idx="29">
                  <c:v>35.3</c:v>
                </c:pt>
                <c:pt idx="30">
                  <c:v>35.3</c:v>
                </c:pt>
                <c:pt idx="31">
                  <c:v>35.3</c:v>
                </c:pt>
                <c:pt idx="32">
                  <c:v>35.2</c:v>
                </c:pt>
                <c:pt idx="33">
                  <c:v>35.1</c:v>
                </c:pt>
                <c:pt idx="34">
                  <c:v>35.1</c:v>
                </c:pt>
                <c:pt idx="35">
                  <c:v>35</c:v>
                </c:pt>
                <c:pt idx="36">
                  <c:v>35</c:v>
                </c:pt>
                <c:pt idx="37">
                  <c:v>35</c:v>
                </c:pt>
                <c:pt idx="38">
                  <c:v>34.9</c:v>
                </c:pt>
                <c:pt idx="39">
                  <c:v>34.9</c:v>
                </c:pt>
                <c:pt idx="40">
                  <c:v>34.9</c:v>
                </c:pt>
                <c:pt idx="41">
                  <c:v>34.9</c:v>
                </c:pt>
                <c:pt idx="42">
                  <c:v>34.8</c:v>
                </c:pt>
                <c:pt idx="43">
                  <c:v>34.7</c:v>
                </c:pt>
                <c:pt idx="44">
                  <c:v>34.7</c:v>
                </c:pt>
                <c:pt idx="45">
                  <c:v>34.7</c:v>
                </c:pt>
                <c:pt idx="46">
                  <c:v>34.7</c:v>
                </c:pt>
                <c:pt idx="47">
                  <c:v>34.6</c:v>
                </c:pt>
                <c:pt idx="48">
                  <c:v>34.6</c:v>
                </c:pt>
                <c:pt idx="49">
                  <c:v>34.6</c:v>
                </c:pt>
                <c:pt idx="50">
                  <c:v>34.4</c:v>
                </c:pt>
                <c:pt idx="51">
                  <c:v>34.4</c:v>
                </c:pt>
                <c:pt idx="52">
                  <c:v>34.3</c:v>
                </c:pt>
                <c:pt idx="53">
                  <c:v>34.2</c:v>
                </c:pt>
                <c:pt idx="54">
                  <c:v>34.2</c:v>
                </c:pt>
                <c:pt idx="55">
                  <c:v>34.2</c:v>
                </c:pt>
                <c:pt idx="56">
                  <c:v>34.2</c:v>
                </c:pt>
                <c:pt idx="57">
                  <c:v>34</c:v>
                </c:pt>
                <c:pt idx="58">
                  <c:v>33.9</c:v>
                </c:pt>
                <c:pt idx="59">
                  <c:v>33.8</c:v>
                </c:pt>
                <c:pt idx="60">
                  <c:v>33.8</c:v>
                </c:pt>
                <c:pt idx="61">
                  <c:v>33.6</c:v>
                </c:pt>
                <c:pt idx="62">
                  <c:v>33.6</c:v>
                </c:pt>
                <c:pt idx="63">
                  <c:v>33.5</c:v>
                </c:pt>
                <c:pt idx="64">
                  <c:v>33.5</c:v>
                </c:pt>
                <c:pt idx="65">
                  <c:v>33.4</c:v>
                </c:pt>
                <c:pt idx="66">
                  <c:v>33.3</c:v>
                </c:pt>
                <c:pt idx="67">
                  <c:v>33.2</c:v>
                </c:pt>
                <c:pt idx="68">
                  <c:v>33.1</c:v>
                </c:pt>
                <c:pt idx="69">
                  <c:v>33.1</c:v>
                </c:pt>
                <c:pt idx="70">
                  <c:v>33</c:v>
                </c:pt>
                <c:pt idx="71">
                  <c:v>33</c:v>
                </c:pt>
                <c:pt idx="72">
                  <c:v>32.9</c:v>
                </c:pt>
                <c:pt idx="73">
                  <c:v>32.7</c:v>
                </c:pt>
                <c:pt idx="74">
                  <c:v>32.4</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numCache>
            </c:numRef>
          </c:yVal>
          <c:smooth val="1"/>
        </c:ser>
        <c:ser>
          <c:idx val="1"/>
          <c:order val="1"/>
          <c:tx>
            <c:strRef>
              <c:f>"ワイブル分布(第III種)"</c:f>
              <c:strCache>
                <c:ptCount val="1"/>
                <c:pt idx="0">
                  <c:v>ワイブル分布(第III種)</c:v>
                </c:pt>
              </c:strCache>
            </c:strRef>
          </c:tx>
          <c:spPr>
            <a:solidFill>
              <a:srgbClr val="c00000"/>
            </a:solidFill>
            <a:ln w="2196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結果!$A$14:$A$24</c:f>
              <c:numCache>
                <c:formatCode>0</c:formatCode>
                <c:ptCount val="11"/>
                <c:pt idx="0">
                  <c:v>2</c:v>
                </c:pt>
                <c:pt idx="1">
                  <c:v>5</c:v>
                </c:pt>
                <c:pt idx="2">
                  <c:v>10</c:v>
                </c:pt>
                <c:pt idx="3">
                  <c:v>20</c:v>
                </c:pt>
                <c:pt idx="4">
                  <c:v>25</c:v>
                </c:pt>
                <c:pt idx="5">
                  <c:v>30</c:v>
                </c:pt>
                <c:pt idx="6">
                  <c:v>50</c:v>
                </c:pt>
                <c:pt idx="7">
                  <c:v>75</c:v>
                </c:pt>
                <c:pt idx="8">
                  <c:v>100</c:v>
                </c:pt>
                <c:pt idx="9">
                  <c:v>150</c:v>
                </c:pt>
                <c:pt idx="10">
                  <c:v>200</c:v>
                </c:pt>
              </c:numCache>
            </c:numRef>
          </c:xVal>
          <c:yVal>
            <c:numRef>
              <c:f>結果!$C$14:$C$24</c:f>
              <c:numCache>
                <c:formatCode>0.00</c:formatCode>
                <c:ptCount val="11"/>
                <c:pt idx="0">
                  <c:v>34.9342324500271</c:v>
                </c:pt>
                <c:pt idx="1">
                  <c:v>36.3647467710897</c:v>
                </c:pt>
                <c:pt idx="2">
                  <c:v>37.2656691536414</c:v>
                </c:pt>
                <c:pt idx="3">
                  <c:v>38.0968249678169</c:v>
                </c:pt>
                <c:pt idx="4">
                  <c:v>38.3539218171036</c:v>
                </c:pt>
                <c:pt idx="5">
                  <c:v>38.5607940441355</c:v>
                </c:pt>
                <c:pt idx="6">
                  <c:v>39.1266376728949</c:v>
                </c:pt>
                <c:pt idx="7">
                  <c:v>39.5627066904539</c:v>
                </c:pt>
                <c:pt idx="8">
                  <c:v>39.8656780443957</c:v>
                </c:pt>
                <c:pt idx="9">
                  <c:v>40.2841729434058</c:v>
                </c:pt>
                <c:pt idx="10">
                  <c:v>40.5753160898361</c:v>
                </c:pt>
              </c:numCache>
            </c:numRef>
          </c:yVal>
          <c:smooth val="1"/>
        </c:ser>
        <c:ser>
          <c:idx val="2"/>
          <c:order val="2"/>
          <c:tx>
            <c:strRef>
              <c:f>"グンベル分布(第I種)"</c:f>
              <c:strCache>
                <c:ptCount val="1"/>
                <c:pt idx="0">
                  <c:v>グンベル分布(第I種)</c:v>
                </c:pt>
              </c:strCache>
            </c:strRef>
          </c:tx>
          <c:spPr>
            <a:solidFill>
              <a:srgbClr val="1f4e79"/>
            </a:solidFill>
            <a:ln w="21960">
              <a:solidFill>
                <a:srgbClr val="1f4e7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結果!$A$14:$A$24</c:f>
              <c:numCache>
                <c:formatCode>0</c:formatCode>
                <c:ptCount val="11"/>
                <c:pt idx="0">
                  <c:v>2</c:v>
                </c:pt>
                <c:pt idx="1">
                  <c:v>5</c:v>
                </c:pt>
                <c:pt idx="2">
                  <c:v>10</c:v>
                </c:pt>
                <c:pt idx="3">
                  <c:v>20</c:v>
                </c:pt>
                <c:pt idx="4">
                  <c:v>25</c:v>
                </c:pt>
                <c:pt idx="5">
                  <c:v>30</c:v>
                </c:pt>
                <c:pt idx="6">
                  <c:v>50</c:v>
                </c:pt>
                <c:pt idx="7">
                  <c:v>75</c:v>
                </c:pt>
                <c:pt idx="8">
                  <c:v>100</c:v>
                </c:pt>
                <c:pt idx="9">
                  <c:v>150</c:v>
                </c:pt>
                <c:pt idx="10">
                  <c:v>200</c:v>
                </c:pt>
              </c:numCache>
            </c:numRef>
          </c:xVal>
          <c:yVal>
            <c:numRef>
              <c:f>結果!$D$14:$D$24</c:f>
              <c:numCache>
                <c:formatCode>0.00</c:formatCode>
                <c:ptCount val="11"/>
                <c:pt idx="0">
                  <c:v>34.895217945781</c:v>
                </c:pt>
                <c:pt idx="1">
                  <c:v>36.3123895476382</c:v>
                </c:pt>
                <c:pt idx="2">
                  <c:v>37.2506804602375</c:v>
                </c:pt>
                <c:pt idx="3">
                  <c:v>38.1507116306058</c:v>
                </c:pt>
                <c:pt idx="4">
                  <c:v>38.4362135156677</c:v>
                </c:pt>
                <c:pt idx="5">
                  <c:v>38.6684773582005</c:v>
                </c:pt>
                <c:pt idx="6">
                  <c:v>39.3157096606551</c:v>
                </c:pt>
                <c:pt idx="7">
                  <c:v>39.8269063512686</c:v>
                </c:pt>
                <c:pt idx="8">
                  <c:v>40.1887117441631</c:v>
                </c:pt>
                <c:pt idx="9">
                  <c:v>40.6977803333554</c:v>
                </c:pt>
                <c:pt idx="10">
                  <c:v>41.0585283897127</c:v>
                </c:pt>
              </c:numCache>
            </c:numRef>
          </c:yVal>
          <c:smooth val="1"/>
        </c:ser>
        <c:axId val="21495401"/>
        <c:axId val="84879148"/>
      </c:scatterChart>
      <c:valAx>
        <c:axId val="21495401"/>
        <c:scaling>
          <c:logBase val="10"/>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再現期間 T (年)  ※対数軸</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79148"/>
        <c:crosses val="autoZero"/>
        <c:crossBetween val="midCat"/>
      </c:valAx>
      <c:valAx>
        <c:axId val="848791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年最高外気温度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49540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11</xdr:row>
      <xdr:rowOff>0</xdr:rowOff>
    </xdr:from>
    <xdr:to>
      <xdr:col>13</xdr:col>
      <xdr:colOff>187560</xdr:colOff>
      <xdr:row>24</xdr:row>
      <xdr:rowOff>43200</xdr:rowOff>
    </xdr:to>
    <xdr:graphicFrame>
      <xdr:nvGraphicFramePr>
        <xdr:cNvPr id="0" name="Chart 1"/>
        <xdr:cNvGraphicFramePr/>
      </xdr:nvGraphicFramePr>
      <xdr:xfrm>
        <a:off x="8267760" y="249552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0</xdr:rowOff>
    </xdr:from>
    <xdr:to>
      <xdr:col>17</xdr:col>
      <xdr:colOff>191880</xdr:colOff>
      <xdr:row>17</xdr:row>
      <xdr:rowOff>37440</xdr:rowOff>
    </xdr:to>
    <xdr:graphicFrame>
      <xdr:nvGraphicFramePr>
        <xdr:cNvPr id="1" name="Chart 1"/>
        <xdr:cNvGraphicFramePr/>
      </xdr:nvGraphicFramePr>
      <xdr:xfrm>
        <a:off x="13068360" y="514440"/>
        <a:ext cx="61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23</xdr:row>
      <xdr:rowOff>0</xdr:rowOff>
    </xdr:from>
    <xdr:to>
      <xdr:col>17</xdr:col>
      <xdr:colOff>191880</xdr:colOff>
      <xdr:row>41</xdr:row>
      <xdr:rowOff>170640</xdr:rowOff>
    </xdr:to>
    <xdr:graphicFrame>
      <xdr:nvGraphicFramePr>
        <xdr:cNvPr id="2" name="Chart 2"/>
        <xdr:cNvGraphicFramePr/>
      </xdr:nvGraphicFramePr>
      <xdr:xfrm>
        <a:off x="13068360" y="5219640"/>
        <a:ext cx="61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6"/>
  </cols>
  <sheetData>
    <row r="1" customFormat="false" ht="25.5" hidden="false" customHeight="true" outlineLevel="0" collapsed="false">
      <c r="A1" s="1" t="s">
        <v>0</v>
      </c>
      <c r="B1" s="1"/>
      <c r="C1" s="1"/>
    </row>
    <row r="3" customFormat="false" ht="23.25" hidden="false" customHeight="true" outlineLevel="0" collapsed="false">
      <c r="B3" s="2" t="s">
        <v>1</v>
      </c>
      <c r="C3" s="3" t="s">
        <v>2</v>
      </c>
    </row>
    <row r="4" customFormat="false" ht="69.75" hidden="false" customHeight="true" outlineLevel="0" collapsed="false">
      <c r="B4" s="2" t="s">
        <v>3</v>
      </c>
      <c r="C4" s="3" t="s">
        <v>4</v>
      </c>
    </row>
    <row r="5" customFormat="false" ht="132" hidden="false" customHeight="true" outlineLevel="0" collapsed="false">
      <c r="B5" s="2" t="s">
        <v>5</v>
      </c>
      <c r="C5" s="3" t="s">
        <v>6</v>
      </c>
    </row>
    <row r="6" customFormat="false" ht="178.5" hidden="false" customHeight="true" outlineLevel="0" collapsed="false">
      <c r="B6" s="2" t="s">
        <v>7</v>
      </c>
      <c r="C6" s="3" t="s">
        <v>8</v>
      </c>
    </row>
    <row r="7" customFormat="false" ht="39" hidden="false" customHeight="true" outlineLevel="0" collapsed="false">
      <c r="B7" s="2" t="s">
        <v>9</v>
      </c>
      <c r="C7" s="3" t="s">
        <v>10</v>
      </c>
    </row>
    <row r="8" customFormat="false" ht="85.5" hidden="false" customHeight="true" outlineLevel="0" collapsed="false">
      <c r="B8" s="2" t="s">
        <v>11</v>
      </c>
      <c r="C8" s="3" t="s">
        <v>12</v>
      </c>
    </row>
    <row r="9" customFormat="false" ht="85.5" hidden="false" customHeight="true" outlineLevel="0" collapsed="false">
      <c r="B9" s="2" t="s">
        <v>13</v>
      </c>
      <c r="C9" s="3" t="s">
        <v>14</v>
      </c>
    </row>
    <row r="10" customFormat="false" ht="54" hidden="false" customHeight="true" outlineLevel="0" collapsed="false">
      <c r="B10" s="2" t="s">
        <v>15</v>
      </c>
      <c r="C10" s="4" t="s">
        <v>16</v>
      </c>
    </row>
    <row r="12" customFormat="false" ht="33.75" hidden="false" customHeight="true" outlineLevel="0" collapsed="false">
      <c r="B12" s="5" t="s">
        <v>17</v>
      </c>
      <c r="C12" s="5" t="s">
        <v>18</v>
      </c>
    </row>
  </sheetData>
  <mergeCells count="1">
    <mergeCell ref="A1:C1"/>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30"/>
    <col collapsed="false" customWidth="true" hidden="false" outlineLevel="0" max="4" min="4" style="0" width="20"/>
    <col collapsed="false" customWidth="true" hidden="false" outlineLevel="0" max="5" min="5" style="0" width="13"/>
    <col collapsed="false" customWidth="true" hidden="false" outlineLevel="0" max="6" min="6" style="0" width="3"/>
    <col collapsed="false" customWidth="true" hidden="false" outlineLevel="0" max="8" min="7" style="0" width="10"/>
  </cols>
  <sheetData>
    <row r="1" customFormat="false" ht="25.5" hidden="false" customHeight="true" outlineLevel="0" collapsed="false">
      <c r="A1" s="1" t="s">
        <v>19</v>
      </c>
      <c r="B1" s="1"/>
      <c r="C1" s="1"/>
      <c r="D1" s="1"/>
      <c r="E1" s="1"/>
      <c r="F1" s="1"/>
      <c r="G1" s="1"/>
      <c r="H1" s="1"/>
    </row>
    <row r="2" customFormat="false" ht="19.5" hidden="false" customHeight="true" outlineLevel="0" collapsed="false">
      <c r="A2" s="6" t="s">
        <v>20</v>
      </c>
      <c r="B2" s="6"/>
      <c r="C2" s="6"/>
      <c r="D2" s="6"/>
      <c r="E2" s="6"/>
      <c r="F2" s="6"/>
      <c r="G2" s="6"/>
      <c r="H2" s="6"/>
      <c r="I2" s="6"/>
      <c r="J2" s="6"/>
      <c r="K2" s="6"/>
      <c r="L2" s="6"/>
      <c r="M2" s="6"/>
      <c r="N2" s="6"/>
      <c r="O2" s="6"/>
      <c r="P2" s="6"/>
    </row>
    <row r="3" customFormat="false" ht="15" hidden="false" customHeight="false" outlineLevel="0" collapsed="false">
      <c r="D3" s="7" t="s">
        <v>21</v>
      </c>
      <c r="E3" s="8"/>
    </row>
    <row r="4" customFormat="false" ht="15" hidden="false" customHeight="false" outlineLevel="0" collapsed="false">
      <c r="A4" s="9" t="s">
        <v>22</v>
      </c>
      <c r="B4" s="10" t="s">
        <v>23</v>
      </c>
      <c r="C4" s="10"/>
      <c r="D4" s="11" t="s">
        <v>24</v>
      </c>
      <c r="E4" s="12" t="n">
        <f aca="false">IFERROR(AVERAGE(データ入力!$B$12:$B$211),"")</f>
        <v>35.132</v>
      </c>
    </row>
    <row r="5" customFormat="false" ht="15" hidden="false" customHeight="false" outlineLevel="0" collapsed="false">
      <c r="A5" s="9" t="s">
        <v>25</v>
      </c>
      <c r="B5" s="10" t="s">
        <v>26</v>
      </c>
      <c r="C5" s="10"/>
      <c r="D5" s="11" t="s">
        <v>27</v>
      </c>
      <c r="E5" s="13" t="n">
        <f aca="false">IFERROR(STDEV(データ入力!$B$12:$B$211),"")</f>
        <v>1.50370353604835</v>
      </c>
    </row>
    <row r="6" customFormat="false" ht="15" hidden="false" customHeight="false" outlineLevel="0" collapsed="false">
      <c r="A6" s="9" t="s">
        <v>28</v>
      </c>
      <c r="B6" s="10" t="s">
        <v>29</v>
      </c>
      <c r="C6" s="10"/>
      <c r="D6" s="11" t="s">
        <v>30</v>
      </c>
      <c r="E6" s="14" t="n">
        <f aca="false">IFERROR(MAX(データ入力!$B$12:$B$211),"")</f>
        <v>39.4</v>
      </c>
    </row>
    <row r="7" customFormat="false" ht="15" hidden="false" customHeight="false" outlineLevel="0" collapsed="false">
      <c r="A7" s="9" t="s">
        <v>31</v>
      </c>
      <c r="B7" s="15" t="str">
        <f aca="false">IF(B8=0,"データを入力してください",TEXT(MIN(データ入力!$A$12:$A$211),"0")&amp;" 〜 "&amp;TEXT(MAX(データ入力!$A$12:$A$211),"0")&amp;"　（"&amp;B8&amp;"年間）")</f>
        <v>1950 〜 2024　（75年間）</v>
      </c>
      <c r="C7" s="15"/>
      <c r="D7" s="11" t="s">
        <v>32</v>
      </c>
      <c r="E7" s="16" t="n">
        <f aca="false">IFERROR(INDEX(データ入力!$A$12:$A$211,MATCH(MAX(データ入力!$B$12:$B$211),データ入力!$B$12:$B$211,0)),"")</f>
        <v>1983</v>
      </c>
    </row>
    <row r="8" customFormat="false" ht="15" hidden="false" customHeight="false" outlineLevel="0" collapsed="false">
      <c r="A8" s="9" t="s">
        <v>33</v>
      </c>
      <c r="B8" s="16" t="n">
        <f aca="false">COUNT(データ入力!$B$12:$B$211)</f>
        <v>75</v>
      </c>
      <c r="C8" s="17" t="s">
        <v>34</v>
      </c>
      <c r="D8" s="11" t="s">
        <v>35</v>
      </c>
      <c r="E8" s="14" t="n">
        <f aca="false">IFERROR(MIN(データ入力!$B$12:$B$211),"")</f>
        <v>32.4</v>
      </c>
    </row>
    <row r="9" customFormat="false" ht="15" hidden="false" customHeight="false" outlineLevel="0" collapsed="false">
      <c r="A9" s="9" t="s">
        <v>36</v>
      </c>
      <c r="B9" s="18" t="str">
        <f aca="false">IF(B8=0,"データを入力してください",IF(B8&lt;10,"× n&lt;10：極値解析には不足しています",IF(B8&lt;30,"△ n&lt;30：100年再現値の信頼性は低い（参考値扱い）",IF(B8&lt;50,"○ n≧30：概ね実用可（n≧50を推奨）","◎ n≧50：良好"))))</f>
        <v>◎ n≧50：良好</v>
      </c>
      <c r="C9" s="18"/>
      <c r="D9" s="11" t="s">
        <v>37</v>
      </c>
      <c r="E9" s="19" t="n">
        <f aca="false">IFERROR(SLOPE(データ入力!$B$12:$B$211,データ入力!$A$12:$A$211),"")</f>
        <v>0.028153627311522</v>
      </c>
    </row>
    <row r="10" customFormat="false" ht="15" hidden="false" customHeight="false" outlineLevel="0" collapsed="false">
      <c r="D10" s="15" t="s">
        <v>38</v>
      </c>
      <c r="E10" s="12" t="n">
        <f aca="false">IFERROR(E9*100,"")</f>
        <v>2.8153627311522</v>
      </c>
    </row>
    <row r="11" customFormat="false" ht="31.5" hidden="false" customHeight="true" outlineLevel="0" collapsed="false">
      <c r="A11" s="20" t="s">
        <v>39</v>
      </c>
      <c r="B11" s="20" t="s">
        <v>40</v>
      </c>
      <c r="C11" s="20" t="s">
        <v>41</v>
      </c>
      <c r="D11" s="21"/>
      <c r="E11" s="21"/>
      <c r="F11" s="21"/>
      <c r="G11" s="21"/>
      <c r="H11" s="21"/>
      <c r="I11" s="22" t="s">
        <v>42</v>
      </c>
      <c r="J11" s="22"/>
      <c r="K11" s="22"/>
      <c r="L11" s="22"/>
      <c r="M11" s="22"/>
      <c r="N11" s="22"/>
      <c r="O11" s="22"/>
      <c r="P11" s="22"/>
    </row>
    <row r="12" customFormat="false" ht="15" hidden="false" customHeight="false" outlineLevel="0" collapsed="false">
      <c r="A12" s="23" t="n">
        <v>1950</v>
      </c>
      <c r="B12" s="24" t="n">
        <v>36</v>
      </c>
      <c r="C12" s="25" t="s">
        <v>43</v>
      </c>
    </row>
    <row r="13" customFormat="false" ht="15" hidden="false" customHeight="false" outlineLevel="0" collapsed="false">
      <c r="A13" s="23" t="n">
        <v>1951</v>
      </c>
      <c r="B13" s="24" t="n">
        <v>33.3</v>
      </c>
      <c r="C13" s="25"/>
    </row>
    <row r="14" customFormat="false" ht="15" hidden="false" customHeight="false" outlineLevel="0" collapsed="false">
      <c r="A14" s="23" t="n">
        <v>1952</v>
      </c>
      <c r="B14" s="24" t="n">
        <v>33</v>
      </c>
      <c r="C14" s="25"/>
    </row>
    <row r="15" customFormat="false" ht="15" hidden="false" customHeight="false" outlineLevel="0" collapsed="false">
      <c r="A15" s="23" t="n">
        <v>1953</v>
      </c>
      <c r="B15" s="24" t="n">
        <v>34.7</v>
      </c>
      <c r="C15" s="25"/>
    </row>
    <row r="16" customFormat="false" ht="15" hidden="false" customHeight="false" outlineLevel="0" collapsed="false">
      <c r="A16" s="23" t="n">
        <v>1954</v>
      </c>
      <c r="B16" s="24" t="n">
        <v>34.9</v>
      </c>
      <c r="C16" s="25"/>
    </row>
    <row r="17" customFormat="false" ht="15" hidden="false" customHeight="false" outlineLevel="0" collapsed="false">
      <c r="A17" s="23" t="n">
        <v>1955</v>
      </c>
      <c r="B17" s="24" t="n">
        <v>34.4</v>
      </c>
      <c r="C17" s="25"/>
    </row>
    <row r="18" customFormat="false" ht="15" hidden="false" customHeight="false" outlineLevel="0" collapsed="false">
      <c r="A18" s="23" t="n">
        <v>1956</v>
      </c>
      <c r="B18" s="24" t="n">
        <v>35.6</v>
      </c>
      <c r="C18" s="25"/>
    </row>
    <row r="19" customFormat="false" ht="15" hidden="false" customHeight="false" outlineLevel="0" collapsed="false">
      <c r="A19" s="23" t="n">
        <v>1957</v>
      </c>
      <c r="B19" s="24" t="n">
        <v>32.7</v>
      </c>
      <c r="C19" s="25"/>
    </row>
    <row r="20" customFormat="false" ht="15" hidden="false" customHeight="false" outlineLevel="0" collapsed="false">
      <c r="A20" s="23" t="n">
        <v>1958</v>
      </c>
      <c r="B20" s="24" t="n">
        <v>33.2</v>
      </c>
      <c r="C20" s="25"/>
    </row>
    <row r="21" customFormat="false" ht="15" hidden="false" customHeight="false" outlineLevel="0" collapsed="false">
      <c r="A21" s="23" t="n">
        <v>1959</v>
      </c>
      <c r="B21" s="24" t="n">
        <v>33</v>
      </c>
      <c r="C21" s="25"/>
    </row>
    <row r="22" customFormat="false" ht="15" hidden="false" customHeight="false" outlineLevel="0" collapsed="false">
      <c r="A22" s="23" t="n">
        <v>1960</v>
      </c>
      <c r="B22" s="24" t="n">
        <v>35</v>
      </c>
      <c r="C22" s="25"/>
    </row>
    <row r="23" customFormat="false" ht="15" hidden="false" customHeight="false" outlineLevel="0" collapsed="false">
      <c r="A23" s="23" t="n">
        <v>1961</v>
      </c>
      <c r="B23" s="24" t="n">
        <v>35.5</v>
      </c>
      <c r="C23" s="25"/>
    </row>
    <row r="24" customFormat="false" ht="15" hidden="false" customHeight="false" outlineLevel="0" collapsed="false">
      <c r="A24" s="23" t="n">
        <v>1962</v>
      </c>
      <c r="B24" s="24" t="n">
        <v>33.8</v>
      </c>
      <c r="C24" s="25"/>
    </row>
    <row r="25" customFormat="false" ht="15" hidden="false" customHeight="false" outlineLevel="0" collapsed="false">
      <c r="A25" s="23" t="n">
        <v>1963</v>
      </c>
      <c r="B25" s="24" t="n">
        <v>32.9</v>
      </c>
      <c r="C25" s="25"/>
    </row>
    <row r="26" customFormat="false" ht="15" hidden="false" customHeight="false" outlineLevel="0" collapsed="false">
      <c r="A26" s="23" t="n">
        <v>1964</v>
      </c>
      <c r="B26" s="24" t="n">
        <v>35.3</v>
      </c>
      <c r="C26" s="25"/>
    </row>
    <row r="27" customFormat="false" ht="15" hidden="false" customHeight="false" outlineLevel="0" collapsed="false">
      <c r="A27" s="23" t="n">
        <v>1965</v>
      </c>
      <c r="B27" s="24" t="n">
        <v>33.5</v>
      </c>
      <c r="C27" s="25"/>
    </row>
    <row r="28" customFormat="false" ht="15" hidden="false" customHeight="false" outlineLevel="0" collapsed="false">
      <c r="A28" s="23" t="n">
        <v>1966</v>
      </c>
      <c r="B28" s="24" t="n">
        <v>33.1</v>
      </c>
      <c r="C28" s="25"/>
    </row>
    <row r="29" customFormat="false" ht="15" hidden="false" customHeight="false" outlineLevel="0" collapsed="false">
      <c r="A29" s="23" t="n">
        <v>1967</v>
      </c>
      <c r="B29" s="24" t="n">
        <v>33.6</v>
      </c>
      <c r="C29" s="25"/>
    </row>
    <row r="30" customFormat="false" ht="15" hidden="false" customHeight="false" outlineLevel="0" collapsed="false">
      <c r="A30" s="23" t="n">
        <v>1968</v>
      </c>
      <c r="B30" s="24" t="n">
        <v>33.5</v>
      </c>
      <c r="C30" s="25"/>
    </row>
    <row r="31" customFormat="false" ht="15" hidden="false" customHeight="false" outlineLevel="0" collapsed="false">
      <c r="A31" s="23" t="n">
        <v>1969</v>
      </c>
      <c r="B31" s="24" t="n">
        <v>34.2</v>
      </c>
      <c r="C31" s="25"/>
    </row>
    <row r="32" customFormat="false" ht="15" hidden="false" customHeight="false" outlineLevel="0" collapsed="false">
      <c r="A32" s="23" t="n">
        <v>1970</v>
      </c>
      <c r="B32" s="24" t="n">
        <v>35.7</v>
      </c>
      <c r="C32" s="25"/>
    </row>
    <row r="33" customFormat="false" ht="15" hidden="false" customHeight="false" outlineLevel="0" collapsed="false">
      <c r="A33" s="23" t="n">
        <v>1971</v>
      </c>
      <c r="B33" s="24" t="n">
        <v>35.1</v>
      </c>
      <c r="C33" s="25"/>
    </row>
    <row r="34" customFormat="false" ht="15" hidden="false" customHeight="false" outlineLevel="0" collapsed="false">
      <c r="A34" s="23" t="n">
        <v>1972</v>
      </c>
      <c r="B34" s="24" t="n">
        <v>36.9</v>
      </c>
      <c r="C34" s="25"/>
    </row>
    <row r="35" customFormat="false" ht="15" hidden="false" customHeight="false" outlineLevel="0" collapsed="false">
      <c r="A35" s="23" t="n">
        <v>1973</v>
      </c>
      <c r="B35" s="24" t="n">
        <v>34.9</v>
      </c>
      <c r="C35" s="25"/>
    </row>
    <row r="36" customFormat="false" ht="15" hidden="false" customHeight="false" outlineLevel="0" collapsed="false">
      <c r="A36" s="23" t="n">
        <v>1974</v>
      </c>
      <c r="B36" s="24" t="n">
        <v>34.7</v>
      </c>
      <c r="C36" s="25"/>
    </row>
    <row r="37" customFormat="false" ht="15" hidden="false" customHeight="false" outlineLevel="0" collapsed="false">
      <c r="A37" s="23" t="n">
        <v>1975</v>
      </c>
      <c r="B37" s="24" t="n">
        <v>33.4</v>
      </c>
      <c r="C37" s="25"/>
    </row>
    <row r="38" customFormat="false" ht="15" hidden="false" customHeight="false" outlineLevel="0" collapsed="false">
      <c r="A38" s="23" t="n">
        <v>1976</v>
      </c>
      <c r="B38" s="24" t="n">
        <v>35</v>
      </c>
      <c r="C38" s="25"/>
    </row>
    <row r="39" customFormat="false" ht="15" hidden="false" customHeight="false" outlineLevel="0" collapsed="false">
      <c r="A39" s="23" t="n">
        <v>1977</v>
      </c>
      <c r="B39" s="24" t="n">
        <v>34.9</v>
      </c>
      <c r="C39" s="25"/>
    </row>
    <row r="40" customFormat="false" ht="15" hidden="false" customHeight="false" outlineLevel="0" collapsed="false">
      <c r="A40" s="23" t="n">
        <v>1978</v>
      </c>
      <c r="B40" s="24" t="n">
        <v>38.5</v>
      </c>
      <c r="C40" s="25"/>
    </row>
    <row r="41" customFormat="false" ht="15" hidden="false" customHeight="false" outlineLevel="0" collapsed="false">
      <c r="A41" s="23" t="n">
        <v>1979</v>
      </c>
      <c r="B41" s="24" t="n">
        <v>32.4</v>
      </c>
      <c r="C41" s="25"/>
    </row>
    <row r="42" customFormat="false" ht="15" hidden="false" customHeight="false" outlineLevel="0" collapsed="false">
      <c r="A42" s="23" t="n">
        <v>1980</v>
      </c>
      <c r="B42" s="24" t="n">
        <v>34.2</v>
      </c>
      <c r="C42" s="25"/>
    </row>
    <row r="43" customFormat="false" ht="15" hidden="false" customHeight="false" outlineLevel="0" collapsed="false">
      <c r="A43" s="23" t="n">
        <v>1981</v>
      </c>
      <c r="B43" s="24" t="n">
        <v>35.3</v>
      </c>
      <c r="C43" s="25"/>
    </row>
    <row r="44" customFormat="false" ht="15" hidden="false" customHeight="false" outlineLevel="0" collapsed="false">
      <c r="A44" s="23" t="n">
        <v>1982</v>
      </c>
      <c r="B44" s="24" t="n">
        <v>33.9</v>
      </c>
      <c r="C44" s="25"/>
    </row>
    <row r="45" customFormat="false" ht="15" hidden="false" customHeight="false" outlineLevel="0" collapsed="false">
      <c r="A45" s="23" t="n">
        <v>1983</v>
      </c>
      <c r="B45" s="24" t="n">
        <v>39.4</v>
      </c>
      <c r="C45" s="25"/>
    </row>
    <row r="46" customFormat="false" ht="15" hidden="false" customHeight="false" outlineLevel="0" collapsed="false">
      <c r="A46" s="23" t="n">
        <v>1984</v>
      </c>
      <c r="B46" s="24" t="n">
        <v>33.8</v>
      </c>
      <c r="C46" s="25"/>
    </row>
    <row r="47" customFormat="false" ht="15" hidden="false" customHeight="false" outlineLevel="0" collapsed="false">
      <c r="A47" s="23" t="n">
        <v>1985</v>
      </c>
      <c r="B47" s="24" t="n">
        <v>34.6</v>
      </c>
      <c r="C47" s="25"/>
    </row>
    <row r="48" customFormat="false" ht="15" hidden="false" customHeight="false" outlineLevel="0" collapsed="false">
      <c r="A48" s="23" t="n">
        <v>1986</v>
      </c>
      <c r="B48" s="24" t="n">
        <v>34.8</v>
      </c>
      <c r="C48" s="25"/>
    </row>
    <row r="49" customFormat="false" ht="15" hidden="false" customHeight="false" outlineLevel="0" collapsed="false">
      <c r="A49" s="23" t="n">
        <v>1987</v>
      </c>
      <c r="B49" s="24" t="n">
        <v>34.2</v>
      </c>
      <c r="C49" s="25"/>
    </row>
    <row r="50" customFormat="false" ht="15" hidden="false" customHeight="false" outlineLevel="0" collapsed="false">
      <c r="A50" s="23" t="n">
        <v>1988</v>
      </c>
      <c r="B50" s="24" t="n">
        <v>37.6</v>
      </c>
      <c r="C50" s="25"/>
    </row>
    <row r="51" customFormat="false" ht="15" hidden="false" customHeight="false" outlineLevel="0" collapsed="false">
      <c r="A51" s="23" t="n">
        <v>1989</v>
      </c>
      <c r="B51" s="24" t="n">
        <v>34.7</v>
      </c>
      <c r="C51" s="25"/>
    </row>
    <row r="52" customFormat="false" ht="15" hidden="false" customHeight="false" outlineLevel="0" collapsed="false">
      <c r="A52" s="23" t="n">
        <v>1990</v>
      </c>
      <c r="B52" s="24" t="n">
        <v>35.5</v>
      </c>
      <c r="C52" s="25"/>
    </row>
    <row r="53" customFormat="false" ht="15" hidden="false" customHeight="false" outlineLevel="0" collapsed="false">
      <c r="A53" s="23" t="n">
        <v>1991</v>
      </c>
      <c r="B53" s="24" t="n">
        <v>35.2</v>
      </c>
      <c r="C53" s="25"/>
    </row>
    <row r="54" customFormat="false" ht="15" hidden="false" customHeight="false" outlineLevel="0" collapsed="false">
      <c r="A54" s="23" t="n">
        <v>1992</v>
      </c>
      <c r="B54" s="24" t="n">
        <v>36.8</v>
      </c>
      <c r="C54" s="25"/>
    </row>
    <row r="55" customFormat="false" ht="15" hidden="false" customHeight="false" outlineLevel="0" collapsed="false">
      <c r="A55" s="23" t="n">
        <v>1993</v>
      </c>
      <c r="B55" s="24" t="n">
        <v>36.8</v>
      </c>
      <c r="C55" s="25"/>
    </row>
    <row r="56" customFormat="false" ht="15" hidden="false" customHeight="false" outlineLevel="0" collapsed="false">
      <c r="A56" s="23" t="n">
        <v>1994</v>
      </c>
      <c r="B56" s="24" t="n">
        <v>36.3</v>
      </c>
      <c r="C56" s="25"/>
    </row>
    <row r="57" customFormat="false" ht="15" hidden="false" customHeight="false" outlineLevel="0" collapsed="false">
      <c r="A57" s="23" t="n">
        <v>1995</v>
      </c>
      <c r="B57" s="24" t="n">
        <v>35.5</v>
      </c>
      <c r="C57" s="25"/>
    </row>
    <row r="58" customFormat="false" ht="15" hidden="false" customHeight="false" outlineLevel="0" collapsed="false">
      <c r="A58" s="23" t="n">
        <v>1996</v>
      </c>
      <c r="B58" s="24" t="n">
        <v>33.1</v>
      </c>
      <c r="C58" s="25"/>
    </row>
    <row r="59" customFormat="false" ht="15" hidden="false" customHeight="false" outlineLevel="0" collapsed="false">
      <c r="A59" s="23" t="n">
        <v>1997</v>
      </c>
      <c r="B59" s="24" t="n">
        <v>36.4</v>
      </c>
      <c r="C59" s="25"/>
    </row>
    <row r="60" customFormat="false" ht="15" hidden="false" customHeight="false" outlineLevel="0" collapsed="false">
      <c r="A60" s="23" t="n">
        <v>1998</v>
      </c>
      <c r="B60" s="24" t="n">
        <v>36.1</v>
      </c>
      <c r="C60" s="25"/>
    </row>
    <row r="61" customFormat="false" ht="15" hidden="false" customHeight="false" outlineLevel="0" collapsed="false">
      <c r="A61" s="23" t="n">
        <v>1999</v>
      </c>
      <c r="B61" s="24" t="n">
        <v>36.1</v>
      </c>
      <c r="C61" s="25"/>
    </row>
    <row r="62" customFormat="false" ht="15" hidden="false" customHeight="false" outlineLevel="0" collapsed="false">
      <c r="A62" s="23" t="n">
        <v>2000</v>
      </c>
      <c r="B62" s="24" t="n">
        <v>35.1</v>
      </c>
      <c r="C62" s="25"/>
    </row>
    <row r="63" customFormat="false" ht="15" hidden="false" customHeight="false" outlineLevel="0" collapsed="false">
      <c r="A63" s="23" t="n">
        <v>2001</v>
      </c>
      <c r="B63" s="24" t="n">
        <v>35.3</v>
      </c>
      <c r="C63" s="25"/>
    </row>
    <row r="64" customFormat="false" ht="15" hidden="false" customHeight="false" outlineLevel="0" collapsed="false">
      <c r="A64" s="23" t="n">
        <v>2002</v>
      </c>
      <c r="B64" s="24" t="n">
        <v>34.2</v>
      </c>
      <c r="C64" s="25"/>
    </row>
    <row r="65" customFormat="false" ht="15" hidden="false" customHeight="false" outlineLevel="0" collapsed="false">
      <c r="A65" s="23" t="n">
        <v>2003</v>
      </c>
      <c r="B65" s="24" t="n">
        <v>36.5</v>
      </c>
      <c r="C65" s="25"/>
    </row>
    <row r="66" customFormat="false" ht="15" hidden="false" customHeight="false" outlineLevel="0" collapsed="false">
      <c r="A66" s="23" t="n">
        <v>2004</v>
      </c>
      <c r="B66" s="24" t="n">
        <v>34.3</v>
      </c>
      <c r="C66" s="25"/>
    </row>
    <row r="67" customFormat="false" ht="15" hidden="false" customHeight="false" outlineLevel="0" collapsed="false">
      <c r="A67" s="23" t="n">
        <v>2005</v>
      </c>
      <c r="B67" s="24" t="n">
        <v>37.2</v>
      </c>
      <c r="C67" s="25"/>
    </row>
    <row r="68" customFormat="false" ht="15" hidden="false" customHeight="false" outlineLevel="0" collapsed="false">
      <c r="A68" s="23" t="n">
        <v>2006</v>
      </c>
      <c r="B68" s="24" t="n">
        <v>35.8</v>
      </c>
      <c r="C68" s="25"/>
    </row>
    <row r="69" customFormat="false" ht="15" hidden="false" customHeight="false" outlineLevel="0" collapsed="false">
      <c r="A69" s="23" t="n">
        <v>2007</v>
      </c>
      <c r="B69" s="24" t="n">
        <v>35</v>
      </c>
      <c r="C69" s="25"/>
    </row>
    <row r="70" customFormat="false" ht="15" hidden="false" customHeight="false" outlineLevel="0" collapsed="false">
      <c r="A70" s="23" t="n">
        <v>2008</v>
      </c>
      <c r="B70" s="24" t="n">
        <v>36.9</v>
      </c>
      <c r="C70" s="25"/>
    </row>
    <row r="71" customFormat="false" ht="15" hidden="false" customHeight="false" outlineLevel="0" collapsed="false">
      <c r="A71" s="23" t="n">
        <v>2009</v>
      </c>
      <c r="B71" s="24" t="n">
        <v>39.1</v>
      </c>
      <c r="C71" s="25"/>
    </row>
    <row r="72" customFormat="false" ht="15" hidden="false" customHeight="false" outlineLevel="0" collapsed="false">
      <c r="A72" s="23" t="n">
        <v>2010</v>
      </c>
      <c r="B72" s="24" t="n">
        <v>34.7</v>
      </c>
      <c r="C72" s="25"/>
    </row>
    <row r="73" customFormat="false" ht="15" hidden="false" customHeight="false" outlineLevel="0" collapsed="false">
      <c r="A73" s="23" t="n">
        <v>2011</v>
      </c>
      <c r="B73" s="24" t="n">
        <v>34.4</v>
      </c>
      <c r="C73" s="25"/>
    </row>
    <row r="74" customFormat="false" ht="15" hidden="false" customHeight="false" outlineLevel="0" collapsed="false">
      <c r="A74" s="23" t="n">
        <v>2012</v>
      </c>
      <c r="B74" s="24" t="n">
        <v>34</v>
      </c>
      <c r="C74" s="25"/>
    </row>
    <row r="75" customFormat="false" ht="15" hidden="false" customHeight="false" outlineLevel="0" collapsed="false">
      <c r="A75" s="23" t="n">
        <v>2013</v>
      </c>
      <c r="B75" s="24" t="n">
        <v>36.2</v>
      </c>
      <c r="C75" s="25"/>
    </row>
    <row r="76" customFormat="false" ht="15" hidden="false" customHeight="false" outlineLevel="0" collapsed="false">
      <c r="A76" s="23" t="n">
        <v>2014</v>
      </c>
      <c r="B76" s="24" t="n">
        <v>36</v>
      </c>
      <c r="C76" s="25"/>
    </row>
    <row r="77" customFormat="false" ht="15" hidden="false" customHeight="false" outlineLevel="0" collapsed="false">
      <c r="A77" s="23" t="n">
        <v>2015</v>
      </c>
      <c r="B77" s="24" t="n">
        <v>34.6</v>
      </c>
      <c r="C77" s="25"/>
    </row>
    <row r="78" customFormat="false" ht="15" hidden="false" customHeight="false" outlineLevel="0" collapsed="false">
      <c r="A78" s="23" t="n">
        <v>2016</v>
      </c>
      <c r="B78" s="24" t="n">
        <v>33.6</v>
      </c>
      <c r="C78" s="25"/>
    </row>
    <row r="79" customFormat="false" ht="15" hidden="false" customHeight="false" outlineLevel="0" collapsed="false">
      <c r="A79" s="23" t="n">
        <v>2017</v>
      </c>
      <c r="B79" s="24" t="n">
        <v>34.6</v>
      </c>
      <c r="C79" s="25"/>
    </row>
    <row r="80" customFormat="false" ht="15" hidden="false" customHeight="false" outlineLevel="0" collapsed="false">
      <c r="A80" s="23" t="n">
        <v>2018</v>
      </c>
      <c r="B80" s="24" t="n">
        <v>34.9</v>
      </c>
      <c r="C80" s="25"/>
    </row>
    <row r="81" customFormat="false" ht="15" hidden="false" customHeight="false" outlineLevel="0" collapsed="false">
      <c r="A81" s="23" t="n">
        <v>2019</v>
      </c>
      <c r="B81" s="24" t="n">
        <v>35.9</v>
      </c>
      <c r="C81" s="25"/>
    </row>
    <row r="82" customFormat="false" ht="15" hidden="false" customHeight="false" outlineLevel="0" collapsed="false">
      <c r="A82" s="23" t="n">
        <v>2020</v>
      </c>
      <c r="B82" s="24" t="n">
        <v>35.6</v>
      </c>
      <c r="C82" s="25"/>
    </row>
    <row r="83" customFormat="false" ht="15" hidden="false" customHeight="false" outlineLevel="0" collapsed="false">
      <c r="A83" s="23" t="n">
        <v>2021</v>
      </c>
      <c r="B83" s="24" t="n">
        <v>36.9</v>
      </c>
      <c r="C83" s="25"/>
    </row>
    <row r="84" customFormat="false" ht="15" hidden="false" customHeight="false" outlineLevel="0" collapsed="false">
      <c r="A84" s="23" t="n">
        <v>2022</v>
      </c>
      <c r="B84" s="24" t="n">
        <v>35.3</v>
      </c>
      <c r="C84" s="25"/>
    </row>
    <row r="85" customFormat="false" ht="15" hidden="false" customHeight="false" outlineLevel="0" collapsed="false">
      <c r="A85" s="23" t="n">
        <v>2023</v>
      </c>
      <c r="B85" s="24" t="n">
        <v>37.5</v>
      </c>
      <c r="C85" s="25"/>
    </row>
    <row r="86" customFormat="false" ht="15" hidden="false" customHeight="false" outlineLevel="0" collapsed="false">
      <c r="A86" s="23" t="n">
        <v>2024</v>
      </c>
      <c r="B86" s="24" t="n">
        <v>38.3</v>
      </c>
      <c r="C86" s="25"/>
    </row>
    <row r="87" customFormat="false" ht="15" hidden="false" customHeight="false" outlineLevel="0" collapsed="false">
      <c r="A87" s="23"/>
      <c r="B87" s="24"/>
      <c r="C87" s="25"/>
    </row>
    <row r="88" customFormat="false" ht="15" hidden="false" customHeight="false" outlineLevel="0" collapsed="false">
      <c r="A88" s="23"/>
      <c r="B88" s="24"/>
      <c r="C88" s="25"/>
    </row>
    <row r="89" customFormat="false" ht="15" hidden="false" customHeight="false" outlineLevel="0" collapsed="false">
      <c r="A89" s="23"/>
      <c r="B89" s="24"/>
      <c r="C89" s="25"/>
    </row>
    <row r="90" customFormat="false" ht="15" hidden="false" customHeight="false" outlineLevel="0" collapsed="false">
      <c r="A90" s="23"/>
      <c r="B90" s="24"/>
      <c r="C90" s="25"/>
    </row>
    <row r="91" customFormat="false" ht="15" hidden="false" customHeight="false" outlineLevel="0" collapsed="false">
      <c r="A91" s="23"/>
      <c r="B91" s="24"/>
      <c r="C91" s="25"/>
    </row>
    <row r="92" customFormat="false" ht="15" hidden="false" customHeight="false" outlineLevel="0" collapsed="false">
      <c r="A92" s="23"/>
      <c r="B92" s="24"/>
      <c r="C92" s="25"/>
    </row>
    <row r="93" customFormat="false" ht="15" hidden="false" customHeight="false" outlineLevel="0" collapsed="false">
      <c r="A93" s="23"/>
      <c r="B93" s="24"/>
      <c r="C93" s="25"/>
    </row>
    <row r="94" customFormat="false" ht="15" hidden="false" customHeight="false" outlineLevel="0" collapsed="false">
      <c r="A94" s="23"/>
      <c r="B94" s="24"/>
      <c r="C94" s="25"/>
    </row>
    <row r="95" customFormat="false" ht="15" hidden="false" customHeight="false" outlineLevel="0" collapsed="false">
      <c r="A95" s="23"/>
      <c r="B95" s="24"/>
      <c r="C95" s="25"/>
    </row>
    <row r="96" customFormat="false" ht="15" hidden="false" customHeight="false" outlineLevel="0" collapsed="false">
      <c r="A96" s="23"/>
      <c r="B96" s="24"/>
      <c r="C96" s="25"/>
    </row>
    <row r="97" customFormat="false" ht="15" hidden="false" customHeight="false" outlineLevel="0" collapsed="false">
      <c r="A97" s="23"/>
      <c r="B97" s="24"/>
      <c r="C97" s="25"/>
    </row>
    <row r="98" customFormat="false" ht="15" hidden="false" customHeight="false" outlineLevel="0" collapsed="false">
      <c r="A98" s="23"/>
      <c r="B98" s="24"/>
      <c r="C98" s="25"/>
    </row>
    <row r="99" customFormat="false" ht="15" hidden="false" customHeight="false" outlineLevel="0" collapsed="false">
      <c r="A99" s="23"/>
      <c r="B99" s="24"/>
      <c r="C99" s="25"/>
    </row>
    <row r="100" customFormat="false" ht="15" hidden="false" customHeight="false" outlineLevel="0" collapsed="false">
      <c r="A100" s="23"/>
      <c r="B100" s="24"/>
      <c r="C100" s="25"/>
    </row>
    <row r="101" customFormat="false" ht="15" hidden="false" customHeight="false" outlineLevel="0" collapsed="false">
      <c r="A101" s="23"/>
      <c r="B101" s="24"/>
      <c r="C101" s="25"/>
    </row>
    <row r="102" customFormat="false" ht="15" hidden="false" customHeight="false" outlineLevel="0" collapsed="false">
      <c r="A102" s="23"/>
      <c r="B102" s="24"/>
      <c r="C102" s="25"/>
    </row>
    <row r="103" customFormat="false" ht="15" hidden="false" customHeight="false" outlineLevel="0" collapsed="false">
      <c r="A103" s="23"/>
      <c r="B103" s="24"/>
      <c r="C103" s="25"/>
    </row>
    <row r="104" customFormat="false" ht="15" hidden="false" customHeight="false" outlineLevel="0" collapsed="false">
      <c r="A104" s="23"/>
      <c r="B104" s="24"/>
      <c r="C104" s="25"/>
    </row>
    <row r="105" customFormat="false" ht="15" hidden="false" customHeight="false" outlineLevel="0" collapsed="false">
      <c r="A105" s="23"/>
      <c r="B105" s="24"/>
      <c r="C105" s="25"/>
    </row>
    <row r="106" customFormat="false" ht="15" hidden="false" customHeight="false" outlineLevel="0" collapsed="false">
      <c r="A106" s="23"/>
      <c r="B106" s="24"/>
      <c r="C106" s="25"/>
    </row>
    <row r="107" customFormat="false" ht="15" hidden="false" customHeight="false" outlineLevel="0" collapsed="false">
      <c r="A107" s="23"/>
      <c r="B107" s="24"/>
      <c r="C107" s="25"/>
    </row>
    <row r="108" customFormat="false" ht="15" hidden="false" customHeight="false" outlineLevel="0" collapsed="false">
      <c r="A108" s="23"/>
      <c r="B108" s="24"/>
      <c r="C108" s="25"/>
    </row>
    <row r="109" customFormat="false" ht="15" hidden="false" customHeight="false" outlineLevel="0" collapsed="false">
      <c r="A109" s="23"/>
      <c r="B109" s="24"/>
      <c r="C109" s="25"/>
    </row>
    <row r="110" customFormat="false" ht="15" hidden="false" customHeight="false" outlineLevel="0" collapsed="false">
      <c r="A110" s="23"/>
      <c r="B110" s="24"/>
      <c r="C110" s="25"/>
    </row>
    <row r="111" customFormat="false" ht="15" hidden="false" customHeight="false" outlineLevel="0" collapsed="false">
      <c r="A111" s="23"/>
      <c r="B111" s="24"/>
      <c r="C111" s="25"/>
    </row>
    <row r="112" customFormat="false" ht="15" hidden="false" customHeight="false" outlineLevel="0" collapsed="false">
      <c r="A112" s="23"/>
      <c r="B112" s="24"/>
      <c r="C112" s="25"/>
    </row>
    <row r="113" customFormat="false" ht="15" hidden="false" customHeight="false" outlineLevel="0" collapsed="false">
      <c r="A113" s="23"/>
      <c r="B113" s="24"/>
      <c r="C113" s="25"/>
    </row>
    <row r="114" customFormat="false" ht="15" hidden="false" customHeight="false" outlineLevel="0" collapsed="false">
      <c r="A114" s="23"/>
      <c r="B114" s="24"/>
      <c r="C114" s="25"/>
    </row>
    <row r="115" customFormat="false" ht="15" hidden="false" customHeight="false" outlineLevel="0" collapsed="false">
      <c r="A115" s="23"/>
      <c r="B115" s="24"/>
      <c r="C115" s="25"/>
    </row>
    <row r="116" customFormat="false" ht="15" hidden="false" customHeight="false" outlineLevel="0" collapsed="false">
      <c r="A116" s="23"/>
      <c r="B116" s="24"/>
      <c r="C116" s="25"/>
    </row>
    <row r="117" customFormat="false" ht="15" hidden="false" customHeight="false" outlineLevel="0" collapsed="false">
      <c r="A117" s="23"/>
      <c r="B117" s="24"/>
      <c r="C117" s="25"/>
    </row>
    <row r="118" customFormat="false" ht="15" hidden="false" customHeight="false" outlineLevel="0" collapsed="false">
      <c r="A118" s="23"/>
      <c r="B118" s="24"/>
      <c r="C118" s="25"/>
    </row>
    <row r="119" customFormat="false" ht="15" hidden="false" customHeight="false" outlineLevel="0" collapsed="false">
      <c r="A119" s="23"/>
      <c r="B119" s="24"/>
      <c r="C119" s="25"/>
    </row>
    <row r="120" customFormat="false" ht="15" hidden="false" customHeight="false" outlineLevel="0" collapsed="false">
      <c r="A120" s="23"/>
      <c r="B120" s="24"/>
      <c r="C120" s="25"/>
    </row>
    <row r="121" customFormat="false" ht="15" hidden="false" customHeight="false" outlineLevel="0" collapsed="false">
      <c r="A121" s="23"/>
      <c r="B121" s="24"/>
      <c r="C121" s="25"/>
    </row>
    <row r="122" customFormat="false" ht="15" hidden="false" customHeight="false" outlineLevel="0" collapsed="false">
      <c r="A122" s="23"/>
      <c r="B122" s="24"/>
      <c r="C122" s="25"/>
    </row>
    <row r="123" customFormat="false" ht="15" hidden="false" customHeight="false" outlineLevel="0" collapsed="false">
      <c r="A123" s="23"/>
      <c r="B123" s="24"/>
      <c r="C123" s="25"/>
    </row>
    <row r="124" customFormat="false" ht="15" hidden="false" customHeight="false" outlineLevel="0" collapsed="false">
      <c r="A124" s="23"/>
      <c r="B124" s="24"/>
      <c r="C124" s="25"/>
    </row>
    <row r="125" customFormat="false" ht="15" hidden="false" customHeight="false" outlineLevel="0" collapsed="false">
      <c r="A125" s="23"/>
      <c r="B125" s="24"/>
      <c r="C125" s="25"/>
    </row>
    <row r="126" customFormat="false" ht="15" hidden="false" customHeight="false" outlineLevel="0" collapsed="false">
      <c r="A126" s="23"/>
      <c r="B126" s="24"/>
      <c r="C126" s="25"/>
    </row>
    <row r="127" customFormat="false" ht="15" hidden="false" customHeight="false" outlineLevel="0" collapsed="false">
      <c r="A127" s="23"/>
      <c r="B127" s="24"/>
      <c r="C127" s="25"/>
    </row>
    <row r="128" customFormat="false" ht="15" hidden="false" customHeight="false" outlineLevel="0" collapsed="false">
      <c r="A128" s="23"/>
      <c r="B128" s="24"/>
      <c r="C128" s="25"/>
    </row>
    <row r="129" customFormat="false" ht="15" hidden="false" customHeight="false" outlineLevel="0" collapsed="false">
      <c r="A129" s="23"/>
      <c r="B129" s="24"/>
      <c r="C129" s="25"/>
    </row>
    <row r="130" customFormat="false" ht="15" hidden="false" customHeight="false" outlineLevel="0" collapsed="false">
      <c r="A130" s="23"/>
      <c r="B130" s="24"/>
      <c r="C130" s="25"/>
    </row>
    <row r="131" customFormat="false" ht="15" hidden="false" customHeight="false" outlineLevel="0" collapsed="false">
      <c r="A131" s="23"/>
      <c r="B131" s="24"/>
      <c r="C131" s="25"/>
    </row>
    <row r="132" customFormat="false" ht="15" hidden="false" customHeight="false" outlineLevel="0" collapsed="false">
      <c r="A132" s="23"/>
      <c r="B132" s="24"/>
      <c r="C132" s="25"/>
    </row>
    <row r="133" customFormat="false" ht="15" hidden="false" customHeight="false" outlineLevel="0" collapsed="false">
      <c r="A133" s="23"/>
      <c r="B133" s="24"/>
      <c r="C133" s="25"/>
    </row>
    <row r="134" customFormat="false" ht="15" hidden="false" customHeight="false" outlineLevel="0" collapsed="false">
      <c r="A134" s="23"/>
      <c r="B134" s="24"/>
      <c r="C134" s="25"/>
    </row>
    <row r="135" customFormat="false" ht="15" hidden="false" customHeight="false" outlineLevel="0" collapsed="false">
      <c r="A135" s="23"/>
      <c r="B135" s="24"/>
      <c r="C135" s="25"/>
    </row>
    <row r="136" customFormat="false" ht="15" hidden="false" customHeight="false" outlineLevel="0" collapsed="false">
      <c r="A136" s="23"/>
      <c r="B136" s="24"/>
      <c r="C136" s="25"/>
    </row>
    <row r="137" customFormat="false" ht="15" hidden="false" customHeight="false" outlineLevel="0" collapsed="false">
      <c r="A137" s="23"/>
      <c r="B137" s="24"/>
      <c r="C137" s="25"/>
    </row>
    <row r="138" customFormat="false" ht="15" hidden="false" customHeight="false" outlineLevel="0" collapsed="false">
      <c r="A138" s="23"/>
      <c r="B138" s="24"/>
      <c r="C138" s="25"/>
    </row>
    <row r="139" customFormat="false" ht="15" hidden="false" customHeight="false" outlineLevel="0" collapsed="false">
      <c r="A139" s="23"/>
      <c r="B139" s="24"/>
      <c r="C139" s="25"/>
    </row>
    <row r="140" customFormat="false" ht="15" hidden="false" customHeight="false" outlineLevel="0" collapsed="false">
      <c r="A140" s="23"/>
      <c r="B140" s="24"/>
      <c r="C140" s="25"/>
    </row>
    <row r="141" customFormat="false" ht="15" hidden="false" customHeight="false" outlineLevel="0" collapsed="false">
      <c r="A141" s="23"/>
      <c r="B141" s="24"/>
      <c r="C141" s="25"/>
    </row>
    <row r="142" customFormat="false" ht="15" hidden="false" customHeight="false" outlineLevel="0" collapsed="false">
      <c r="A142" s="23"/>
      <c r="B142" s="24"/>
      <c r="C142" s="25"/>
    </row>
    <row r="143" customFormat="false" ht="15" hidden="false" customHeight="false" outlineLevel="0" collapsed="false">
      <c r="A143" s="23"/>
      <c r="B143" s="24"/>
      <c r="C143" s="25"/>
    </row>
    <row r="144" customFormat="false" ht="15" hidden="false" customHeight="false" outlineLevel="0" collapsed="false">
      <c r="A144" s="23"/>
      <c r="B144" s="24"/>
      <c r="C144" s="25"/>
    </row>
    <row r="145" customFormat="false" ht="15" hidden="false" customHeight="false" outlineLevel="0" collapsed="false">
      <c r="A145" s="23"/>
      <c r="B145" s="24"/>
      <c r="C145" s="25"/>
    </row>
    <row r="146" customFormat="false" ht="15" hidden="false" customHeight="false" outlineLevel="0" collapsed="false">
      <c r="A146" s="23"/>
      <c r="B146" s="24"/>
      <c r="C146" s="25"/>
    </row>
    <row r="147" customFormat="false" ht="15" hidden="false" customHeight="false" outlineLevel="0" collapsed="false">
      <c r="A147" s="23"/>
      <c r="B147" s="24"/>
      <c r="C147" s="25"/>
    </row>
    <row r="148" customFormat="false" ht="15" hidden="false" customHeight="false" outlineLevel="0" collapsed="false">
      <c r="A148" s="23"/>
      <c r="B148" s="24"/>
      <c r="C148" s="25"/>
    </row>
    <row r="149" customFormat="false" ht="15" hidden="false" customHeight="false" outlineLevel="0" collapsed="false">
      <c r="A149" s="23"/>
      <c r="B149" s="24"/>
      <c r="C149" s="25"/>
    </row>
    <row r="150" customFormat="false" ht="15" hidden="false" customHeight="false" outlineLevel="0" collapsed="false">
      <c r="A150" s="23"/>
      <c r="B150" s="24"/>
      <c r="C150" s="25"/>
    </row>
    <row r="151" customFormat="false" ht="15" hidden="false" customHeight="false" outlineLevel="0" collapsed="false">
      <c r="A151" s="23"/>
      <c r="B151" s="24"/>
      <c r="C151" s="25"/>
    </row>
    <row r="152" customFormat="false" ht="15" hidden="false" customHeight="false" outlineLevel="0" collapsed="false">
      <c r="A152" s="23"/>
      <c r="B152" s="24"/>
      <c r="C152" s="25"/>
    </row>
    <row r="153" customFormat="false" ht="15" hidden="false" customHeight="false" outlineLevel="0" collapsed="false">
      <c r="A153" s="23"/>
      <c r="B153" s="24"/>
      <c r="C153" s="25"/>
    </row>
    <row r="154" customFormat="false" ht="15" hidden="false" customHeight="false" outlineLevel="0" collapsed="false">
      <c r="A154" s="23"/>
      <c r="B154" s="24"/>
      <c r="C154" s="25"/>
    </row>
    <row r="155" customFormat="false" ht="15" hidden="false" customHeight="false" outlineLevel="0" collapsed="false">
      <c r="A155" s="23"/>
      <c r="B155" s="24"/>
      <c r="C155" s="25"/>
    </row>
    <row r="156" customFormat="false" ht="15" hidden="false" customHeight="false" outlineLevel="0" collapsed="false">
      <c r="A156" s="23"/>
      <c r="B156" s="24"/>
      <c r="C156" s="25"/>
    </row>
    <row r="157" customFormat="false" ht="15" hidden="false" customHeight="false" outlineLevel="0" collapsed="false">
      <c r="A157" s="23"/>
      <c r="B157" s="24"/>
      <c r="C157" s="25"/>
    </row>
    <row r="158" customFormat="false" ht="15" hidden="false" customHeight="false" outlineLevel="0" collapsed="false">
      <c r="A158" s="23"/>
      <c r="B158" s="24"/>
      <c r="C158" s="25"/>
    </row>
    <row r="159" customFormat="false" ht="15" hidden="false" customHeight="false" outlineLevel="0" collapsed="false">
      <c r="A159" s="23"/>
      <c r="B159" s="24"/>
      <c r="C159" s="25"/>
    </row>
    <row r="160" customFormat="false" ht="15" hidden="false" customHeight="false" outlineLevel="0" collapsed="false">
      <c r="A160" s="23"/>
      <c r="B160" s="24"/>
      <c r="C160" s="25"/>
    </row>
    <row r="161" customFormat="false" ht="15" hidden="false" customHeight="false" outlineLevel="0" collapsed="false">
      <c r="A161" s="23"/>
      <c r="B161" s="24"/>
      <c r="C161" s="25"/>
    </row>
    <row r="162" customFormat="false" ht="15" hidden="false" customHeight="false" outlineLevel="0" collapsed="false">
      <c r="A162" s="23"/>
      <c r="B162" s="24"/>
      <c r="C162" s="25"/>
    </row>
    <row r="163" customFormat="false" ht="15" hidden="false" customHeight="false" outlineLevel="0" collapsed="false">
      <c r="A163" s="23"/>
      <c r="B163" s="24"/>
      <c r="C163" s="25"/>
    </row>
    <row r="164" customFormat="false" ht="15" hidden="false" customHeight="false" outlineLevel="0" collapsed="false">
      <c r="A164" s="23"/>
      <c r="B164" s="24"/>
      <c r="C164" s="25"/>
    </row>
    <row r="165" customFormat="false" ht="15" hidden="false" customHeight="false" outlineLevel="0" collapsed="false">
      <c r="A165" s="23"/>
      <c r="B165" s="24"/>
      <c r="C165" s="25"/>
    </row>
    <row r="166" customFormat="false" ht="15" hidden="false" customHeight="false" outlineLevel="0" collapsed="false">
      <c r="A166" s="23"/>
      <c r="B166" s="24"/>
      <c r="C166" s="25"/>
    </row>
    <row r="167" customFormat="false" ht="15" hidden="false" customHeight="false" outlineLevel="0" collapsed="false">
      <c r="A167" s="23"/>
      <c r="B167" s="24"/>
      <c r="C167" s="25"/>
    </row>
    <row r="168" customFormat="false" ht="15" hidden="false" customHeight="false" outlineLevel="0" collapsed="false">
      <c r="A168" s="23"/>
      <c r="B168" s="24"/>
      <c r="C168" s="25"/>
    </row>
    <row r="169" customFormat="false" ht="15" hidden="false" customHeight="false" outlineLevel="0" collapsed="false">
      <c r="A169" s="23"/>
      <c r="B169" s="24"/>
      <c r="C169" s="25"/>
    </row>
    <row r="170" customFormat="false" ht="15" hidden="false" customHeight="false" outlineLevel="0" collapsed="false">
      <c r="A170" s="23"/>
      <c r="B170" s="24"/>
      <c r="C170" s="25"/>
    </row>
    <row r="171" customFormat="false" ht="15" hidden="false" customHeight="false" outlineLevel="0" collapsed="false">
      <c r="A171" s="23"/>
      <c r="B171" s="24"/>
      <c r="C171" s="25"/>
    </row>
    <row r="172" customFormat="false" ht="15" hidden="false" customHeight="false" outlineLevel="0" collapsed="false">
      <c r="A172" s="23"/>
      <c r="B172" s="24"/>
      <c r="C172" s="25"/>
    </row>
    <row r="173" customFormat="false" ht="15" hidden="false" customHeight="false" outlineLevel="0" collapsed="false">
      <c r="A173" s="23"/>
      <c r="B173" s="24"/>
      <c r="C173" s="25"/>
    </row>
    <row r="174" customFormat="false" ht="15" hidden="false" customHeight="false" outlineLevel="0" collapsed="false">
      <c r="A174" s="23"/>
      <c r="B174" s="24"/>
      <c r="C174" s="25"/>
    </row>
    <row r="175" customFormat="false" ht="15" hidden="false" customHeight="false" outlineLevel="0" collapsed="false">
      <c r="A175" s="23"/>
      <c r="B175" s="24"/>
      <c r="C175" s="25"/>
    </row>
    <row r="176" customFormat="false" ht="15" hidden="false" customHeight="false" outlineLevel="0" collapsed="false">
      <c r="A176" s="23"/>
      <c r="B176" s="24"/>
      <c r="C176" s="25"/>
    </row>
    <row r="177" customFormat="false" ht="15" hidden="false" customHeight="false" outlineLevel="0" collapsed="false">
      <c r="A177" s="23"/>
      <c r="B177" s="24"/>
      <c r="C177" s="25"/>
    </row>
    <row r="178" customFormat="false" ht="15" hidden="false" customHeight="false" outlineLevel="0" collapsed="false">
      <c r="A178" s="23"/>
      <c r="B178" s="24"/>
      <c r="C178" s="25"/>
    </row>
    <row r="179" customFormat="false" ht="15" hidden="false" customHeight="false" outlineLevel="0" collapsed="false">
      <c r="A179" s="23"/>
      <c r="B179" s="24"/>
      <c r="C179" s="25"/>
    </row>
    <row r="180" customFormat="false" ht="15" hidden="false" customHeight="false" outlineLevel="0" collapsed="false">
      <c r="A180" s="23"/>
      <c r="B180" s="24"/>
      <c r="C180" s="25"/>
    </row>
    <row r="181" customFormat="false" ht="15" hidden="false" customHeight="false" outlineLevel="0" collapsed="false">
      <c r="A181" s="23"/>
      <c r="B181" s="24"/>
      <c r="C181" s="25"/>
    </row>
    <row r="182" customFormat="false" ht="15" hidden="false" customHeight="false" outlineLevel="0" collapsed="false">
      <c r="A182" s="23"/>
      <c r="B182" s="24"/>
      <c r="C182" s="25"/>
    </row>
    <row r="183" customFormat="false" ht="15" hidden="false" customHeight="false" outlineLevel="0" collapsed="false">
      <c r="A183" s="23"/>
      <c r="B183" s="24"/>
      <c r="C183" s="25"/>
    </row>
    <row r="184" customFormat="false" ht="15" hidden="false" customHeight="false" outlineLevel="0" collapsed="false">
      <c r="A184" s="23"/>
      <c r="B184" s="24"/>
      <c r="C184" s="25"/>
    </row>
    <row r="185" customFormat="false" ht="15" hidden="false" customHeight="false" outlineLevel="0" collapsed="false">
      <c r="A185" s="23"/>
      <c r="B185" s="24"/>
      <c r="C185" s="25"/>
    </row>
    <row r="186" customFormat="false" ht="15" hidden="false" customHeight="false" outlineLevel="0" collapsed="false">
      <c r="A186" s="23"/>
      <c r="B186" s="24"/>
      <c r="C186" s="25"/>
    </row>
    <row r="187" customFormat="false" ht="15" hidden="false" customHeight="false" outlineLevel="0" collapsed="false">
      <c r="A187" s="23"/>
      <c r="B187" s="24"/>
      <c r="C187" s="25"/>
    </row>
    <row r="188" customFormat="false" ht="15" hidden="false" customHeight="false" outlineLevel="0" collapsed="false">
      <c r="A188" s="23"/>
      <c r="B188" s="24"/>
      <c r="C188" s="25"/>
    </row>
    <row r="189" customFormat="false" ht="15" hidden="false" customHeight="false" outlineLevel="0" collapsed="false">
      <c r="A189" s="23"/>
      <c r="B189" s="24"/>
      <c r="C189" s="25"/>
    </row>
    <row r="190" customFormat="false" ht="15" hidden="false" customHeight="false" outlineLevel="0" collapsed="false">
      <c r="A190" s="23"/>
      <c r="B190" s="24"/>
      <c r="C190" s="25"/>
    </row>
    <row r="191" customFormat="false" ht="15" hidden="false" customHeight="false" outlineLevel="0" collapsed="false">
      <c r="A191" s="23"/>
      <c r="B191" s="24"/>
      <c r="C191" s="25"/>
    </row>
    <row r="192" customFormat="false" ht="15" hidden="false" customHeight="false" outlineLevel="0" collapsed="false">
      <c r="A192" s="23"/>
      <c r="B192" s="24"/>
      <c r="C192" s="25"/>
    </row>
    <row r="193" customFormat="false" ht="15" hidden="false" customHeight="false" outlineLevel="0" collapsed="false">
      <c r="A193" s="23"/>
      <c r="B193" s="24"/>
      <c r="C193" s="25"/>
    </row>
    <row r="194" customFormat="false" ht="15" hidden="false" customHeight="false" outlineLevel="0" collapsed="false">
      <c r="A194" s="23"/>
      <c r="B194" s="24"/>
      <c r="C194" s="25"/>
    </row>
    <row r="195" customFormat="false" ht="15" hidden="false" customHeight="false" outlineLevel="0" collapsed="false">
      <c r="A195" s="23"/>
      <c r="B195" s="24"/>
      <c r="C195" s="25"/>
    </row>
    <row r="196" customFormat="false" ht="15" hidden="false" customHeight="false" outlineLevel="0" collapsed="false">
      <c r="A196" s="23"/>
      <c r="B196" s="24"/>
      <c r="C196" s="25"/>
    </row>
    <row r="197" customFormat="false" ht="15" hidden="false" customHeight="false" outlineLevel="0" collapsed="false">
      <c r="A197" s="23"/>
      <c r="B197" s="24"/>
      <c r="C197" s="25"/>
    </row>
    <row r="198" customFormat="false" ht="15" hidden="false" customHeight="false" outlineLevel="0" collapsed="false">
      <c r="A198" s="23"/>
      <c r="B198" s="24"/>
      <c r="C198" s="25"/>
    </row>
    <row r="199" customFormat="false" ht="15" hidden="false" customHeight="false" outlineLevel="0" collapsed="false">
      <c r="A199" s="23"/>
      <c r="B199" s="24"/>
      <c r="C199" s="25"/>
    </row>
    <row r="200" customFormat="false" ht="15" hidden="false" customHeight="false" outlineLevel="0" collapsed="false">
      <c r="A200" s="23"/>
      <c r="B200" s="24"/>
      <c r="C200" s="25"/>
    </row>
    <row r="201" customFormat="false" ht="15" hidden="false" customHeight="false" outlineLevel="0" collapsed="false">
      <c r="A201" s="23"/>
      <c r="B201" s="24"/>
      <c r="C201" s="25"/>
    </row>
    <row r="202" customFormat="false" ht="15" hidden="false" customHeight="false" outlineLevel="0" collapsed="false">
      <c r="A202" s="23"/>
      <c r="B202" s="24"/>
      <c r="C202" s="25"/>
    </row>
    <row r="203" customFormat="false" ht="15" hidden="false" customHeight="false" outlineLevel="0" collapsed="false">
      <c r="A203" s="23"/>
      <c r="B203" s="24"/>
      <c r="C203" s="25"/>
    </row>
    <row r="204" customFormat="false" ht="15" hidden="false" customHeight="false" outlineLevel="0" collapsed="false">
      <c r="A204" s="23"/>
      <c r="B204" s="24"/>
      <c r="C204" s="25"/>
    </row>
    <row r="205" customFormat="false" ht="15" hidden="false" customHeight="false" outlineLevel="0" collapsed="false">
      <c r="A205" s="23"/>
      <c r="B205" s="24"/>
      <c r="C205" s="25"/>
    </row>
    <row r="206" customFormat="false" ht="15" hidden="false" customHeight="false" outlineLevel="0" collapsed="false">
      <c r="A206" s="23"/>
      <c r="B206" s="24"/>
      <c r="C206" s="25"/>
    </row>
    <row r="207" customFormat="false" ht="15" hidden="false" customHeight="false" outlineLevel="0" collapsed="false">
      <c r="A207" s="23"/>
      <c r="B207" s="24"/>
      <c r="C207" s="25"/>
    </row>
    <row r="208" customFormat="false" ht="15" hidden="false" customHeight="false" outlineLevel="0" collapsed="false">
      <c r="A208" s="23"/>
      <c r="B208" s="24"/>
      <c r="C208" s="25"/>
    </row>
    <row r="209" customFormat="false" ht="15" hidden="false" customHeight="false" outlineLevel="0" collapsed="false">
      <c r="A209" s="23"/>
      <c r="B209" s="24"/>
      <c r="C209" s="25"/>
    </row>
    <row r="210" customFormat="false" ht="15" hidden="false" customHeight="false" outlineLevel="0" collapsed="false">
      <c r="A210" s="23"/>
      <c r="B210" s="24"/>
      <c r="C210" s="25"/>
    </row>
    <row r="211" customFormat="false" ht="15" hidden="false" customHeight="false" outlineLevel="0" collapsed="false">
      <c r="A211" s="23"/>
      <c r="B211" s="24"/>
      <c r="C211" s="25"/>
    </row>
  </sheetData>
  <mergeCells count="8">
    <mergeCell ref="A1:H1"/>
    <mergeCell ref="A2:P2"/>
    <mergeCell ref="B4:C4"/>
    <mergeCell ref="B5:C5"/>
    <mergeCell ref="B6:C6"/>
    <mergeCell ref="B7:C7"/>
    <mergeCell ref="B9:C9"/>
    <mergeCell ref="I11:P11"/>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2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1"/>
  <cols>
    <col collapsed="false" customWidth="true" hidden="false" outlineLevel="0" max="1" min="1" style="0" width="7"/>
    <col collapsed="false" customWidth="true" hidden="false" outlineLevel="0" max="2" min="2" style="0" width="6"/>
    <col collapsed="false" customWidth="true" hidden="false" outlineLevel="0" max="3" min="3" style="0" width="15"/>
    <col collapsed="false" customWidth="true" hidden="false" outlineLevel="0" max="4" min="4" style="0" width="11"/>
    <col collapsed="false" customWidth="true" hidden="false" outlineLevel="0" max="5" min="5" style="0" width="15"/>
    <col collapsed="false" customWidth="true" hidden="false" outlineLevel="0" max="6" min="6" style="0" width="11"/>
    <col collapsed="false" customWidth="true" hidden="false" outlineLevel="0" max="8" min="7" style="0" width="13"/>
    <col collapsed="false" customWidth="true" hidden="false" outlineLevel="0" max="10" min="9" style="0" width="12"/>
    <col collapsed="false" customWidth="true" hidden="false" outlineLevel="0" max="11" min="11" style="0" width="2"/>
    <col collapsed="false" customWidth="true" hidden="false" outlineLevel="0" max="12" min="12" style="0" width="3"/>
    <col collapsed="false" customWidth="true" hidden="false" outlineLevel="0" max="13" min="13" style="0" width="26"/>
    <col collapsed="false" customWidth="true" hidden="false" outlineLevel="0" max="14" min="14" style="0" width="14"/>
    <col collapsed="false" customWidth="true" hidden="false" outlineLevel="0" max="15" min="15" style="0" width="2"/>
    <col collapsed="false" customWidth="true" hidden="false" outlineLevel="0" max="16" min="16" style="0" width="3"/>
    <col collapsed="false" customWidth="true" hidden="false" outlineLevel="0" max="17" min="17" style="0" width="20"/>
    <col collapsed="false" customWidth="true" hidden="false" outlineLevel="0" max="18" min="18" style="0" width="12"/>
    <col collapsed="false" customWidth="true" hidden="false" outlineLevel="0" max="19" min="19" style="0" width="2"/>
    <col collapsed="false" customWidth="true" hidden="false" outlineLevel="1" max="35" min="20" style="0" width="11"/>
  </cols>
  <sheetData>
    <row r="1" customFormat="false" ht="25.5" hidden="false" customHeight="true" outlineLevel="0" collapsed="false">
      <c r="A1" s="1" t="s">
        <v>44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ustomFormat="false" ht="15" hidden="false" customHeight="false" outlineLevel="0" collapsed="false">
      <c r="A2" s="26" t="s">
        <v>45</v>
      </c>
      <c r="B2" s="26"/>
      <c r="C2" s="26"/>
      <c r="D2" s="26"/>
      <c r="E2" s="26"/>
      <c r="F2" s="26"/>
      <c r="G2" s="26"/>
      <c r="H2" s="26"/>
      <c r="I2" s="26"/>
      <c r="J2" s="26"/>
    </row>
    <row r="4" customFormat="false" ht="15" hidden="false" customHeight="false" outlineLevel="0" collapsed="false">
      <c r="A4" s="27" t="s">
        <v>46</v>
      </c>
      <c r="M4" s="27" t="s">
        <v>47</v>
      </c>
      <c r="Q4" s="27" t="s">
        <v>48</v>
      </c>
      <c r="T4" s="27" t="s">
        <v>49</v>
      </c>
      <c r="Z4" s="27" t="s">
        <v>50</v>
      </c>
      <c r="AF4" s="27" t="s">
        <v>51</v>
      </c>
    </row>
    <row r="5" customFormat="false" ht="15" hidden="false" customHeight="false" outlineLevel="0" collapsed="false">
      <c r="M5" s="28" t="s">
        <v>52</v>
      </c>
      <c r="Q5" s="11" t="s">
        <v>53</v>
      </c>
      <c r="R5" s="29" t="n">
        <v>0.5</v>
      </c>
    </row>
    <row r="6" customFormat="false" ht="31.5" hidden="false" customHeight="true" outlineLevel="0" collapsed="false">
      <c r="A6" s="20" t="s">
        <v>54</v>
      </c>
      <c r="B6" s="20" t="s">
        <v>55</v>
      </c>
      <c r="C6" s="30" t="s">
        <v>56</v>
      </c>
      <c r="D6" s="20" t="s">
        <v>57</v>
      </c>
      <c r="E6" s="30" t="s">
        <v>58</v>
      </c>
      <c r="F6" s="30" t="s">
        <v>59</v>
      </c>
      <c r="G6" s="30" t="s">
        <v>60</v>
      </c>
      <c r="H6" s="30" t="s">
        <v>61</v>
      </c>
      <c r="I6" s="20" t="s">
        <v>62</v>
      </c>
      <c r="J6" s="20" t="s">
        <v>63</v>
      </c>
      <c r="M6" s="15" t="s">
        <v>64</v>
      </c>
      <c r="N6" s="31" t="n">
        <f aca="false">SUMPRODUCT($B$7:$B$206,$C$7:$C$206)</f>
        <v>2634.9</v>
      </c>
      <c r="Q6" s="11" t="s">
        <v>65</v>
      </c>
      <c r="R6" s="31" t="n">
        <f aca="false">IFERROR(MAX(データ入力!$B$12:$B$211)+0.05,"")</f>
        <v>39.45</v>
      </c>
      <c r="T6" s="30" t="s">
        <v>66</v>
      </c>
      <c r="U6" s="30" t="s">
        <v>67</v>
      </c>
      <c r="V6" s="30" t="s">
        <v>68</v>
      </c>
      <c r="W6" s="30" t="s">
        <v>69</v>
      </c>
      <c r="X6" s="20" t="s">
        <v>70</v>
      </c>
      <c r="Z6" s="30" t="s">
        <v>66</v>
      </c>
      <c r="AA6" s="30" t="s">
        <v>67</v>
      </c>
      <c r="AB6" s="30" t="s">
        <v>68</v>
      </c>
      <c r="AC6" s="30" t="s">
        <v>69</v>
      </c>
      <c r="AD6" s="20" t="s">
        <v>70</v>
      </c>
      <c r="AF6" s="30" t="s">
        <v>71</v>
      </c>
      <c r="AG6" s="20" t="s">
        <v>72</v>
      </c>
      <c r="AH6" s="20" t="s">
        <v>73</v>
      </c>
      <c r="AI6" s="30" t="s">
        <v>74</v>
      </c>
    </row>
    <row r="7" customFormat="false" ht="15" hidden="false" customHeight="false" outlineLevel="0" collapsed="false">
      <c r="A7" s="32" t="n">
        <v>1</v>
      </c>
      <c r="B7" s="33" t="n">
        <f aca="false">IF($A7&lt;=データ入力!$B$8,1,0)</f>
        <v>1</v>
      </c>
      <c r="C7" s="34" t="n">
        <f aca="false">IF($B7=1,LARGE(データ入力!$B$12:$B$211,$A7),0)</f>
        <v>39.4</v>
      </c>
      <c r="D7" s="32" t="n">
        <f aca="false">IF($B7=1,IFERROR(INDEX(データ入力!$A$12:$A$211,MATCH($C7,データ入力!$B$12:$B$211,0)),""),"")</f>
        <v>1983</v>
      </c>
      <c r="E7" s="35" t="n">
        <f aca="false">IF($B7=1,1-$A7/(データ入力!$B$8+1),0)</f>
        <v>0.986842105263158</v>
      </c>
      <c r="F7" s="36" t="n">
        <f aca="false">IF($B7=1,(データ入力!$B$8+1)/$A7,"")</f>
        <v>76</v>
      </c>
      <c r="G7" s="37" t="n">
        <f aca="false">IF($B7=1,-LN(-LN($E7)),0)</f>
        <v>4.32411803673528</v>
      </c>
      <c r="H7" s="37" t="n">
        <f aca="false">IF($B7=1,LN(-LN($E7)),0)</f>
        <v>-4.32411803673528</v>
      </c>
      <c r="I7" s="36" t="n">
        <f aca="false">IF($B7=1,IFERROR($C7-($N$10+$N$9*$G7),""),"")</f>
        <v>-0.44357832056086</v>
      </c>
      <c r="J7" s="36" t="n">
        <f aca="false">IF($B7=1,IFERROR($C7-($N$21-$N$26*EXP(-$G7/$N$24)),""),"")</f>
        <v>-0.176769960387723</v>
      </c>
      <c r="M7" s="15" t="s">
        <v>75</v>
      </c>
      <c r="N7" s="31" t="n">
        <f aca="false">SUMPRODUCT($B$7:$B$206,$G$7:$G$206)</f>
        <v>41.6915049719474</v>
      </c>
      <c r="Q7" s="11" t="s">
        <v>76</v>
      </c>
      <c r="R7" s="31" t="n">
        <f aca="false">IFERROR($R$6+$R$5*(200-1),"")</f>
        <v>138.95</v>
      </c>
      <c r="T7" s="38" t="n">
        <f aca="false">IFERROR($R$6+($A7-1)*$R$5,"")</f>
        <v>39.45</v>
      </c>
      <c r="U7" s="38" t="n">
        <f aca="false">IFERROR(SUMPRODUCT($B$7:$B$206,LN($T7-$C$7:$C$206)),"")</f>
        <v>100.237235653172</v>
      </c>
      <c r="V7" s="38" t="n">
        <f aca="false">IFERROR(SUMPRODUCT($B$7:$B$206,LN($T7-$C$7:$C$206),LN($T7-$C$7:$C$206)),"")</f>
        <v>169.49763535323</v>
      </c>
      <c r="W7" s="38" t="n">
        <f aca="false">IFERROR(SUMPRODUCT($B$7:$B$206,LN($T7-$C$7:$C$206),$H$7:$H$206),"")</f>
        <v>-3.20220152978281</v>
      </c>
      <c r="X7" s="39" t="n">
        <f aca="false">IFERROR((データ入力!$B$8*W7-U7*$N$22)/SQRT((データ入力!$B$8*V7-U7^2)*(データ入力!$B$8*$N$23-$N$22^2)),-1)</f>
        <v>0.855060265951413</v>
      </c>
      <c r="Z7" s="38" t="n">
        <f aca="false">IFERROR($R$10+($A7-1)*$R$9,"")</f>
        <v>58.95</v>
      </c>
      <c r="AA7" s="38" t="n">
        <f aca="false">IFERROR(SUMPRODUCT($B$7:$B$206,LN($Z7-$C$7:$C$206)),"")</f>
        <v>237.630783533023</v>
      </c>
      <c r="AB7" s="38" t="n">
        <f aca="false">IFERROR(SUMPRODUCT($B$7:$B$206,LN($Z7-$C$7:$C$206),LN($Z7-$C$7:$C$206)),"")</f>
        <v>753.221825358665</v>
      </c>
      <c r="AC7" s="38" t="n">
        <f aca="false">IFERROR(SUMPRODUCT($B$7:$B$206,LN($Z7-$C$7:$C$206),$H$7:$H$206),"")</f>
        <v>-126.376058253722</v>
      </c>
      <c r="AD7" s="39" t="n">
        <f aca="false">IFERROR((データ入力!$B$8*AC7-AA7*$N$22)/SQRT((データ入力!$B$8*AB7-AA7^2)*(データ入力!$B$8*$N$23-$N$22^2)),-1)</f>
        <v>0.997026536129273</v>
      </c>
      <c r="AF7" s="40" t="n">
        <v>-2</v>
      </c>
      <c r="AG7" s="40" t="n">
        <f aca="false">IFERROR($N$10+$N$9*$AF7,"")</f>
        <v>31.9362671614258</v>
      </c>
      <c r="AH7" s="40" t="n">
        <f aca="false">IFERROR($N$21-$N$26*EXP(-$AF7/$N$24),"")</f>
        <v>31.6554597712847</v>
      </c>
      <c r="AI7" s="41" t="n">
        <f aca="false">IFERROR(1/(1-EXP(-EXP(-$AF7))),"")</f>
        <v>1.00061836112351</v>
      </c>
    </row>
    <row r="8" customFormat="false" ht="15" hidden="false" customHeight="false" outlineLevel="0" collapsed="false">
      <c r="A8" s="32" t="n">
        <v>2</v>
      </c>
      <c r="B8" s="33" t="n">
        <f aca="false">IF($A8&lt;=データ入力!$B$8,1,0)</f>
        <v>1</v>
      </c>
      <c r="C8" s="34" t="n">
        <f aca="false">IF($B8=1,LARGE(データ入力!$B$12:$B$211,$A8),0)</f>
        <v>39.1</v>
      </c>
      <c r="D8" s="32" t="n">
        <f aca="false">IF($B8=1,IFERROR(INDEX(データ入力!$A$12:$A$211,MATCH($C8,データ入力!$B$12:$B$211,0)),""),"")</f>
        <v>2009</v>
      </c>
      <c r="E8" s="35" t="n">
        <f aca="false">IF($B8=1,1-$A8/(データ入力!$B$8+1),0)</f>
        <v>0.973684210526316</v>
      </c>
      <c r="F8" s="36" t="n">
        <f aca="false">IF($B8=1,(データ入力!$B$8+1)/$A8,"")</f>
        <v>38</v>
      </c>
      <c r="G8" s="37" t="n">
        <f aca="false">IF($B8=1,-LN(-LN($E8)),0)</f>
        <v>3.62428166915145</v>
      </c>
      <c r="H8" s="37" t="n">
        <f aca="false">IF($B8=1,LN(-LN($E8)),0)</f>
        <v>-3.62428166915145</v>
      </c>
      <c r="I8" s="36" t="n">
        <f aca="false">IF($B8=1,IFERROR($C8-($N$10+$N$9*$G8),""),"")</f>
        <v>0.131456567595805</v>
      </c>
      <c r="J8" s="36" t="n">
        <f aca="false">IF($B8=1,IFERROR($C8-($N$21-$N$26*EXP(-$G8/$N$24)),""),"")</f>
        <v>0.274941783408998</v>
      </c>
      <c r="M8" s="15" t="s">
        <v>77</v>
      </c>
      <c r="N8" s="31" t="n">
        <f aca="false">SUMPRODUCT($B$7:$B$206,$G$7:$G$206,$G$7:$G$206)</f>
        <v>129.350729844172</v>
      </c>
      <c r="Q8" s="11" t="s">
        <v>78</v>
      </c>
      <c r="R8" s="31" t="n">
        <f aca="false">IFERROR(INDEX($T$7:$T$206,MATCH(MAX($X$7:$X$206),$X$7:$X$206,0)),"")</f>
        <v>59.45</v>
      </c>
      <c r="T8" s="38" t="n">
        <f aca="false">IFERROR($R$6+($A8-1)*$R$5,"")</f>
        <v>39.95</v>
      </c>
      <c r="U8" s="38" t="n">
        <f aca="false">IFERROR(SUMPRODUCT($B$7:$B$206,LN($T8-$C$7:$C$206)),"")</f>
        <v>112.372648687055</v>
      </c>
      <c r="V8" s="38" t="n">
        <f aca="false">IFERROR(SUMPRODUCT($B$7:$B$206,LN($T8-$C$7:$C$206),LN($T8-$C$7:$C$206)),"")</f>
        <v>183.327893762434</v>
      </c>
      <c r="W8" s="38" t="n">
        <f aca="false">IFERROR(SUMPRODUCT($B$7:$B$206,LN($T8-$C$7:$C$206),$H$7:$H$206),"")</f>
        <v>-24.7341285268327</v>
      </c>
      <c r="X8" s="39" t="n">
        <f aca="false">IFERROR((データ入力!$B$8*W8-U8*$N$22)/SQRT((データ入力!$B$8*V8-U8^2)*(データ入力!$B$8*$N$23-$N$22^2)),-1)</f>
        <v>0.946761764103596</v>
      </c>
      <c r="Z8" s="38" t="n">
        <f aca="false">IFERROR($R$10+($A8-1)*$R$9,"")</f>
        <v>58.9550251256281</v>
      </c>
      <c r="AA8" s="38" t="n">
        <f aca="false">IFERROR(SUMPRODUCT($B$7:$B$206,LN($Z8-$C$7:$C$206)),"")</f>
        <v>237.646670902453</v>
      </c>
      <c r="AB8" s="38" t="n">
        <f aca="false">IFERROR(SUMPRODUCT($B$7:$B$206,LN($Z8-$C$7:$C$206),LN($Z8-$C$7:$C$206)),"")</f>
        <v>753.322369379525</v>
      </c>
      <c r="AC8" s="38" t="n">
        <f aca="false">IFERROR(SUMPRODUCT($B$7:$B$206,LN($Z8-$C$7:$C$206),$H$7:$H$206),"")</f>
        <v>-126.386133239238</v>
      </c>
      <c r="AD8" s="39" t="n">
        <f aca="false">IFERROR((データ入力!$B$8*AC8-AA8*$N$22)/SQRT((データ入力!$B$8*AB8-AA8^2)*(データ入力!$B$8*$N$23-$N$22^2)),-1)</f>
        <v>0.997026546676015</v>
      </c>
      <c r="AF8" s="40" t="n">
        <v>-1.8</v>
      </c>
      <c r="AG8" s="40" t="n">
        <f aca="false">IFERROR($N$10+$N$9*$AF8,"")</f>
        <v>32.1863355856141</v>
      </c>
      <c r="AH8" s="40" t="n">
        <f aca="false">IFERROR($N$21-$N$26*EXP(-$AF8/$N$24),"")</f>
        <v>31.9487424350154</v>
      </c>
      <c r="AI8" s="41" t="n">
        <f aca="false">IFERROR(1/(1-EXP(-EXP(-$AF8))),"")</f>
        <v>1.00236426997123</v>
      </c>
    </row>
    <row r="9" customFormat="false" ht="15" hidden="false" customHeight="false" outlineLevel="0" collapsed="false">
      <c r="A9" s="32" t="n">
        <v>3</v>
      </c>
      <c r="B9" s="33" t="n">
        <f aca="false">IF($A9&lt;=データ入力!$B$8,1,0)</f>
        <v>1</v>
      </c>
      <c r="C9" s="34" t="n">
        <f aca="false">IF($B9=1,LARGE(データ入力!$B$12:$B$211,$A9),0)</f>
        <v>38.5</v>
      </c>
      <c r="D9" s="32" t="n">
        <f aca="false">IF($B9=1,IFERROR(INDEX(データ入力!$A$12:$A$211,MATCH($C9,データ入力!$B$12:$B$211,0)),""),"")</f>
        <v>1978</v>
      </c>
      <c r="E9" s="35" t="n">
        <f aca="false">IF($B9=1,1-$A9/(データ入力!$B$8+1),0)</f>
        <v>0.960526315789474</v>
      </c>
      <c r="F9" s="36" t="n">
        <f aca="false">IF($B9=1,(データ入力!$B$8+1)/$A9,"")</f>
        <v>25.3333333333333</v>
      </c>
      <c r="G9" s="37" t="n">
        <f aca="false">IF($B9=1,-LN(-LN($E9)),0)</f>
        <v>3.21205168392545</v>
      </c>
      <c r="H9" s="37" t="n">
        <f aca="false">IF($B9=1,LN(-LN($E9)),0)</f>
        <v>-3.21205168392545</v>
      </c>
      <c r="I9" s="36" t="n">
        <f aca="false">IF($B9=1,IFERROR($C9-($N$10+$N$9*$G9),""),"")</f>
        <v>0.046885081638905</v>
      </c>
      <c r="J9" s="36" t="n">
        <f aca="false">IF($B9=1,IFERROR($C9-($N$21-$N$26*EXP(-$G9/$N$24)),""),"")</f>
        <v>0.130955664992499</v>
      </c>
      <c r="M9" s="9" t="s">
        <v>79</v>
      </c>
      <c r="N9" s="42" t="n">
        <f aca="false">IFERROR((データ入力!$B$8*SUMPRODUCT($B$7:$B$206,$C$7:$C$206,$G$7:$G$206)-N6*N7)/(データ入力!$B$8*N8-N7^2),"")</f>
        <v>1.25034212094135</v>
      </c>
      <c r="Q9" s="11" t="s">
        <v>80</v>
      </c>
      <c r="R9" s="43" t="n">
        <f aca="false">IFERROR(2*$R$5/(200-1),"")</f>
        <v>0.0050251256281407</v>
      </c>
      <c r="T9" s="38" t="n">
        <f aca="false">IFERROR($R$6+($A9-1)*$R$5,"")</f>
        <v>40.45</v>
      </c>
      <c r="U9" s="38" t="n">
        <f aca="false">IFERROR(SUMPRODUCT($B$7:$B$206,LN($T9-$C$7:$C$206)),"")</f>
        <v>121.220910316359</v>
      </c>
      <c r="V9" s="38" t="n">
        <f aca="false">IFERROR(SUMPRODUCT($B$7:$B$206,LN($T9-$C$7:$C$206),LN($T9-$C$7:$C$206)),"")</f>
        <v>206.113840196665</v>
      </c>
      <c r="W9" s="38" t="n">
        <f aca="false">IFERROR(SUMPRODUCT($B$7:$B$206,LN($T9-$C$7:$C$206),$H$7:$H$206),"")</f>
        <v>-35.5986931837857</v>
      </c>
      <c r="X9" s="39" t="n">
        <f aca="false">IFERROR((データ入力!$B$8*W9-U9*$N$22)/SQRT((データ入力!$B$8*V9-U9^2)*(データ入力!$B$8*$N$23-$N$22^2)),-1)</f>
        <v>0.966509282258682</v>
      </c>
      <c r="Z9" s="38" t="n">
        <f aca="false">IFERROR($R$10+($A9-1)*$R$9,"")</f>
        <v>58.9600502512563</v>
      </c>
      <c r="AA9" s="38" t="n">
        <f aca="false">IFERROR(SUMPRODUCT($B$7:$B$206,LN($Z9-$C$7:$C$206)),"")</f>
        <v>237.662554892478</v>
      </c>
      <c r="AB9" s="38" t="n">
        <f aca="false">IFERROR(SUMPRODUCT($B$7:$B$206,LN($Z9-$C$7:$C$206),LN($Z9-$C$7:$C$206)),"")</f>
        <v>753.422898801914</v>
      </c>
      <c r="AC9" s="38" t="n">
        <f aca="false">IFERROR(SUMPRODUCT($B$7:$B$206,LN($Z9-$C$7:$C$206),$H$7:$H$206),"")</f>
        <v>-126.396205803321</v>
      </c>
      <c r="AD9" s="39" t="n">
        <f aca="false">IFERROR((データ入力!$B$8*AC9-AA9*$N$22)/SQRT((データ入力!$B$8*AB9-AA9^2)*(データ入力!$B$8*$N$23-$N$22^2)),-1)</f>
        <v>0.997026557113384</v>
      </c>
      <c r="AF9" s="40" t="n">
        <v>-1.6</v>
      </c>
      <c r="AG9" s="40" t="n">
        <f aca="false">IFERROR($N$10+$N$9*$AF9,"")</f>
        <v>32.4364040098024</v>
      </c>
      <c r="AH9" s="40" t="n">
        <f aca="false">IFERROR($N$21-$N$26*EXP(-$AF9/$N$24),"")</f>
        <v>32.2389323932787</v>
      </c>
      <c r="AI9" s="41" t="n">
        <f aca="false">IFERROR(1/(1-EXP(-EXP(-$AF9))),"")</f>
        <v>1.00711218755736</v>
      </c>
    </row>
    <row r="10" customFormat="false" ht="15" hidden="false" customHeight="false" outlineLevel="0" collapsed="false">
      <c r="A10" s="32" t="n">
        <v>4</v>
      </c>
      <c r="B10" s="33" t="n">
        <f aca="false">IF($A10&lt;=データ入力!$B$8,1,0)</f>
        <v>1</v>
      </c>
      <c r="C10" s="34" t="n">
        <f aca="false">IF($B10=1,LARGE(データ入力!$B$12:$B$211,$A10),0)</f>
        <v>38.3</v>
      </c>
      <c r="D10" s="32" t="n">
        <f aca="false">IF($B10=1,IFERROR(INDEX(データ入力!$A$12:$A$211,MATCH($C10,データ入力!$B$12:$B$211,0)),""),"")</f>
        <v>2024</v>
      </c>
      <c r="E10" s="35" t="n">
        <f aca="false">IF($B10=1,1-$A10/(データ入力!$B$8+1),0)</f>
        <v>0.947368421052632</v>
      </c>
      <c r="F10" s="36" t="n">
        <f aca="false">IF($B10=1,(データ入力!$B$8+1)/$A10,"")</f>
        <v>19</v>
      </c>
      <c r="G10" s="37" t="n">
        <f aca="false">IF($B10=1,-LN(-LN($E10)),0)</f>
        <v>2.91752716824826</v>
      </c>
      <c r="H10" s="37" t="n">
        <f aca="false">IF($B10=1,LN(-LN($E10)),0)</f>
        <v>-2.91752716824826</v>
      </c>
      <c r="I10" s="36" t="n">
        <f aca="false">IF($B10=1,IFERROR($C10-($N$10+$N$9*$G10),""),"")</f>
        <v>0.21514148923994</v>
      </c>
      <c r="J10" s="36" t="n">
        <f aca="false">IF($B10=1,IFERROR($C10-($N$21-$N$26*EXP(-$G10/$N$24)),""),"")</f>
        <v>0.262919269245501</v>
      </c>
      <c r="M10" s="9" t="s">
        <v>81</v>
      </c>
      <c r="N10" s="42" t="n">
        <f aca="false">IFERROR((N6-N9*N7)/データ入力!$B$8,"")</f>
        <v>34.4369514033085</v>
      </c>
      <c r="Q10" s="11" t="s">
        <v>82</v>
      </c>
      <c r="R10" s="31" t="n">
        <f aca="false">IFERROR(MAX($R$8-$R$5,$R$6),"")</f>
        <v>58.95</v>
      </c>
      <c r="T10" s="38" t="n">
        <f aca="false">IFERROR($R$6+($A10-1)*$R$5,"")</f>
        <v>40.95</v>
      </c>
      <c r="U10" s="38" t="n">
        <f aca="false">IFERROR(SUMPRODUCT($B$7:$B$206,LN($T10-$C$7:$C$206)),"")</f>
        <v>128.840902360489</v>
      </c>
      <c r="V10" s="38" t="n">
        <f aca="false">IFERROR(SUMPRODUCT($B$7:$B$206,LN($T10-$C$7:$C$206),LN($T10-$C$7:$C$206)),"")</f>
        <v>228.981904005642</v>
      </c>
      <c r="W10" s="38" t="n">
        <f aca="false">IFERROR(SUMPRODUCT($B$7:$B$206,LN($T10-$C$7:$C$206),$H$7:$H$206),"")</f>
        <v>-43.8017538282515</v>
      </c>
      <c r="X10" s="39" t="n">
        <f aca="false">IFERROR((データ入力!$B$8*W10-U10*$N$22)/SQRT((データ入力!$B$8*V10-U10^2)*(データ入力!$B$8*$N$23-$N$22^2)),-1)</f>
        <v>0.976191545293009</v>
      </c>
      <c r="Z10" s="38" t="n">
        <f aca="false">IFERROR($R$10+($A10-1)*$R$9,"")</f>
        <v>58.9650753768844</v>
      </c>
      <c r="AA10" s="38" t="n">
        <f aca="false">IFERROR(SUMPRODUCT($B$7:$B$206,LN($Z10-$C$7:$C$206)),"")</f>
        <v>237.678435504542</v>
      </c>
      <c r="AB10" s="38" t="n">
        <f aca="false">IFERROR(SUMPRODUCT($B$7:$B$206,LN($Z10-$C$7:$C$206),LN($Z10-$C$7:$C$206)),"")</f>
        <v>753.523413630613</v>
      </c>
      <c r="AC10" s="38" t="n">
        <f aca="false">IFERROR(SUMPRODUCT($B$7:$B$206,LN($Z10-$C$7:$C$206),$H$7:$H$206),"")</f>
        <v>-126.406275947132</v>
      </c>
      <c r="AD10" s="39" t="n">
        <f aca="false">IFERROR((データ入力!$B$8*AC10-AA10*$N$22)/SQRT((データ入力!$B$8*AB10-AA10^2)*(データ入力!$B$8*$N$23-$N$22^2)),-1)</f>
        <v>0.997026567441077</v>
      </c>
      <c r="AF10" s="40" t="n">
        <v>-1.4</v>
      </c>
      <c r="AG10" s="40" t="n">
        <f aca="false">IFERROR($N$10+$N$9*$AF10,"")</f>
        <v>32.6864724339906</v>
      </c>
      <c r="AH10" s="40" t="n">
        <f aca="false">IFERROR($N$21-$N$26*EXP(-$AF10/$N$24),"")</f>
        <v>32.5260622590734</v>
      </c>
      <c r="AI10" s="41" t="n">
        <f aca="false">IFERROR(1/(1-EXP(-EXP(-$AF10))),"")</f>
        <v>1.01763771106401</v>
      </c>
    </row>
    <row r="11" customFormat="false" ht="15" hidden="false" customHeight="false" outlineLevel="0" collapsed="false">
      <c r="A11" s="32" t="n">
        <v>5</v>
      </c>
      <c r="B11" s="33" t="n">
        <f aca="false">IF($A11&lt;=データ入力!$B$8,1,0)</f>
        <v>1</v>
      </c>
      <c r="C11" s="34" t="n">
        <f aca="false">IF($B11=1,LARGE(データ入力!$B$12:$B$211,$A11),0)</f>
        <v>37.6</v>
      </c>
      <c r="D11" s="32" t="n">
        <f aca="false">IF($B11=1,IFERROR(INDEX(データ入力!$A$12:$A$211,MATCH($C11,データ入力!$B$12:$B$211,0)),""),"")</f>
        <v>1988</v>
      </c>
      <c r="E11" s="35" t="n">
        <f aca="false">IF($B11=1,1-$A11/(データ入力!$B$8+1),0)</f>
        <v>0.93421052631579</v>
      </c>
      <c r="F11" s="36" t="n">
        <f aca="false">IF($B11=1,(データ入力!$B$8+1)/$A11,"")</f>
        <v>15.2</v>
      </c>
      <c r="G11" s="37" t="n">
        <f aca="false">IF($B11=1,-LN(-LN($E11)),0)</f>
        <v>2.68746165852696</v>
      </c>
      <c r="H11" s="37" t="n">
        <f aca="false">IF($B11=1,LN(-LN($E11)),0)</f>
        <v>-2.68746165852696</v>
      </c>
      <c r="I11" s="36" t="n">
        <f aca="false">IF($B11=1,IFERROR($C11-($N$10+$N$9*$G11),""),"")</f>
        <v>-0.197197913379668</v>
      </c>
      <c r="J11" s="36" t="n">
        <f aca="false">IF($B11=1,IFERROR($C11-($N$21-$N$26*EXP(-$G11/$N$24)),""),"")</f>
        <v>-0.174140605870086</v>
      </c>
      <c r="M11" s="11" t="s">
        <v>83</v>
      </c>
      <c r="N11" s="43" t="n">
        <f aca="false">IFERROR((データ入力!$B$8*SUMPRODUCT($B$7:$B$206,$C$7:$C$206,$G$7:$G$206)-N6*N7)/SQRT((データ入力!$B$8*N8-N7^2)*(データ入力!$B$8*SUMPRODUCT($B$7:$B$206,$C$7:$C$206,$C$7:$C$206)-N6^2)),"")</f>
        <v>0.996005795082333</v>
      </c>
      <c r="T11" s="38" t="n">
        <f aca="false">IFERROR($R$6+($A11-1)*$R$5,"")</f>
        <v>41.45</v>
      </c>
      <c r="U11" s="38" t="n">
        <f aca="false">IFERROR(SUMPRODUCT($B$7:$B$206,LN($T11-$C$7:$C$206)),"")</f>
        <v>135.627580889396</v>
      </c>
      <c r="V11" s="38" t="n">
        <f aca="false">IFERROR(SUMPRODUCT($B$7:$B$206,LN($T11-$C$7:$C$206),LN($T11-$C$7:$C$206)),"")</f>
        <v>251.304252237805</v>
      </c>
      <c r="W11" s="38" t="n">
        <f aca="false">IFERROR(SUMPRODUCT($B$7:$B$206,LN($T11-$C$7:$C$206),$H$7:$H$206),"")</f>
        <v>-50.5281276831439</v>
      </c>
      <c r="X11" s="39" t="n">
        <f aca="false">IFERROR((データ入力!$B$8*W11-U11*$N$22)/SQRT((データ入力!$B$8*V11-U11^2)*(データ入力!$B$8*$N$23-$N$22^2)),-1)</f>
        <v>0.981922305234997</v>
      </c>
      <c r="Z11" s="38" t="n">
        <f aca="false">IFERROR($R$10+($A11-1)*$R$9,"")</f>
        <v>58.9701005025126</v>
      </c>
      <c r="AA11" s="38" t="n">
        <f aca="false">IFERROR(SUMPRODUCT($B$7:$B$206,LN($Z11-$C$7:$C$206)),"")</f>
        <v>237.694312740088</v>
      </c>
      <c r="AB11" s="38" t="n">
        <f aca="false">IFERROR(SUMPRODUCT($B$7:$B$206,LN($Z11-$C$7:$C$206),LN($Z11-$C$7:$C$206)),"")</f>
        <v>753.623913870399</v>
      </c>
      <c r="AC11" s="38" t="n">
        <f aca="false">IFERROR(SUMPRODUCT($B$7:$B$206,LN($Z11-$C$7:$C$206),$H$7:$H$206),"")</f>
        <v>-126.41634367183</v>
      </c>
      <c r="AD11" s="39" t="n">
        <f aca="false">IFERROR((データ入力!$B$8*AC11-AA11*$N$22)/SQRT((データ入力!$B$8*AB11-AA11^2)*(データ入力!$B$8*$N$23-$N$22^2)),-1)</f>
        <v>0.997026577659227</v>
      </c>
      <c r="AF11" s="40" t="n">
        <v>-1.2</v>
      </c>
      <c r="AG11" s="40" t="n">
        <f aca="false">IFERROR($N$10+$N$9*$AF11,"")</f>
        <v>32.9365408581789</v>
      </c>
      <c r="AH11" s="40" t="n">
        <f aca="false">IFERROR($N$21-$N$26*EXP(-$AF11/$N$24),"")</f>
        <v>32.8101643014894</v>
      </c>
      <c r="AI11" s="41" t="n">
        <f aca="false">IFERROR(1/(1-EXP(-EXP(-$AF11))),"")</f>
        <v>1.03750433427539</v>
      </c>
    </row>
    <row r="12" customFormat="false" ht="15" hidden="false" customHeight="false" outlineLevel="0" collapsed="false">
      <c r="A12" s="32" t="n">
        <v>6</v>
      </c>
      <c r="B12" s="33" t="n">
        <f aca="false">IF($A12&lt;=データ入力!$B$8,1,0)</f>
        <v>1</v>
      </c>
      <c r="C12" s="34" t="n">
        <f aca="false">IF($B12=1,LARGE(データ入力!$B$12:$B$211,$A12),0)</f>
        <v>37.5</v>
      </c>
      <c r="D12" s="32" t="n">
        <f aca="false">IF($B12=1,IFERROR(INDEX(データ入力!$A$12:$A$211,MATCH($C12,データ入力!$B$12:$B$211,0)),""),"")</f>
        <v>2023</v>
      </c>
      <c r="E12" s="35" t="n">
        <f aca="false">IF($B12=1,1-$A12/(データ入力!$B$8+1),0)</f>
        <v>0.921052631578947</v>
      </c>
      <c r="F12" s="36" t="n">
        <f aca="false">IF($B12=1,(データ入力!$B$8+1)/$A12,"")</f>
        <v>12.6666666666667</v>
      </c>
      <c r="G12" s="37" t="n">
        <f aca="false">IF($B12=1,-LN(-LN($E12)),0)</f>
        <v>2.4981366020931</v>
      </c>
      <c r="H12" s="37" t="n">
        <f aca="false">IF($B12=1,LN(-LN($E12)),0)</f>
        <v>-2.4981366020931</v>
      </c>
      <c r="I12" s="36" t="n">
        <f aca="false">IF($B12=1,IFERROR($C12-($N$10+$N$9*$G12),""),"")</f>
        <v>-0.0604768207708162</v>
      </c>
      <c r="J12" s="36" t="n">
        <f aca="false">IF($B12=1,IFERROR($C12-($N$21-$N$26*EXP(-$G12/$N$24)),""),"")</f>
        <v>-0.0553444069138394</v>
      </c>
      <c r="T12" s="38" t="n">
        <f aca="false">IFERROR($R$6+($A12-1)*$R$5,"")</f>
        <v>41.95</v>
      </c>
      <c r="U12" s="38" t="n">
        <f aca="false">IFERROR(SUMPRODUCT($B$7:$B$206,LN($T12-$C$7:$C$206)),"")</f>
        <v>141.779058583941</v>
      </c>
      <c r="V12" s="38" t="n">
        <f aca="false">IFERROR(SUMPRODUCT($B$7:$B$206,LN($T12-$C$7:$C$206),LN($T12-$C$7:$C$206)),"")</f>
        <v>272.943471471902</v>
      </c>
      <c r="W12" s="38" t="n">
        <f aca="false">IFERROR(SUMPRODUCT($B$7:$B$206,LN($T12-$C$7:$C$206),$H$7:$H$206),"")</f>
        <v>-56.2712940733806</v>
      </c>
      <c r="X12" s="39" t="n">
        <f aca="false">IFERROR((データ入力!$B$8*W12-U12*$N$22)/SQRT((データ入力!$B$8*V12-U12^2)*(データ入力!$B$8*$N$23-$N$22^2)),-1)</f>
        <v>0.985655473921961</v>
      </c>
      <c r="Z12" s="38" t="n">
        <f aca="false">IFERROR($R$10+($A12-1)*$R$9,"")</f>
        <v>58.9751256281407</v>
      </c>
      <c r="AA12" s="38" t="n">
        <f aca="false">IFERROR(SUMPRODUCT($B$7:$B$206,LN($Z12-$C$7:$C$206)),"")</f>
        <v>237.710186600558</v>
      </c>
      <c r="AB12" s="38" t="n">
        <f aca="false">IFERROR(SUMPRODUCT($B$7:$B$206,LN($Z12-$C$7:$C$206),LN($Z12-$C$7:$C$206)),"")</f>
        <v>753.724399526048</v>
      </c>
      <c r="AC12" s="38" t="n">
        <f aca="false">IFERROR(SUMPRODUCT($B$7:$B$206,LN($Z12-$C$7:$C$206),$H$7:$H$206),"")</f>
        <v>-126.426408978573</v>
      </c>
      <c r="AD12" s="39" t="n">
        <f aca="false">IFERROR((データ入力!$B$8*AC12-AA12*$N$22)/SQRT((データ入力!$B$8*AB12-AA12^2)*(データ入力!$B$8*$N$23-$N$22^2)),-1)</f>
        <v>0.997026587768425</v>
      </c>
      <c r="AF12" s="40" t="n">
        <v>-1</v>
      </c>
      <c r="AG12" s="40" t="n">
        <f aca="false">IFERROR($N$10+$N$9*$AF12,"")</f>
        <v>33.1866092823672</v>
      </c>
      <c r="AH12" s="40" t="n">
        <f aca="false">IFERROR($N$21-$N$26*EXP(-$AF12/$N$24),"")</f>
        <v>33.091270449335</v>
      </c>
      <c r="AI12" s="41" t="n">
        <f aca="false">IFERROR(1/(1-EXP(-EXP(-$AF12))),"")</f>
        <v>1.07065009697711</v>
      </c>
    </row>
    <row r="13" customFormat="false" ht="15" hidden="false" customHeight="false" outlineLevel="0" collapsed="false">
      <c r="A13" s="32" t="n">
        <v>7</v>
      </c>
      <c r="B13" s="33" t="n">
        <f aca="false">IF($A13&lt;=データ入力!$B$8,1,0)</f>
        <v>1</v>
      </c>
      <c r="C13" s="34" t="n">
        <f aca="false">IF($B13=1,LARGE(データ入力!$B$12:$B$211,$A13),0)</f>
        <v>37.2</v>
      </c>
      <c r="D13" s="32" t="n">
        <f aca="false">IF($B13=1,IFERROR(INDEX(データ入力!$A$12:$A$211,MATCH($C13,データ入力!$B$12:$B$211,0)),""),"")</f>
        <v>2005</v>
      </c>
      <c r="E13" s="35" t="n">
        <f aca="false">IF($B13=1,1-$A13/(データ入力!$B$8+1),0)</f>
        <v>0.907894736842105</v>
      </c>
      <c r="F13" s="36" t="n">
        <f aca="false">IF($B13=1,(データ入力!$B$8+1)/$A13,"")</f>
        <v>10.8571428571429</v>
      </c>
      <c r="G13" s="37" t="n">
        <f aca="false">IF($B13=1,-LN(-LN($E13)),0)</f>
        <v>2.33689877417924</v>
      </c>
      <c r="H13" s="37" t="n">
        <f aca="false">IF($B13=1,LN(-LN($E13)),0)</f>
        <v>-2.33689877417924</v>
      </c>
      <c r="I13" s="36" t="n">
        <f aca="false">IF($B13=1,IFERROR($C13-($N$10+$N$9*$G13),""),"")</f>
        <v>-0.158874373041023</v>
      </c>
      <c r="J13" s="36" t="n">
        <f aca="false">IF($B13=1,IFERROR($C13-($N$21-$N$26*EXP(-$G13/$N$24)),""),"")</f>
        <v>-0.167268525520669</v>
      </c>
      <c r="M13" s="27" t="s">
        <v>84</v>
      </c>
      <c r="T13" s="38" t="n">
        <f aca="false">IFERROR($R$6+($A13-1)*$R$5,"")</f>
        <v>42.45</v>
      </c>
      <c r="U13" s="38" t="n">
        <f aca="false">IFERROR(SUMPRODUCT($B$7:$B$206,LN($T13-$C$7:$C$206)),"")</f>
        <v>147.419704879909</v>
      </c>
      <c r="V13" s="38" t="n">
        <f aca="false">IFERROR(SUMPRODUCT($B$7:$B$206,LN($T13-$C$7:$C$206),LN($T13-$C$7:$C$206)),"")</f>
        <v>293.879807719115</v>
      </c>
      <c r="W13" s="38" t="n">
        <f aca="false">IFERROR(SUMPRODUCT($B$7:$B$206,LN($T13-$C$7:$C$206),$H$7:$H$206),"")</f>
        <v>-61.2991061932361</v>
      </c>
      <c r="X13" s="39" t="n">
        <f aca="false">IFERROR((データ入力!$B$8*W13-U13*$N$22)/SQRT((データ入力!$B$8*V13-U13^2)*(データ入力!$B$8*$N$23-$N$22^2)),-1)</f>
        <v>0.988238101900135</v>
      </c>
      <c r="Z13" s="38" t="n">
        <f aca="false">IFERROR($R$10+($A13-1)*$R$9,"")</f>
        <v>58.9801507537688</v>
      </c>
      <c r="AA13" s="38" t="n">
        <f aca="false">IFERROR(SUMPRODUCT($B$7:$B$206,LN($Z13-$C$7:$C$206)),"")</f>
        <v>237.726057087393</v>
      </c>
      <c r="AB13" s="38" t="n">
        <f aca="false">IFERROR(SUMPRODUCT($B$7:$B$206,LN($Z13-$C$7:$C$206),LN($Z13-$C$7:$C$206)),"")</f>
        <v>753.824870602333</v>
      </c>
      <c r="AC13" s="38" t="n">
        <f aca="false">IFERROR(SUMPRODUCT($B$7:$B$206,LN($Z13-$C$7:$C$206),$H$7:$H$206),"")</f>
        <v>-126.436471868518</v>
      </c>
      <c r="AD13" s="39" t="n">
        <f aca="false">IFERROR((データ入力!$B$8*AC13-AA13*$N$22)/SQRT((データ入力!$B$8*AB13-AA13^2)*(データ入力!$B$8*$N$23-$N$22^2)),-1)</f>
        <v>0.997026597768617</v>
      </c>
      <c r="AF13" s="40" t="n">
        <v>-0.8</v>
      </c>
      <c r="AG13" s="40" t="n">
        <f aca="false">IFERROR($N$10+$N$9*$AF13,"")</f>
        <v>33.4366777065554</v>
      </c>
      <c r="AH13" s="40" t="n">
        <f aca="false">IFERROR($N$21-$N$26*EXP(-$AF13/$N$24),"")</f>
        <v>33.3694122947248</v>
      </c>
      <c r="AI13" s="41" t="n">
        <f aca="false">IFERROR(1/(1-EXP(-EXP(-$AF13))),"")</f>
        <v>1.12108751657352</v>
      </c>
    </row>
    <row r="14" customFormat="false" ht="15" hidden="false" customHeight="false" outlineLevel="0" collapsed="false">
      <c r="A14" s="32" t="n">
        <v>8</v>
      </c>
      <c r="B14" s="33" t="n">
        <f aca="false">IF($A14&lt;=データ入力!$B$8,1,0)</f>
        <v>1</v>
      </c>
      <c r="C14" s="34" t="n">
        <f aca="false">IF($B14=1,LARGE(データ入力!$B$12:$B$211,$A14),0)</f>
        <v>36.9</v>
      </c>
      <c r="D14" s="32" t="n">
        <f aca="false">IF($B14=1,IFERROR(INDEX(データ入力!$A$12:$A$211,MATCH($C14,データ入力!$B$12:$B$211,0)),""),"")</f>
        <v>1972</v>
      </c>
      <c r="E14" s="35" t="n">
        <f aca="false">IF($B14=1,1-$A14/(データ入力!$B$8+1),0)</f>
        <v>0.894736842105263</v>
      </c>
      <c r="F14" s="36" t="n">
        <f aca="false">IF($B14=1,(データ入力!$B$8+1)/$A14,"")</f>
        <v>9.5</v>
      </c>
      <c r="G14" s="37" t="n">
        <f aca="false">IF($B14=1,-LN(-LN($E14)),0)</f>
        <v>2.19619439216721</v>
      </c>
      <c r="H14" s="37" t="n">
        <f aca="false">IF($B14=1,LN(-LN($E14)),0)</f>
        <v>-2.19619439216721</v>
      </c>
      <c r="I14" s="36" t="n">
        <f aca="false">IF($B14=1,IFERROR($C14-($N$10+$N$9*$G14),""),"")</f>
        <v>-0.282945757610364</v>
      </c>
      <c r="J14" s="36" t="n">
        <f aca="false">IF($B14=1,IFERROR($C14-($N$21-$N$26*EXP(-$G14/$N$24)),""),"")</f>
        <v>-0.301825357164724</v>
      </c>
      <c r="M14" s="11" t="s">
        <v>85</v>
      </c>
      <c r="N14" s="44" t="n">
        <f aca="false">IFERROR(STDEV(データ入力!$B$12:$B$211)*SQRT(6)/PI(),"")</f>
        <v>1.17243283706067</v>
      </c>
      <c r="T14" s="38" t="n">
        <f aca="false">IFERROR($R$6+($A14-1)*$R$5,"")</f>
        <v>42.95</v>
      </c>
      <c r="U14" s="38" t="n">
        <f aca="false">IFERROR(SUMPRODUCT($B$7:$B$206,LN($T14-$C$7:$C$206)),"")</f>
        <v>152.636229870786</v>
      </c>
      <c r="V14" s="38" t="n">
        <f aca="false">IFERROR(SUMPRODUCT($B$7:$B$206,LN($T14-$C$7:$C$206),LN($T14-$C$7:$C$206)),"")</f>
        <v>314.131798750163</v>
      </c>
      <c r="W14" s="38" t="n">
        <f aca="false">IFERROR(SUMPRODUCT($B$7:$B$206,LN($T14-$C$7:$C$206),$H$7:$H$206),"")</f>
        <v>-65.7777998074563</v>
      </c>
      <c r="X14" s="39" t="n">
        <f aca="false">IFERROR((データ入力!$B$8*W14-U14*$N$22)/SQRT((データ入力!$B$8*V14-U14^2)*(データ入力!$B$8*$N$23-$N$22^2)),-1)</f>
        <v>0.990101294414243</v>
      </c>
      <c r="Z14" s="38" t="n">
        <f aca="false">IFERROR($R$10+($A14-1)*$R$9,"")</f>
        <v>58.985175879397</v>
      </c>
      <c r="AA14" s="38" t="n">
        <f aca="false">IFERROR(SUMPRODUCT($B$7:$B$206,LN($Z14-$C$7:$C$206)),"")</f>
        <v>237.741924202033</v>
      </c>
      <c r="AB14" s="38" t="n">
        <f aca="false">IFERROR(SUMPRODUCT($B$7:$B$206,LN($Z14-$C$7:$C$206),LN($Z14-$C$7:$C$206)),"")</f>
        <v>753.925327104025</v>
      </c>
      <c r="AC14" s="38" t="n">
        <f aca="false">IFERROR(SUMPRODUCT($B$7:$B$206,LN($Z14-$C$7:$C$206),$H$7:$H$206),"")</f>
        <v>-126.446532342821</v>
      </c>
      <c r="AD14" s="39" t="n">
        <f aca="false">IFERROR((データ入力!$B$8*AC14-AA14*$N$22)/SQRT((データ入力!$B$8*AB14-AA14^2)*(データ入力!$B$8*$N$23-$N$22^2)),-1)</f>
        <v>0.997026607659883</v>
      </c>
      <c r="AF14" s="40" t="n">
        <v>-0.6</v>
      </c>
      <c r="AG14" s="40" t="n">
        <f aca="false">IFERROR($N$10+$N$9*$AF14,"")</f>
        <v>33.6867461307437</v>
      </c>
      <c r="AH14" s="40" t="n">
        <f aca="false">IFERROR($N$21-$N$26*EXP(-$AF14/$N$24),"")</f>
        <v>33.6446210966303</v>
      </c>
      <c r="AI14" s="41" t="n">
        <f aca="false">IFERROR(1/(1-EXP(-EXP(-$AF14))),"")</f>
        <v>1.19286591862035</v>
      </c>
    </row>
    <row r="15" customFormat="false" ht="15" hidden="false" customHeight="false" outlineLevel="0" collapsed="false">
      <c r="A15" s="32" t="n">
        <v>9</v>
      </c>
      <c r="B15" s="33" t="n">
        <f aca="false">IF($A15&lt;=データ入力!$B$8,1,0)</f>
        <v>1</v>
      </c>
      <c r="C15" s="34" t="n">
        <f aca="false">IF($B15=1,LARGE(データ入力!$B$12:$B$211,$A15),0)</f>
        <v>36.9</v>
      </c>
      <c r="D15" s="32" t="n">
        <f aca="false">IF($B15=1,IFERROR(INDEX(データ入力!$A$12:$A$211,MATCH($C15,データ入力!$B$12:$B$211,0)),""),"")</f>
        <v>1972</v>
      </c>
      <c r="E15" s="35" t="n">
        <f aca="false">IF($B15=1,1-$A15/(データ入力!$B$8+1),0)</f>
        <v>0.881578947368421</v>
      </c>
      <c r="F15" s="36" t="n">
        <f aca="false">IF($B15=1,(データ入力!$B$8+1)/$A15,"")</f>
        <v>8.44444444444445</v>
      </c>
      <c r="G15" s="37" t="n">
        <f aca="false">IF($B15=1,-LN(-LN($E15)),0)</f>
        <v>2.07115024253337</v>
      </c>
      <c r="H15" s="37" t="n">
        <f aca="false">IF($B15=1,LN(-LN($E15)),0)</f>
        <v>-2.07115024253337</v>
      </c>
      <c r="I15" s="36" t="n">
        <f aca="false">IF($B15=1,IFERROR($C15-($N$10+$N$9*$G15),""),"")</f>
        <v>-0.126597790345883</v>
      </c>
      <c r="J15" s="36" t="n">
        <f aca="false">IF($B15=1,IFERROR($C15-($N$21-$N$26*EXP(-$G15/$N$24)),""),"")</f>
        <v>-0.15375669413266</v>
      </c>
      <c r="M15" s="11" t="s">
        <v>86</v>
      </c>
      <c r="N15" s="44" t="n">
        <f aca="false">IFERROR(AVERAGE(データ入力!$B$12:$B$211)-0.5772*N14,"")</f>
        <v>34.4552717664486</v>
      </c>
      <c r="T15" s="38" t="n">
        <f aca="false">IFERROR($R$6+($A15-1)*$R$5,"")</f>
        <v>43.45</v>
      </c>
      <c r="U15" s="38" t="n">
        <f aca="false">IFERROR(SUMPRODUCT($B$7:$B$206,LN($T15-$C$7:$C$206)),"")</f>
        <v>157.492880284525</v>
      </c>
      <c r="V15" s="38" t="n">
        <f aca="false">IFERROR(SUMPRODUCT($B$7:$B$206,LN($T15-$C$7:$C$206),LN($T15-$C$7:$C$206)),"")</f>
        <v>333.73146451816</v>
      </c>
      <c r="W15" s="38" t="n">
        <f aca="false">IFERROR(SUMPRODUCT($B$7:$B$206,LN($T15-$C$7:$C$206),$H$7:$H$206),"")</f>
        <v>-69.8193604824205</v>
      </c>
      <c r="X15" s="39" t="n">
        <f aca="false">IFERROR((データ入力!$B$8*W15-U15*$N$22)/SQRT((データ入力!$B$8*V15-U15^2)*(データ入力!$B$8*$N$23-$N$22^2)),-1)</f>
        <v>0.991488022455665</v>
      </c>
      <c r="Z15" s="38" t="n">
        <f aca="false">IFERROR($R$10+($A15-1)*$R$9,"")</f>
        <v>58.9902010050251</v>
      </c>
      <c r="AA15" s="38" t="n">
        <f aca="false">IFERROR(SUMPRODUCT($B$7:$B$206,LN($Z15-$C$7:$C$206)),"")</f>
        <v>237.757787945918</v>
      </c>
      <c r="AB15" s="38" t="n">
        <f aca="false">IFERROR(SUMPRODUCT($B$7:$B$206,LN($Z15-$C$7:$C$206),LN($Z15-$C$7:$C$206)),"")</f>
        <v>754.025769035892</v>
      </c>
      <c r="AC15" s="38" t="n">
        <f aca="false">IFERROR(SUMPRODUCT($B$7:$B$206,LN($Z15-$C$7:$C$206),$H$7:$H$206),"")</f>
        <v>-126.456590402638</v>
      </c>
      <c r="AD15" s="39" t="n">
        <f aca="false">IFERROR((データ入力!$B$8*AC15-AA15*$N$22)/SQRT((データ入力!$B$8*AB15-AA15^2)*(データ入力!$B$8*$N$23-$N$22^2)),-1)</f>
        <v>0.997026617442591</v>
      </c>
      <c r="AF15" s="40" t="n">
        <v>-0.4</v>
      </c>
      <c r="AG15" s="40" t="n">
        <f aca="false">IFERROR($N$10+$N$9*$AF15,"")</f>
        <v>33.936814554932</v>
      </c>
      <c r="AH15" s="40" t="n">
        <f aca="false">IFERROR($N$21-$N$26*EXP(-$AF15/$N$24),"")</f>
        <v>33.9169277843927</v>
      </c>
      <c r="AI15" s="41" t="n">
        <f aca="false">IFERROR(1/(1-EXP(-EXP(-$AF15))),"")</f>
        <v>1.29025897262577</v>
      </c>
    </row>
    <row r="16" customFormat="false" ht="15" hidden="false" customHeight="false" outlineLevel="0" collapsed="false">
      <c r="A16" s="32" t="n">
        <v>10</v>
      </c>
      <c r="B16" s="33" t="n">
        <f aca="false">IF($A16&lt;=データ入力!$B$8,1,0)</f>
        <v>1</v>
      </c>
      <c r="C16" s="34" t="n">
        <f aca="false">IF($B16=1,LARGE(データ入力!$B$12:$B$211,$A16),0)</f>
        <v>36.9</v>
      </c>
      <c r="D16" s="32" t="n">
        <f aca="false">IF($B16=1,IFERROR(INDEX(データ入力!$A$12:$A$211,MATCH($C16,データ入力!$B$12:$B$211,0)),""),"")</f>
        <v>1972</v>
      </c>
      <c r="E16" s="35" t="n">
        <f aca="false">IF($B16=1,1-$A16/(データ入力!$B$8+1),0)</f>
        <v>0.868421052631579</v>
      </c>
      <c r="F16" s="36" t="n">
        <f aca="false">IF($B16=1,(データ入力!$B$8+1)/$A16,"")</f>
        <v>7.6</v>
      </c>
      <c r="G16" s="37" t="n">
        <f aca="false">IF($B16=1,-LN(-LN($E16)),0)</f>
        <v>1.95843810944543</v>
      </c>
      <c r="H16" s="37" t="n">
        <f aca="false">IF($B16=1,LN(-LN($E16)),0)</f>
        <v>-1.95843810944543</v>
      </c>
      <c r="I16" s="36" t="n">
        <f aca="false">IF($B16=1,IFERROR($C16-($N$10+$N$9*$G16),""),"")</f>
        <v>0.0143309371951119</v>
      </c>
      <c r="J16" s="36" t="n">
        <f aca="false">IF($B16=1,IFERROR($C16-($N$21-$N$26*EXP(-$G16/$N$24)),""),"")</f>
        <v>-0.0194471486595162</v>
      </c>
      <c r="T16" s="38" t="n">
        <f aca="false">IFERROR($R$6+($A16-1)*$R$5,"")</f>
        <v>43.95</v>
      </c>
      <c r="U16" s="38" t="n">
        <f aca="false">IFERROR(SUMPRODUCT($B$7:$B$206,LN($T16-$C$7:$C$206)),"")</f>
        <v>162.039204908047</v>
      </c>
      <c r="V16" s="38" t="n">
        <f aca="false">IFERROR(SUMPRODUCT($B$7:$B$206,LN($T16-$C$7:$C$206),LN($T16-$C$7:$C$206)),"")</f>
        <v>352.714941568686</v>
      </c>
      <c r="W16" s="38" t="n">
        <f aca="false">IFERROR(SUMPRODUCT($B$7:$B$206,LN($T16-$C$7:$C$206),$H$7:$H$206),"")</f>
        <v>-73.5035522471199</v>
      </c>
      <c r="X16" s="39" t="n">
        <f aca="false">IFERROR((データ入力!$B$8*W16-U16*$N$22)/SQRT((データ入力!$B$8*V16-U16^2)*(データ入力!$B$8*$N$23-$N$22^2)),-1)</f>
        <v>0.992545391187322</v>
      </c>
      <c r="Z16" s="38" t="n">
        <f aca="false">IFERROR($R$10+($A16-1)*$R$9,"")</f>
        <v>58.9952261306533</v>
      </c>
      <c r="AA16" s="38" t="n">
        <f aca="false">IFERROR(SUMPRODUCT($B$7:$B$206,LN($Z16-$C$7:$C$206)),"")</f>
        <v>237.773648320486</v>
      </c>
      <c r="AB16" s="38" t="n">
        <f aca="false">IFERROR(SUMPRODUCT($B$7:$B$206,LN($Z16-$C$7:$C$206),LN($Z16-$C$7:$C$206)),"")</f>
        <v>754.1261964027</v>
      </c>
      <c r="AC16" s="38" t="n">
        <f aca="false">IFERROR(SUMPRODUCT($B$7:$B$206,LN($Z16-$C$7:$C$206),$H$7:$H$206),"")</f>
        <v>-126.466646049124</v>
      </c>
      <c r="AD16" s="39" t="n">
        <f aca="false">IFERROR((データ入力!$B$8*AC16-AA16*$N$22)/SQRT((データ入力!$B$8*AB16-AA16^2)*(データ入力!$B$8*$N$23-$N$22^2)),-1)</f>
        <v>0.997026627116319</v>
      </c>
      <c r="AF16" s="40" t="n">
        <v>-0.2</v>
      </c>
      <c r="AG16" s="40" t="n">
        <f aca="false">IFERROR($N$10+$N$9*$AF16,"")</f>
        <v>34.1868829791202</v>
      </c>
      <c r="AH16" s="40" t="n">
        <f aca="false">IFERROR($N$21-$N$26*EXP(-$AF16/$N$24),"")</f>
        <v>34.1863629611994</v>
      </c>
      <c r="AI16" s="41" t="n">
        <f aca="false">IFERROR(1/(1-EXP(-EXP(-$AF16))),"")</f>
        <v>1.41807025516245</v>
      </c>
    </row>
    <row r="17" customFormat="false" ht="15" hidden="false" customHeight="false" outlineLevel="0" collapsed="false">
      <c r="A17" s="32" t="n">
        <v>11</v>
      </c>
      <c r="B17" s="33" t="n">
        <f aca="false">IF($A17&lt;=データ入力!$B$8,1,0)</f>
        <v>1</v>
      </c>
      <c r="C17" s="34" t="n">
        <f aca="false">IF($B17=1,LARGE(データ入力!$B$12:$B$211,$A17),0)</f>
        <v>36.8</v>
      </c>
      <c r="D17" s="32" t="n">
        <f aca="false">IF($B17=1,IFERROR(INDEX(データ入力!$A$12:$A$211,MATCH($C17,データ入力!$B$12:$B$211,0)),""),"")</f>
        <v>1992</v>
      </c>
      <c r="E17" s="35" t="n">
        <f aca="false">IF($B17=1,1-$A17/(データ入力!$B$8+1),0)</f>
        <v>0.855263157894737</v>
      </c>
      <c r="F17" s="36" t="n">
        <f aca="false">IF($B17=1,(データ入力!$B$8+1)/$A17,"")</f>
        <v>6.90909090909091</v>
      </c>
      <c r="G17" s="37" t="n">
        <f aca="false">IF($B17=1,-LN(-LN($E17)),0)</f>
        <v>1.85568332880831</v>
      </c>
      <c r="H17" s="37" t="n">
        <f aca="false">IF($B17=1,LN(-LN($E17)),0)</f>
        <v>-1.85568332880831</v>
      </c>
      <c r="I17" s="36" t="n">
        <f aca="false">IF($B17=1,IFERROR($C17-($N$10+$N$9*$G17),""),"")</f>
        <v>0.0428095675537961</v>
      </c>
      <c r="J17" s="36" t="n">
        <f aca="false">IF($B17=1,IFERROR($C17-($N$21-$N$26*EXP(-$G17/$N$24)),""),"")</f>
        <v>0.00369824418100961</v>
      </c>
      <c r="M17" s="27" t="s">
        <v>87</v>
      </c>
      <c r="T17" s="38" t="n">
        <f aca="false">IFERROR($R$6+($A17-1)*$R$5,"")</f>
        <v>44.45</v>
      </c>
      <c r="U17" s="38" t="n">
        <f aca="false">IFERROR(SUMPRODUCT($B$7:$B$206,LN($T17-$C$7:$C$206)),"")</f>
        <v>166.314529649622</v>
      </c>
      <c r="V17" s="38" t="n">
        <f aca="false">IFERROR(SUMPRODUCT($B$7:$B$206,LN($T17-$C$7:$C$206),LN($T17-$C$7:$C$206)),"")</f>
        <v>371.118591493078</v>
      </c>
      <c r="W17" s="38" t="n">
        <f aca="false">IFERROR(SUMPRODUCT($B$7:$B$206,LN($T17-$C$7:$C$206),$H$7:$H$206),"")</f>
        <v>-76.8895426740459</v>
      </c>
      <c r="X17" s="39" t="n">
        <f aca="false">IFERROR((データ入力!$B$8*W17-U17*$N$22)/SQRT((データ入力!$B$8*V17-U17^2)*(データ入力!$B$8*$N$23-$N$22^2)),-1)</f>
        <v>0.993367361589231</v>
      </c>
      <c r="Z17" s="38" t="n">
        <f aca="false">IFERROR($R$10+($A17-1)*$R$9,"")</f>
        <v>59.0002512562814</v>
      </c>
      <c r="AA17" s="38" t="n">
        <f aca="false">IFERROR(SUMPRODUCT($B$7:$B$206,LN($Z17-$C$7:$C$206)),"")</f>
        <v>237.789505327175</v>
      </c>
      <c r="AB17" s="38" t="n">
        <f aca="false">IFERROR(SUMPRODUCT($B$7:$B$206,LN($Z17-$C$7:$C$206),LN($Z17-$C$7:$C$206)),"")</f>
        <v>754.226609209212</v>
      </c>
      <c r="AC17" s="38" t="n">
        <f aca="false">IFERROR(SUMPRODUCT($B$7:$B$206,LN($Z17-$C$7:$C$206),$H$7:$H$206),"")</f>
        <v>-126.476699283432</v>
      </c>
      <c r="AD17" s="39" t="n">
        <f aca="false">IFERROR((データ入力!$B$8*AC17-AA17*$N$22)/SQRT((データ入力!$B$8*AB17-AA17^2)*(データ入力!$B$8*$N$23-$N$22^2)),-1)</f>
        <v>0.997026636681852</v>
      </c>
      <c r="AF17" s="40" t="n">
        <v>0</v>
      </c>
      <c r="AG17" s="40" t="n">
        <f aca="false">IFERROR($N$10+$N$9*$AF17,"")</f>
        <v>34.4369514033085</v>
      </c>
      <c r="AH17" s="40" t="n">
        <f aca="false">IFERROR($N$21-$N$26*EXP(-$AF17/$N$24),"")</f>
        <v>34.4529569075228</v>
      </c>
      <c r="AI17" s="41" t="n">
        <f aca="false">IFERROR(1/(1-EXP(-EXP(-$AF17))),"")</f>
        <v>1.58197670686933</v>
      </c>
    </row>
    <row r="18" customFormat="false" ht="15" hidden="false" customHeight="false" outlineLevel="0" collapsed="false">
      <c r="A18" s="32" t="n">
        <v>12</v>
      </c>
      <c r="B18" s="33" t="n">
        <f aca="false">IF($A18&lt;=データ入力!$B$8,1,0)</f>
        <v>1</v>
      </c>
      <c r="C18" s="34" t="n">
        <f aca="false">IF($B18=1,LARGE(データ入力!$B$12:$B$211,$A18),0)</f>
        <v>36.8</v>
      </c>
      <c r="D18" s="32" t="n">
        <f aca="false">IF($B18=1,IFERROR(INDEX(データ入力!$A$12:$A$211,MATCH($C18,データ入力!$B$12:$B$211,0)),""),"")</f>
        <v>1992</v>
      </c>
      <c r="E18" s="35" t="n">
        <f aca="false">IF($B18=1,1-$A18/(データ入力!$B$8+1),0)</f>
        <v>0.842105263157895</v>
      </c>
      <c r="F18" s="36" t="n">
        <f aca="false">IF($B18=1,(データ入力!$B$8+1)/$A18,"")</f>
        <v>6.33333333333333</v>
      </c>
      <c r="G18" s="37" t="n">
        <f aca="false">IF($B18=1,-LN(-LN($E18)),0)</f>
        <v>1.76113178062393</v>
      </c>
      <c r="H18" s="37" t="n">
        <f aca="false">IF($B18=1,LN(-LN($E18)),0)</f>
        <v>-1.76113178062393</v>
      </c>
      <c r="I18" s="36" t="n">
        <f aca="false">IF($B18=1,IFERROR($C18-($N$10+$N$9*$G18),""),"")</f>
        <v>0.161031350848944</v>
      </c>
      <c r="J18" s="36" t="n">
        <f aca="false">IF($B18=1,IFERROR($C18-($N$21-$N$26*EXP(-$G18/$N$24)),""),"")</f>
        <v>0.117606629568613</v>
      </c>
      <c r="M18" s="28" t="s">
        <v>88</v>
      </c>
      <c r="T18" s="38" t="n">
        <f aca="false">IFERROR($R$6+($A18-1)*$R$5,"")</f>
        <v>44.95</v>
      </c>
      <c r="U18" s="38" t="n">
        <f aca="false">IFERROR(SUMPRODUCT($B$7:$B$206,LN($T18-$C$7:$C$206)),"")</f>
        <v>170.350754725595</v>
      </c>
      <c r="V18" s="38" t="n">
        <f aca="false">IFERROR(SUMPRODUCT($B$7:$B$206,LN($T18-$C$7:$C$206),LN($T18-$C$7:$C$206)),"")</f>
        <v>388.977336617462</v>
      </c>
      <c r="W18" s="38" t="n">
        <f aca="false">IFERROR(SUMPRODUCT($B$7:$B$206,LN($T18-$C$7:$C$206),$H$7:$H$206),"")</f>
        <v>-80.0226055095376</v>
      </c>
      <c r="X18" s="39" t="n">
        <f aca="false">IFERROR((データ入力!$B$8*W18-U18*$N$22)/SQRT((データ入力!$B$8*V18-U18^2)*(データ入力!$B$8*$N$23-$N$22^2)),-1)</f>
        <v>0.994016509950182</v>
      </c>
      <c r="Z18" s="38" t="n">
        <f aca="false">IFERROR($R$10+($A18-1)*$R$9,"")</f>
        <v>59.0052763819095</v>
      </c>
      <c r="AA18" s="38" t="n">
        <f aca="false">IFERROR(SUMPRODUCT($B$7:$B$206,LN($Z18-$C$7:$C$206)),"")</f>
        <v>237.80535896742</v>
      </c>
      <c r="AB18" s="38" t="n">
        <f aca="false">IFERROR(SUMPRODUCT($B$7:$B$206,LN($Z18-$C$7:$C$206),LN($Z18-$C$7:$C$206)),"")</f>
        <v>754.32700746019</v>
      </c>
      <c r="AC18" s="38" t="n">
        <f aca="false">IFERROR(SUMPRODUCT($B$7:$B$206,LN($Z18-$C$7:$C$206),$H$7:$H$206),"")</f>
        <v>-126.486750106717</v>
      </c>
      <c r="AD18" s="39" t="n">
        <f aca="false">IFERROR((データ入力!$B$8*AC18-AA18*$N$22)/SQRT((データ入力!$B$8*AB18-AA18^2)*(データ入力!$B$8*$N$23-$N$22^2)),-1)</f>
        <v>0.997026646138879</v>
      </c>
      <c r="AF18" s="40" t="n">
        <v>0.2</v>
      </c>
      <c r="AG18" s="40" t="n">
        <f aca="false">IFERROR($N$10+$N$9*$AF18,"")</f>
        <v>34.6870198274968</v>
      </c>
      <c r="AH18" s="40" t="n">
        <f aca="false">IFERROR($N$21-$N$26*EXP(-$AF18/$N$24),"")</f>
        <v>34.7167395845237</v>
      </c>
      <c r="AI18" s="41" t="n">
        <f aca="false">IFERROR(1/(1-EXP(-EXP(-$AF18))),"")</f>
        <v>1.78888004738543</v>
      </c>
    </row>
    <row r="19" customFormat="false" ht="15" hidden="false" customHeight="false" outlineLevel="0" collapsed="false">
      <c r="A19" s="32" t="n">
        <v>13</v>
      </c>
      <c r="B19" s="33" t="n">
        <f aca="false">IF($A19&lt;=データ入力!$B$8,1,0)</f>
        <v>1</v>
      </c>
      <c r="C19" s="34" t="n">
        <f aca="false">IF($B19=1,LARGE(データ入力!$B$12:$B$211,$A19),0)</f>
        <v>36.5</v>
      </c>
      <c r="D19" s="32" t="n">
        <f aca="false">IF($B19=1,IFERROR(INDEX(データ入力!$A$12:$A$211,MATCH($C19,データ入力!$B$12:$B$211,0)),""),"")</f>
        <v>2003</v>
      </c>
      <c r="E19" s="35" t="n">
        <f aca="false">IF($B19=1,1-$A19/(データ入力!$B$8+1),0)</f>
        <v>0.828947368421053</v>
      </c>
      <c r="F19" s="36" t="n">
        <f aca="false">IF($B19=1,(データ入力!$B$8+1)/$A19,"")</f>
        <v>5.84615384615385</v>
      </c>
      <c r="G19" s="37" t="n">
        <f aca="false">IF($B19=1,-LN(-LN($E19)),0)</f>
        <v>1.67345063105779</v>
      </c>
      <c r="H19" s="37" t="n">
        <f aca="false">IF($B19=1,LN(-LN($E19)),0)</f>
        <v>-1.67345063105779</v>
      </c>
      <c r="I19" s="36" t="n">
        <f aca="false">IF($B19=1,IFERROR($C19-($N$10+$N$9*$G19),""),"")</f>
        <v>-0.0293372146359445</v>
      </c>
      <c r="J19" s="36" t="n">
        <f aca="false">IF($B19=1,IFERROR($C19-($N$21-$N$26*EXP(-$G19/$N$24)),""),"")</f>
        <v>-0.076250524746257</v>
      </c>
      <c r="M19" s="15" t="s">
        <v>67</v>
      </c>
      <c r="N19" s="31" t="n">
        <f aca="false">IFERROR(SUMPRODUCT($B$7:$B$206,LN($N$21-$C$7:$C$206)),"")</f>
        <v>239.24968189293</v>
      </c>
      <c r="T19" s="38" t="n">
        <f aca="false">IFERROR($R$6+($A19-1)*$R$5,"")</f>
        <v>45.45</v>
      </c>
      <c r="U19" s="38" t="n">
        <f aca="false">IFERROR(SUMPRODUCT($B$7:$B$206,LN($T19-$C$7:$C$206)),"")</f>
        <v>174.174208051193</v>
      </c>
      <c r="V19" s="38" t="n">
        <f aca="false">IFERROR(SUMPRODUCT($B$7:$B$206,LN($T19-$C$7:$C$206),LN($T19-$C$7:$C$206)),"")</f>
        <v>406.323984432175</v>
      </c>
      <c r="W19" s="38" t="n">
        <f aca="false">IFERROR(SUMPRODUCT($B$7:$B$206,LN($T19-$C$7:$C$206),$H$7:$H$206),"")</f>
        <v>-82.9382471325017</v>
      </c>
      <c r="X19" s="39" t="n">
        <f aca="false">IFERROR((データ入力!$B$8*W19-U19*$N$22)/SQRT((データ入力!$B$8*V19-U19^2)*(データ入力!$B$8*$N$23-$N$22^2)),-1)</f>
        <v>0.994535937448844</v>
      </c>
      <c r="Z19" s="38" t="n">
        <f aca="false">IFERROR($R$10+($A19-1)*$R$9,"")</f>
        <v>59.0103015075377</v>
      </c>
      <c r="AA19" s="38" t="n">
        <f aca="false">IFERROR(SUMPRODUCT($B$7:$B$206,LN($Z19-$C$7:$C$206)),"")</f>
        <v>237.821209242659</v>
      </c>
      <c r="AB19" s="38" t="n">
        <f aca="false">IFERROR(SUMPRODUCT($B$7:$B$206,LN($Z19-$C$7:$C$206),LN($Z19-$C$7:$C$206)),"")</f>
        <v>754.42739116039</v>
      </c>
      <c r="AC19" s="38" t="n">
        <f aca="false">IFERROR(SUMPRODUCT($B$7:$B$206,LN($Z19-$C$7:$C$206),$H$7:$H$206),"")</f>
        <v>-126.496798520129</v>
      </c>
      <c r="AD19" s="39" t="n">
        <f aca="false">IFERROR((データ入力!$B$8*AC19-AA19*$N$22)/SQRT((データ入力!$B$8*AB19-AA19^2)*(データ入力!$B$8*$N$23-$N$22^2)),-1)</f>
        <v>0.997026655487854</v>
      </c>
      <c r="AF19" s="40" t="n">
        <v>0.4</v>
      </c>
      <c r="AG19" s="40" t="n">
        <f aca="false">IFERROR($N$10+$N$9*$AF19,"")</f>
        <v>34.9370882516851</v>
      </c>
      <c r="AH19" s="40" t="n">
        <f aca="false">IFERROR($N$21-$N$26*EXP(-$AF19/$N$24),"")</f>
        <v>34.9777406374185</v>
      </c>
      <c r="AI19" s="41" t="n">
        <f aca="false">IFERROR(1/(1-EXP(-EXP(-$AF19))),"")</f>
        <v>2.04727080184752</v>
      </c>
    </row>
    <row r="20" customFormat="false" ht="15" hidden="false" customHeight="false" outlineLevel="0" collapsed="false">
      <c r="A20" s="32" t="n">
        <v>14</v>
      </c>
      <c r="B20" s="33" t="n">
        <f aca="false">IF($A20&lt;=データ入力!$B$8,1,0)</f>
        <v>1</v>
      </c>
      <c r="C20" s="34" t="n">
        <f aca="false">IF($B20=1,LARGE(データ入力!$B$12:$B$211,$A20),0)</f>
        <v>36.4</v>
      </c>
      <c r="D20" s="32" t="n">
        <f aca="false">IF($B20=1,IFERROR(INDEX(データ入力!$A$12:$A$211,MATCH($C20,データ入力!$B$12:$B$211,0)),""),"")</f>
        <v>1997</v>
      </c>
      <c r="E20" s="35" t="n">
        <f aca="false">IF($B20=1,1-$A20/(データ入力!$B$8+1),0)</f>
        <v>0.815789473684211</v>
      </c>
      <c r="F20" s="36" t="n">
        <f aca="false">IF($B20=1,(データ入力!$B$8+1)/$A20,"")</f>
        <v>5.42857142857143</v>
      </c>
      <c r="G20" s="37" t="n">
        <f aca="false">IF($B20=1,-LN(-LN($E20)),0)</f>
        <v>1.59160312574703</v>
      </c>
      <c r="H20" s="37" t="n">
        <f aca="false">IF($B20=1,LN(-LN($E20)),0)</f>
        <v>-1.59160312574703</v>
      </c>
      <c r="I20" s="36" t="n">
        <f aca="false">IF($B20=1,IFERROR($C20-($N$10+$N$9*$G20),""),"")</f>
        <v>-0.0269998312519419</v>
      </c>
      <c r="J20" s="36" t="n">
        <f aca="false">IF($B20=1,IFERROR($C20-($N$21-$N$26*EXP(-$G20/$N$24)),""),"")</f>
        <v>-0.0767234663827523</v>
      </c>
      <c r="M20" s="15" t="s">
        <v>68</v>
      </c>
      <c r="N20" s="31" t="n">
        <f aca="false">IFERROR(SUMPRODUCT($B$7:$B$206,LN($N$21-$C$7:$C$206),LN($N$21-$C$7:$C$206)),"")</f>
        <v>763.502008484391</v>
      </c>
      <c r="T20" s="38" t="n">
        <f aca="false">IFERROR($R$6+($A20-1)*$R$5,"")</f>
        <v>45.95</v>
      </c>
      <c r="U20" s="38" t="n">
        <f aca="false">IFERROR(SUMPRODUCT($B$7:$B$206,LN($T20-$C$7:$C$206)),"")</f>
        <v>177.806928282885</v>
      </c>
      <c r="V20" s="38" t="n">
        <f aca="false">IFERROR(SUMPRODUCT($B$7:$B$206,LN($T20-$C$7:$C$206),LN($T20-$C$7:$C$206)),"")</f>
        <v>423.189013979334</v>
      </c>
      <c r="W20" s="38" t="n">
        <f aca="false">IFERROR(SUMPRODUCT($B$7:$B$206,LN($T20-$C$7:$C$206),$H$7:$H$206),"")</f>
        <v>-85.6648789136971</v>
      </c>
      <c r="X20" s="39" t="n">
        <f aca="false">IFERROR((データ入力!$B$8*W20-U20*$N$22)/SQRT((データ入力!$B$8*V20-U20^2)*(データ入力!$B$8*$N$23-$N$22^2)),-1)</f>
        <v>0.994956167667803</v>
      </c>
      <c r="Z20" s="38" t="n">
        <f aca="false">IFERROR($R$10+($A20-1)*$R$9,"")</f>
        <v>59.0153266331658</v>
      </c>
      <c r="AA20" s="38" t="n">
        <f aca="false">IFERROR(SUMPRODUCT($B$7:$B$206,LN($Z20-$C$7:$C$206)),"")</f>
        <v>237.837056154325</v>
      </c>
      <c r="AB20" s="38" t="n">
        <f aca="false">IFERROR(SUMPRODUCT($B$7:$B$206,LN($Z20-$C$7:$C$206),LN($Z20-$C$7:$C$206)),"")</f>
        <v>754.527760314571</v>
      </c>
      <c r="AC20" s="38" t="n">
        <f aca="false">IFERROR(SUMPRODUCT($B$7:$B$206,LN($Z20-$C$7:$C$206),$H$7:$H$206),"")</f>
        <v>-126.506844524821</v>
      </c>
      <c r="AD20" s="39" t="n">
        <f aca="false">IFERROR((データ入力!$B$8*AC20-AA20*$N$22)/SQRT((データ入力!$B$8*AB20-AA20^2)*(データ入力!$B$8*$N$23-$N$22^2)),-1)</f>
        <v>0.997026664728719</v>
      </c>
      <c r="AF20" s="40" t="n">
        <v>0.6</v>
      </c>
      <c r="AG20" s="40" t="n">
        <f aca="false">IFERROR($N$10+$N$9*$AF20,"")</f>
        <v>35.1871566758733</v>
      </c>
      <c r="AH20" s="40" t="n">
        <f aca="false">IFERROR($N$21-$N$26*EXP(-$AF20/$N$24),"")</f>
        <v>35.2359893988106</v>
      </c>
      <c r="AI20" s="41" t="n">
        <f aca="false">IFERROR(1/(1-EXP(-EXP(-$AF20))),"")</f>
        <v>2.36762515570335</v>
      </c>
    </row>
    <row r="21" customFormat="false" ht="15" hidden="false" customHeight="false" outlineLevel="0" collapsed="false">
      <c r="A21" s="32" t="n">
        <v>15</v>
      </c>
      <c r="B21" s="33" t="n">
        <f aca="false">IF($A21&lt;=データ入力!$B$8,1,0)</f>
        <v>1</v>
      </c>
      <c r="C21" s="34" t="n">
        <f aca="false">IF($B21=1,LARGE(データ入力!$B$12:$B$211,$A21),0)</f>
        <v>36.3</v>
      </c>
      <c r="D21" s="32" t="n">
        <f aca="false">IF($B21=1,IFERROR(INDEX(データ入力!$A$12:$A$211,MATCH($C21,データ入力!$B$12:$B$211,0)),""),"")</f>
        <v>1994</v>
      </c>
      <c r="E21" s="35" t="n">
        <f aca="false">IF($B21=1,1-$A21/(データ入力!$B$8+1),0)</f>
        <v>0.802631578947368</v>
      </c>
      <c r="F21" s="36" t="n">
        <f aca="false">IF($B21=1,(データ入力!$B$8+1)/$A21,"")</f>
        <v>5.06666666666667</v>
      </c>
      <c r="G21" s="37" t="n">
        <f aca="false">IF($B21=1,-LN(-LN($E21)),0)</f>
        <v>1.51476668165505</v>
      </c>
      <c r="H21" s="37" t="n">
        <f aca="false">IF($B21=1,LN(-LN($E21)),0)</f>
        <v>-1.51476668165505</v>
      </c>
      <c r="I21" s="36" t="n">
        <f aca="false">IF($B21=1,IFERROR($C21-($N$10+$N$9*$G21),""),"")</f>
        <v>-0.030927988780391</v>
      </c>
      <c r="J21" s="36" t="n">
        <f aca="false">IF($B21=1,IFERROR($C21-($N$21-$N$26*EXP(-$G21/$N$24)),""),"")</f>
        <v>-0.0828961281696223</v>
      </c>
      <c r="M21" s="9" t="s">
        <v>89</v>
      </c>
      <c r="N21" s="45" t="n">
        <f aca="false">IFERROR(INDEX($Z$7:$Z$206,MATCH(MAX($AD$7:$AD$206),$AD$7:$AD$206,0)),"")</f>
        <v>59.4675879396985</v>
      </c>
      <c r="T21" s="38" t="n">
        <f aca="false">IFERROR($R$6+($A21-1)*$R$5,"")</f>
        <v>46.45</v>
      </c>
      <c r="U21" s="38" t="n">
        <f aca="false">IFERROR(SUMPRODUCT($B$7:$B$206,LN($T21-$C$7:$C$206)),"")</f>
        <v>181.267583891763</v>
      </c>
      <c r="V21" s="38" t="n">
        <f aca="false">IFERROR(SUMPRODUCT($B$7:$B$206,LN($T21-$C$7:$C$206),LN($T21-$C$7:$C$206)),"")</f>
        <v>439.600582249901</v>
      </c>
      <c r="W21" s="38" t="n">
        <f aca="false">IFERROR(SUMPRODUCT($B$7:$B$206,LN($T21-$C$7:$C$206),$H$7:$H$206),"")</f>
        <v>-88.2256190805429</v>
      </c>
      <c r="X21" s="39" t="n">
        <f aca="false">IFERROR((データ入力!$B$8*W21-U21*$N$22)/SQRT((データ入力!$B$8*V21-U21^2)*(データ入力!$B$8*$N$23-$N$22^2)),-1)</f>
        <v>0.995299328358223</v>
      </c>
      <c r="Z21" s="38" t="n">
        <f aca="false">IFERROR($R$10+($A21-1)*$R$9,"")</f>
        <v>59.020351758794</v>
      </c>
      <c r="AA21" s="38" t="n">
        <f aca="false">IFERROR(SUMPRODUCT($B$7:$B$206,LN($Z21-$C$7:$C$206)),"")</f>
        <v>237.852899703852</v>
      </c>
      <c r="AB21" s="38" t="n">
        <f aca="false">IFERROR(SUMPRODUCT($B$7:$B$206,LN($Z21-$C$7:$C$206),LN($Z21-$C$7:$C$206)),"")</f>
        <v>754.628114927484</v>
      </c>
      <c r="AC21" s="38" t="n">
        <f aca="false">IFERROR(SUMPRODUCT($B$7:$B$206,LN($Z21-$C$7:$C$206),$H$7:$H$206),"")</f>
        <v>-126.516888121942</v>
      </c>
      <c r="AD21" s="39" t="n">
        <f aca="false">IFERROR((データ入力!$B$8*AC21-AA21*$N$22)/SQRT((データ入力!$B$8*AB21-AA21^2)*(データ入力!$B$8*$N$23-$N$22^2)),-1)</f>
        <v>0.997026673862034</v>
      </c>
      <c r="AF21" s="40" t="n">
        <v>0.8</v>
      </c>
      <c r="AG21" s="40" t="n">
        <f aca="false">IFERROR($N$10+$N$9*$AF21,"")</f>
        <v>35.4372251000616</v>
      </c>
      <c r="AH21" s="40" t="n">
        <f aca="false">IFERROR($N$21-$N$26*EXP(-$AF21/$N$24),"")</f>
        <v>35.4915148919872</v>
      </c>
      <c r="AI21" s="41" t="n">
        <f aca="false">IFERROR(1/(1-EXP(-EXP(-$AF21))),"")</f>
        <v>2.76285961431252</v>
      </c>
    </row>
    <row r="22" customFormat="false" ht="15" hidden="false" customHeight="false" outlineLevel="0" collapsed="false">
      <c r="A22" s="32" t="n">
        <v>16</v>
      </c>
      <c r="B22" s="33" t="n">
        <f aca="false">IF($A22&lt;=データ入力!$B$8,1,0)</f>
        <v>1</v>
      </c>
      <c r="C22" s="34" t="n">
        <f aca="false">IF($B22=1,LARGE(データ入力!$B$12:$B$211,$A22),0)</f>
        <v>36.2</v>
      </c>
      <c r="D22" s="32" t="n">
        <f aca="false">IF($B22=1,IFERROR(INDEX(データ入力!$A$12:$A$211,MATCH($C22,データ入力!$B$12:$B$211,0)),""),"")</f>
        <v>2013</v>
      </c>
      <c r="E22" s="35" t="n">
        <f aca="false">IF($B22=1,1-$A22/(データ入力!$B$8+1),0)</f>
        <v>0.789473684210526</v>
      </c>
      <c r="F22" s="36" t="n">
        <f aca="false">IF($B22=1,(データ入力!$B$8+1)/$A22,"")</f>
        <v>4.75</v>
      </c>
      <c r="G22" s="37" t="n">
        <f aca="false">IF($B22=1,-LN(-LN($E22)),0)</f>
        <v>1.4422774646944</v>
      </c>
      <c r="H22" s="37" t="n">
        <f aca="false">IF($B22=1,LN(-LN($E22)),0)</f>
        <v>-1.4422774646944</v>
      </c>
      <c r="I22" s="36" t="n">
        <f aca="false">IF($B22=1,IFERROR($C22-($N$10+$N$9*$G22),""),"")</f>
        <v>-0.0402916675004263</v>
      </c>
      <c r="J22" s="36" t="n">
        <f aca="false">IF($B22=1,IFERROR($C22-($N$21-$N$26*EXP(-$G22/$N$24)),""),"")</f>
        <v>-0.094026317209682</v>
      </c>
      <c r="M22" s="15" t="s">
        <v>90</v>
      </c>
      <c r="N22" s="31" t="n">
        <f aca="false">SUMPRODUCT($B$7:$B$206,$H$7:$H$206)</f>
        <v>-41.6915049719474</v>
      </c>
      <c r="T22" s="38" t="n">
        <f aca="false">IFERROR($R$6+($A22-1)*$R$5,"")</f>
        <v>46.95</v>
      </c>
      <c r="U22" s="38" t="n">
        <f aca="false">IFERROR(SUMPRODUCT($B$7:$B$206,LN($T22-$C$7:$C$206)),"")</f>
        <v>184.57214983394</v>
      </c>
      <c r="V22" s="38" t="n">
        <f aca="false">IFERROR(SUMPRODUCT($B$7:$B$206,LN($T22-$C$7:$C$206),LN($T22-$C$7:$C$206)),"")</f>
        <v>455.584633366607</v>
      </c>
      <c r="W22" s="38" t="n">
        <f aca="false">IFERROR(SUMPRODUCT($B$7:$B$206,LN($T22-$C$7:$C$206),$H$7:$H$206),"")</f>
        <v>-90.6395483050923</v>
      </c>
      <c r="X22" s="39" t="n">
        <f aca="false">IFERROR((データ入力!$B$8*W22-U22*$N$22)/SQRT((データ入力!$B$8*V22-U22^2)*(データ入力!$B$8*$N$23-$N$22^2)),-1)</f>
        <v>0.995581784664962</v>
      </c>
      <c r="Z22" s="38" t="n">
        <f aca="false">IFERROR($R$10+($A22-1)*$R$9,"")</f>
        <v>59.0253768844221</v>
      </c>
      <c r="AA22" s="38" t="n">
        <f aca="false">IFERROR(SUMPRODUCT($B$7:$B$206,LN($Z22-$C$7:$C$206)),"")</f>
        <v>237.868739892673</v>
      </c>
      <c r="AB22" s="38" t="n">
        <f aca="false">IFERROR(SUMPRODUCT($B$7:$B$206,LN($Z22-$C$7:$C$206),LN($Z22-$C$7:$C$206)),"")</f>
        <v>754.728455003882</v>
      </c>
      <c r="AC22" s="38" t="n">
        <f aca="false">IFERROR(SUMPRODUCT($B$7:$B$206,LN($Z22-$C$7:$C$206),$H$7:$H$206),"")</f>
        <v>-126.526929312644</v>
      </c>
      <c r="AD22" s="39" t="n">
        <f aca="false">IFERROR((データ入力!$B$8*AC22-AA22*$N$22)/SQRT((データ入力!$B$8*AB22-AA22^2)*(データ入力!$B$8*$N$23-$N$22^2)),-1)</f>
        <v>0.997026682887397</v>
      </c>
      <c r="AF22" s="40" t="n">
        <v>1</v>
      </c>
      <c r="AG22" s="40" t="n">
        <f aca="false">IFERROR($N$10+$N$9*$AF22,"")</f>
        <v>35.6872935242499</v>
      </c>
      <c r="AH22" s="40" t="n">
        <f aca="false">IFERROR($N$21-$N$26*EXP(-$AF22/$N$24),"")</f>
        <v>35.744345834181</v>
      </c>
      <c r="AI22" s="41" t="n">
        <f aca="false">IFERROR(1/(1-EXP(-EXP(-$AF22))),"")</f>
        <v>3.248869521915</v>
      </c>
    </row>
    <row r="23" customFormat="false" ht="15" hidden="false" customHeight="false" outlineLevel="0" collapsed="false">
      <c r="A23" s="32" t="n">
        <v>17</v>
      </c>
      <c r="B23" s="33" t="n">
        <f aca="false">IF($A23&lt;=データ入力!$B$8,1,0)</f>
        <v>1</v>
      </c>
      <c r="C23" s="34" t="n">
        <f aca="false">IF($B23=1,LARGE(データ入力!$B$12:$B$211,$A23),0)</f>
        <v>36.1</v>
      </c>
      <c r="D23" s="32" t="n">
        <f aca="false">IF($B23=1,IFERROR(INDEX(データ入力!$A$12:$A$211,MATCH($C23,データ入力!$B$12:$B$211,0)),""),"")</f>
        <v>1998</v>
      </c>
      <c r="E23" s="35" t="n">
        <f aca="false">IF($B23=1,1-$A23/(データ入力!$B$8+1),0)</f>
        <v>0.776315789473684</v>
      </c>
      <c r="F23" s="36" t="n">
        <f aca="false">IF($B23=1,(データ入力!$B$8+1)/$A23,"")</f>
        <v>4.47058823529412</v>
      </c>
      <c r="G23" s="37" t="n">
        <f aca="false">IF($B23=1,-LN(-LN($E23)),0)</f>
        <v>1.37359179587105</v>
      </c>
      <c r="H23" s="37" t="n">
        <f aca="false">IF($B23=1,LN(-LN($E23)),0)</f>
        <v>-1.37359179587105</v>
      </c>
      <c r="I23" s="36" t="n">
        <f aca="false">IF($B23=1,IFERROR($C23-($N$10+$N$9*$G23),""),"")</f>
        <v>-0.0544110826655597</v>
      </c>
      <c r="J23" s="36" t="n">
        <f aca="false">IF($B23=1,IFERROR($C23-($N$21-$N$26*EXP(-$G23/$N$24)),""),"")</f>
        <v>-0.109503905719997</v>
      </c>
      <c r="M23" s="15" t="s">
        <v>91</v>
      </c>
      <c r="N23" s="31" t="n">
        <f aca="false">SUMPRODUCT($B$7:$B$206,$H$7:$H$206,$H$7:$H$206)</f>
        <v>129.350729844172</v>
      </c>
      <c r="T23" s="38" t="n">
        <f aca="false">IFERROR($R$6+($A23-1)*$R$5,"")</f>
        <v>47.45</v>
      </c>
      <c r="U23" s="38" t="n">
        <f aca="false">IFERROR(SUMPRODUCT($B$7:$B$206,LN($T23-$C$7:$C$206)),"")</f>
        <v>187.734417135366</v>
      </c>
      <c r="V23" s="38" t="n">
        <f aca="false">IFERROR(SUMPRODUCT($B$7:$B$206,LN($T23-$C$7:$C$206),LN($T23-$C$7:$C$206)),"")</f>
        <v>471.165051778118</v>
      </c>
      <c r="W23" s="38" t="n">
        <f aca="false">IFERROR(SUMPRODUCT($B$7:$B$206,LN($T23-$C$7:$C$206),$H$7:$H$206),"")</f>
        <v>-92.9226089650182</v>
      </c>
      <c r="X23" s="39" t="n">
        <f aca="false">IFERROR((データ入力!$B$8*W23-U23*$N$22)/SQRT((データ入力!$B$8*V23-U23^2)*(データ入力!$B$8*$N$23-$N$22^2)),-1)</f>
        <v>0.995815851142254</v>
      </c>
      <c r="Z23" s="38" t="n">
        <f aca="false">IFERROR($R$10+($A23-1)*$R$9,"")</f>
        <v>59.0304020100502</v>
      </c>
      <c r="AA23" s="38" t="n">
        <f aca="false">IFERROR(SUMPRODUCT($B$7:$B$206,LN($Z23-$C$7:$C$206)),"")</f>
        <v>237.88457672222</v>
      </c>
      <c r="AB23" s="38" t="n">
        <f aca="false">IFERROR(SUMPRODUCT($B$7:$B$206,LN($Z23-$C$7:$C$206),LN($Z23-$C$7:$C$206)),"")</f>
        <v>754.828780548512</v>
      </c>
      <c r="AC23" s="38" t="n">
        <f aca="false">IFERROR(SUMPRODUCT($B$7:$B$206,LN($Z23-$C$7:$C$206),$H$7:$H$206),"")</f>
        <v>-126.536968098074</v>
      </c>
      <c r="AD23" s="39" t="n">
        <f aca="false">IFERROR((データ入力!$B$8*AC23-AA23*$N$22)/SQRT((データ入力!$B$8*AB23-AA23^2)*(データ入力!$B$8*$N$23-$N$22^2)),-1)</f>
        <v>0.997026691805161</v>
      </c>
      <c r="AF23" s="40" t="n">
        <v>1.2</v>
      </c>
      <c r="AG23" s="40" t="n">
        <f aca="false">IFERROR($N$10+$N$9*$AF23,"")</f>
        <v>35.9373619484381</v>
      </c>
      <c r="AH23" s="40" t="n">
        <f aca="false">IFERROR($N$21-$N$26*EXP(-$AF23/$N$24),"")</f>
        <v>35.9945106397975</v>
      </c>
      <c r="AI23" s="41" t="n">
        <f aca="false">IFERROR(1/(1-EXP(-EXP(-$AF23))),"")</f>
        <v>3.84517857256523</v>
      </c>
    </row>
    <row r="24" customFormat="false" ht="15" hidden="false" customHeight="false" outlineLevel="0" collapsed="false">
      <c r="A24" s="32" t="n">
        <v>18</v>
      </c>
      <c r="B24" s="33" t="n">
        <f aca="false">IF($A24&lt;=データ入力!$B$8,1,0)</f>
        <v>1</v>
      </c>
      <c r="C24" s="34" t="n">
        <f aca="false">IF($B24=1,LARGE(データ入力!$B$12:$B$211,$A24),0)</f>
        <v>36.1</v>
      </c>
      <c r="D24" s="32" t="n">
        <f aca="false">IF($B24=1,IFERROR(INDEX(データ入力!$A$12:$A$211,MATCH($C24,データ入力!$B$12:$B$211,0)),""),"")</f>
        <v>1998</v>
      </c>
      <c r="E24" s="35" t="n">
        <f aca="false">IF($B24=1,1-$A24/(データ入力!$B$8+1),0)</f>
        <v>0.763157894736842</v>
      </c>
      <c r="F24" s="36" t="n">
        <f aca="false">IF($B24=1,(データ入力!$B$8+1)/$A24,"")</f>
        <v>4.22222222222222</v>
      </c>
      <c r="G24" s="37" t="n">
        <f aca="false">IF($B24=1,-LN(-LN($E24)),0)</f>
        <v>1.30825860236668</v>
      </c>
      <c r="H24" s="37" t="n">
        <f aca="false">IF($B24=1,LN(-LN($E24)),0)</f>
        <v>-1.30825860236668</v>
      </c>
      <c r="I24" s="36" t="n">
        <f aca="false">IF($B24=1,IFERROR($C24-($N$10+$N$9*$G24),""),"")</f>
        <v>0.0272777610685679</v>
      </c>
      <c r="J24" s="36" t="n">
        <f aca="false">IF($B24=1,IFERROR($C24-($N$21-$N$26*EXP(-$G24/$N$24)),""),"")</f>
        <v>-0.0288208805991204</v>
      </c>
      <c r="M24" s="9" t="s">
        <v>92</v>
      </c>
      <c r="N24" s="42" t="n">
        <f aca="false">IFERROR((データ入力!$B$8*SUMPRODUCT($B$7:$B$206,LN($N$21-$C$7:$C$206),$H$7:$H$206)-N19*N22)/(データ入力!$B$8*N20-N19^2),"")</f>
        <v>18.8659141260913</v>
      </c>
      <c r="T24" s="38" t="n">
        <f aca="false">IFERROR($R$6+($A24-1)*$R$5,"")</f>
        <v>47.95</v>
      </c>
      <c r="U24" s="38" t="n">
        <f aca="false">IFERROR(SUMPRODUCT($B$7:$B$206,LN($T24-$C$7:$C$206)),"")</f>
        <v>190.766384003087</v>
      </c>
      <c r="V24" s="38" t="n">
        <f aca="false">IFERROR(SUMPRODUCT($B$7:$B$206,LN($T24-$C$7:$C$206),LN($T24-$C$7:$C$206)),"")</f>
        <v>486.363829519092</v>
      </c>
      <c r="W24" s="38" t="n">
        <f aca="false">IFERROR(SUMPRODUCT($B$7:$B$206,LN($T24-$C$7:$C$206),$H$7:$H$206),"")</f>
        <v>-95.088264347506</v>
      </c>
      <c r="X24" s="39" t="n">
        <f aca="false">IFERROR((データ入力!$B$8*W24-U24*$N$22)/SQRT((データ入力!$B$8*V24-U24^2)*(データ入力!$B$8*$N$23-$N$22^2)),-1)</f>
        <v>0.996010935761438</v>
      </c>
      <c r="Z24" s="38" t="n">
        <f aca="false">IFERROR($R$10+($A24-1)*$R$9,"")</f>
        <v>59.0354271356784</v>
      </c>
      <c r="AA24" s="38" t="n">
        <f aca="false">IFERROR(SUMPRODUCT($B$7:$B$206,LN($Z24-$C$7:$C$206)),"")</f>
        <v>237.900410193924</v>
      </c>
      <c r="AB24" s="38" t="n">
        <f aca="false">IFERROR(SUMPRODUCT($B$7:$B$206,LN($Z24-$C$7:$C$206),LN($Z24-$C$7:$C$206)),"")</f>
        <v>754.929091566123</v>
      </c>
      <c r="AC24" s="38" t="n">
        <f aca="false">IFERROR(SUMPRODUCT($B$7:$B$206,LN($Z24-$C$7:$C$206),$H$7:$H$206),"")</f>
        <v>-126.547004479381</v>
      </c>
      <c r="AD24" s="39" t="n">
        <f aca="false">IFERROR((データ入力!$B$8*AC24-AA24*$N$22)/SQRT((データ入力!$B$8*AB24-AA24^2)*(データ入力!$B$8*$N$23-$N$22^2)),-1)</f>
        <v>0.997026700615353</v>
      </c>
      <c r="AF24" s="40" t="n">
        <v>1.4</v>
      </c>
      <c r="AG24" s="40" t="n">
        <f aca="false">IFERROR($N$10+$N$9*$AF24,"")</f>
        <v>36.1874303726264</v>
      </c>
      <c r="AH24" s="40" t="n">
        <f aca="false">IFERROR($N$21-$N$26*EXP(-$AF24/$N$24),"")</f>
        <v>36.2420374236087</v>
      </c>
      <c r="AI24" s="41" t="n">
        <f aca="false">IFERROR(1/(1-EXP(-EXP(-$AF24))),"")</f>
        <v>4.57572891675883</v>
      </c>
    </row>
    <row r="25" customFormat="false" ht="15" hidden="false" customHeight="false" outlineLevel="0" collapsed="false">
      <c r="A25" s="32" t="n">
        <v>19</v>
      </c>
      <c r="B25" s="33" t="n">
        <f aca="false">IF($A25&lt;=データ入力!$B$8,1,0)</f>
        <v>1</v>
      </c>
      <c r="C25" s="34" t="n">
        <f aca="false">IF($B25=1,LARGE(データ入力!$B$12:$B$211,$A25),0)</f>
        <v>36</v>
      </c>
      <c r="D25" s="32" t="n">
        <f aca="false">IF($B25=1,IFERROR(INDEX(データ入力!$A$12:$A$211,MATCH($C25,データ入力!$B$12:$B$211,0)),""),"")</f>
        <v>1950</v>
      </c>
      <c r="E25" s="35" t="n">
        <f aca="false">IF($B25=1,1-$A25/(データ入力!$B$8+1),0)</f>
        <v>0.75</v>
      </c>
      <c r="F25" s="36" t="n">
        <f aca="false">IF($B25=1,(データ入力!$B$8+1)/$A25,"")</f>
        <v>4</v>
      </c>
      <c r="G25" s="37" t="n">
        <f aca="false">IF($B25=1,-LN(-LN($E25)),0)</f>
        <v>1.24589932370724</v>
      </c>
      <c r="H25" s="37" t="n">
        <f aca="false">IF($B25=1,LN(-LN($E25)),0)</f>
        <v>-1.24589932370724</v>
      </c>
      <c r="I25" s="36" t="n">
        <f aca="false">IF($B25=1,IFERROR($C25-($N$10+$N$9*$G25),""),"")</f>
        <v>0.00524819380798647</v>
      </c>
      <c r="J25" s="36" t="n">
        <f aca="false">IF($B25=1,IFERROR($C25-($N$21-$N$26*EXP(-$G25/$N$24)),""),"")</f>
        <v>-0.0515494249090835</v>
      </c>
      <c r="M25" s="11" t="s">
        <v>93</v>
      </c>
      <c r="N25" s="44" t="n">
        <f aca="false">IFERROR((N22-N24*N19)/データ入力!$B$8,"")</f>
        <v>-60.7380727767818</v>
      </c>
      <c r="T25" s="38" t="n">
        <f aca="false">IFERROR($R$6+($A25-1)*$R$5,"")</f>
        <v>48.45</v>
      </c>
      <c r="U25" s="38" t="n">
        <f aca="false">IFERROR(SUMPRODUCT($B$7:$B$206,LN($T25-$C$7:$C$206)),"")</f>
        <v>193.678560916291</v>
      </c>
      <c r="V25" s="38" t="n">
        <f aca="false">IFERROR(SUMPRODUCT($B$7:$B$206,LN($T25-$C$7:$C$206),LN($T25-$C$7:$C$206)),"")</f>
        <v>501.20123235809</v>
      </c>
      <c r="W25" s="38" t="n">
        <f aca="false">IFERROR(SUMPRODUCT($B$7:$B$206,LN($T25-$C$7:$C$206),$H$7:$H$206),"")</f>
        <v>-97.1479916300595</v>
      </c>
      <c r="X25" s="39" t="n">
        <f aca="false">IFERROR((データ入力!$B$8*W25-U25*$N$22)/SQRT((データ入力!$B$8*V25-U25^2)*(データ入力!$B$8*$N$23-$N$22^2)),-1)</f>
        <v>0.99617432275397</v>
      </c>
      <c r="Z25" s="38" t="n">
        <f aca="false">IFERROR($R$10+($A25-1)*$R$9,"")</f>
        <v>59.0404522613065</v>
      </c>
      <c r="AA25" s="38" t="n">
        <f aca="false">IFERROR(SUMPRODUCT($B$7:$B$206,LN($Z25-$C$7:$C$206)),"")</f>
        <v>237.916240309215</v>
      </c>
      <c r="AB25" s="38" t="n">
        <f aca="false">IFERROR(SUMPRODUCT($B$7:$B$206,LN($Z25-$C$7:$C$206),LN($Z25-$C$7:$C$206)),"")</f>
        <v>755.029388061456</v>
      </c>
      <c r="AC25" s="38" t="n">
        <f aca="false">IFERROR(SUMPRODUCT($B$7:$B$206,LN($Z25-$C$7:$C$206),$H$7:$H$206),"")</f>
        <v>-126.557038457713</v>
      </c>
      <c r="AD25" s="39" t="n">
        <f aca="false">IFERROR((データ入力!$B$8*AC25-AA25*$N$22)/SQRT((データ入力!$B$8*AB25-AA25^2)*(データ入力!$B$8*$N$23-$N$22^2)),-1)</f>
        <v>0.997026709318282</v>
      </c>
      <c r="AF25" s="40" t="n">
        <v>1.6</v>
      </c>
      <c r="AG25" s="40" t="n">
        <f aca="false">IFERROR($N$10+$N$9*$AF25,"")</f>
        <v>36.4374987968147</v>
      </c>
      <c r="AH25" s="40" t="n">
        <f aca="false">IFERROR($N$21-$N$26*EXP(-$AF25/$N$24),"")</f>
        <v>36.4869540039122</v>
      </c>
      <c r="AI25" s="41" t="n">
        <f aca="false">IFERROR(1/(1-EXP(-EXP(-$AF25))),"")</f>
        <v>5.46984571510582</v>
      </c>
    </row>
    <row r="26" customFormat="false" ht="15" hidden="false" customHeight="false" outlineLevel="0" collapsed="false">
      <c r="A26" s="32" t="n">
        <v>20</v>
      </c>
      <c r="B26" s="33" t="n">
        <f aca="false">IF($A26&lt;=データ入力!$B$8,1,0)</f>
        <v>1</v>
      </c>
      <c r="C26" s="34" t="n">
        <f aca="false">IF($B26=1,LARGE(データ入力!$B$12:$B$211,$A26),0)</f>
        <v>36</v>
      </c>
      <c r="D26" s="32" t="n">
        <f aca="false">IF($B26=1,IFERROR(INDEX(データ入力!$A$12:$A$211,MATCH($C26,データ入力!$B$12:$B$211,0)),""),"")</f>
        <v>1950</v>
      </c>
      <c r="E26" s="35" t="n">
        <f aca="false">IF($B26=1,1-$A26/(データ入力!$B$8+1),0)</f>
        <v>0.736842105263158</v>
      </c>
      <c r="F26" s="36" t="n">
        <f aca="false">IF($B26=1,(データ入力!$B$8+1)/$A26,"")</f>
        <v>3.8</v>
      </c>
      <c r="G26" s="37" t="n">
        <f aca="false">IF($B26=1,-LN(-LN($E26)),0)</f>
        <v>1.18619297460674</v>
      </c>
      <c r="H26" s="37" t="n">
        <f aca="false">IF($B26=1,LN(-LN($E26)),0)</f>
        <v>-1.18619297460674</v>
      </c>
      <c r="I26" s="36" t="n">
        <f aca="false">IF($B26=1,IFERROR($C26-($N$10+$N$9*$G26),""),"")</f>
        <v>0.0799015569759689</v>
      </c>
      <c r="J26" s="36" t="n">
        <f aca="false">IF($B26=1,IFERROR($C26-($N$21-$N$26*EXP(-$G26/$N$24)),""),"")</f>
        <v>0.0226744271453185</v>
      </c>
      <c r="M26" s="9" t="s">
        <v>94</v>
      </c>
      <c r="N26" s="42" t="n">
        <f aca="false">IFERROR(EXP(-N25/N24),"")</f>
        <v>25.0146310321757</v>
      </c>
      <c r="T26" s="38" t="n">
        <f aca="false">IFERROR($R$6+($A26-1)*$R$5,"")</f>
        <v>48.95</v>
      </c>
      <c r="U26" s="38" t="n">
        <f aca="false">IFERROR(SUMPRODUCT($B$7:$B$206,LN($T26-$C$7:$C$206)),"")</f>
        <v>196.480211986138</v>
      </c>
      <c r="V26" s="38" t="n">
        <f aca="false">IFERROR(SUMPRODUCT($B$7:$B$206,LN($T26-$C$7:$C$206),LN($T26-$C$7:$C$206)),"")</f>
        <v>515.695957418808</v>
      </c>
      <c r="W26" s="38" t="n">
        <f aca="false">IFERROR(SUMPRODUCT($B$7:$B$206,LN($T26-$C$7:$C$206),$H$7:$H$206),"")</f>
        <v>-99.1116570148047</v>
      </c>
      <c r="X26" s="39" t="n">
        <f aca="false">IFERROR((データ入力!$B$8*W26-U26*$N$22)/SQRT((データ入力!$B$8*V26-U26^2)*(データ入力!$B$8*$N$23-$N$22^2)),-1)</f>
        <v>0.996311719596042</v>
      </c>
      <c r="Z26" s="38" t="n">
        <f aca="false">IFERROR($R$10+($A26-1)*$R$9,"")</f>
        <v>59.0454773869347</v>
      </c>
      <c r="AA26" s="38" t="n">
        <f aca="false">IFERROR(SUMPRODUCT($B$7:$B$206,LN($Z26-$C$7:$C$206)),"")</f>
        <v>237.932067069522</v>
      </c>
      <c r="AB26" s="38" t="n">
        <f aca="false">IFERROR(SUMPRODUCT($B$7:$B$206,LN($Z26-$C$7:$C$206),LN($Z26-$C$7:$C$206)),"")</f>
        <v>755.129670039254</v>
      </c>
      <c r="AC26" s="38" t="n">
        <f aca="false">IFERROR(SUMPRODUCT($B$7:$B$206,LN($Z26-$C$7:$C$206),$H$7:$H$206),"")</f>
        <v>-126.567070034215</v>
      </c>
      <c r="AD26" s="39" t="n">
        <f aca="false">IFERROR((データ入力!$B$8*AC26-AA26*$N$22)/SQRT((データ入力!$B$8*AB26-AA26^2)*(データ入力!$B$8*$N$23-$N$22^2)),-1)</f>
        <v>0.997026717914085</v>
      </c>
      <c r="AF26" s="40" t="n">
        <v>1.8</v>
      </c>
      <c r="AG26" s="40" t="n">
        <f aca="false">IFERROR($N$10+$N$9*$AF26,"")</f>
        <v>36.6875672210029</v>
      </c>
      <c r="AH26" s="40" t="n">
        <f aca="false">IFERROR($N$21-$N$26*EXP(-$AF26/$N$24),"")</f>
        <v>36.7292879056581</v>
      </c>
      <c r="AI26" s="41" t="n">
        <f aca="false">IFERROR(1/(1-EXP(-EXP(-$AF26))),"")</f>
        <v>6.56341610281388</v>
      </c>
    </row>
    <row r="27" customFormat="false" ht="15" hidden="false" customHeight="false" outlineLevel="0" collapsed="false">
      <c r="A27" s="32" t="n">
        <v>21</v>
      </c>
      <c r="B27" s="33" t="n">
        <f aca="false">IF($A27&lt;=データ入力!$B$8,1,0)</f>
        <v>1</v>
      </c>
      <c r="C27" s="34" t="n">
        <f aca="false">IF($B27=1,LARGE(データ入力!$B$12:$B$211,$A27),0)</f>
        <v>35.9</v>
      </c>
      <c r="D27" s="32" t="n">
        <f aca="false">IF($B27=1,IFERROR(INDEX(データ入力!$A$12:$A$211,MATCH($C27,データ入力!$B$12:$B$211,0)),""),"")</f>
        <v>2019</v>
      </c>
      <c r="E27" s="35" t="n">
        <f aca="false">IF($B27=1,1-$A27/(データ入力!$B$8+1),0)</f>
        <v>0.723684210526316</v>
      </c>
      <c r="F27" s="36" t="n">
        <f aca="false">IF($B27=1,(データ入力!$B$8+1)/$A27,"")</f>
        <v>3.61904761904762</v>
      </c>
      <c r="G27" s="37" t="n">
        <f aca="false">IF($B27=1,-LN(-LN($E27)),0)</f>
        <v>1.12886485239008</v>
      </c>
      <c r="H27" s="37" t="n">
        <f aca="false">IF($B27=1,LN(-LN($E27)),0)</f>
        <v>-1.12886485239008</v>
      </c>
      <c r="I27" s="36" t="n">
        <f aca="false">IF($B27=1,IFERROR($C27-($N$10+$N$9*$G27),""),"")</f>
        <v>0.0515813228979312</v>
      </c>
      <c r="J27" s="36" t="n">
        <f aca="false">IF($B27=1,IFERROR($C27-($N$21-$N$26*EXP(-$G27/$N$24)),""),"")</f>
        <v>-0.00583681576851802</v>
      </c>
      <c r="M27" s="11" t="s">
        <v>83</v>
      </c>
      <c r="N27" s="43" t="n">
        <f aca="false">IFERROR((データ入力!$B$8*SUMPRODUCT($B$7:$B$206,LN($N$21-$C$7:$C$206),$H$7:$H$206)-N19*N22)/SQRT((データ入力!$B$8*N20-N19^2)*(データ入力!$B$8*N23-N22^2)),"")</f>
        <v>0.997027071267757</v>
      </c>
      <c r="T27" s="38" t="n">
        <f aca="false">IFERROR($R$6+($A27-1)*$R$5,"")</f>
        <v>49.45</v>
      </c>
      <c r="U27" s="38" t="n">
        <f aca="false">IFERROR(SUMPRODUCT($B$7:$B$206,LN($T27-$C$7:$C$206)),"")</f>
        <v>199.179548266854</v>
      </c>
      <c r="V27" s="38" t="n">
        <f aca="false">IFERROR(SUMPRODUCT($B$7:$B$206,LN($T27-$C$7:$C$206),LN($T27-$C$7:$C$206)),"")</f>
        <v>529.865279001011</v>
      </c>
      <c r="W27" s="38" t="n">
        <f aca="false">IFERROR(SUMPRODUCT($B$7:$B$206,LN($T27-$C$7:$C$206),$H$7:$H$206),"")</f>
        <v>-100.987805579858</v>
      </c>
      <c r="X27" s="39" t="n">
        <f aca="false">IFERROR((データ入力!$B$8*W27-U27*$N$22)/SQRT((データ入力!$B$8*V27-U27^2)*(データ入力!$B$8*$N$23-$N$22^2)),-1)</f>
        <v>0.996427646311293</v>
      </c>
      <c r="Z27" s="38" t="n">
        <f aca="false">IFERROR($R$10+($A27-1)*$R$9,"")</f>
        <v>59.0505025125628</v>
      </c>
      <c r="AA27" s="38" t="n">
        <f aca="false">IFERROR(SUMPRODUCT($B$7:$B$206,LN($Z27-$C$7:$C$206)),"")</f>
        <v>237.947890476274</v>
      </c>
      <c r="AB27" s="38" t="n">
        <f aca="false">IFERROR(SUMPRODUCT($B$7:$B$206,LN($Z27-$C$7:$C$206),LN($Z27-$C$7:$C$206)),"")</f>
        <v>755.229937504256</v>
      </c>
      <c r="AC27" s="38" t="n">
        <f aca="false">IFERROR(SUMPRODUCT($B$7:$B$206,LN($Z27-$C$7:$C$206),$H$7:$H$206),"")</f>
        <v>-126.577099210034</v>
      </c>
      <c r="AD27" s="39" t="n">
        <f aca="false">IFERROR((データ入力!$B$8*AC27-AA27*$N$22)/SQRT((データ入力!$B$8*AB27-AA27^2)*(データ入力!$B$8*$N$23-$N$22^2)),-1)</f>
        <v>0.997026726402867</v>
      </c>
      <c r="AF27" s="40" t="n">
        <v>2</v>
      </c>
      <c r="AG27" s="40" t="n">
        <f aca="false">IFERROR($N$10+$N$9*$AF27,"")</f>
        <v>36.9376356451912</v>
      </c>
      <c r="AH27" s="40" t="n">
        <f aca="false">IFERROR($N$21-$N$26*EXP(-$AF27/$N$24),"")</f>
        <v>36.969066363542</v>
      </c>
      <c r="AI27" s="41" t="n">
        <f aca="false">IFERROR(1/(1-EXP(-EXP(-$AF27))),"")</f>
        <v>7.90033059798965</v>
      </c>
    </row>
    <row r="28" customFormat="false" ht="15" hidden="false" customHeight="false" outlineLevel="0" collapsed="false">
      <c r="A28" s="32" t="n">
        <v>22</v>
      </c>
      <c r="B28" s="33" t="n">
        <f aca="false">IF($A28&lt;=データ入力!$B$8,1,0)</f>
        <v>1</v>
      </c>
      <c r="C28" s="34" t="n">
        <f aca="false">IF($B28=1,LARGE(データ入力!$B$12:$B$211,$A28),0)</f>
        <v>35.8</v>
      </c>
      <c r="D28" s="32" t="n">
        <f aca="false">IF($B28=1,IFERROR(INDEX(データ入力!$A$12:$A$211,MATCH($C28,データ入力!$B$12:$B$211,0)),""),"")</f>
        <v>2006</v>
      </c>
      <c r="E28" s="35" t="n">
        <f aca="false">IF($B28=1,1-$A28/(データ入力!$B$8+1),0)</f>
        <v>0.710526315789474</v>
      </c>
      <c r="F28" s="36" t="n">
        <f aca="false">IF($B28=1,(データ入力!$B$8+1)/$A28,"")</f>
        <v>3.45454545454545</v>
      </c>
      <c r="G28" s="37" t="n">
        <f aca="false">IF($B28=1,-LN(-LN($E28)),0)</f>
        <v>1.07367787003111</v>
      </c>
      <c r="H28" s="37" t="n">
        <f aca="false">IF($B28=1,LN(-LN($E28)),0)</f>
        <v>-1.07367787003111</v>
      </c>
      <c r="I28" s="36" t="n">
        <f aca="false">IF($B28=1,IFERROR($C28-($N$10+$N$9*$G28),""),"")</f>
        <v>0.0205839314689982</v>
      </c>
      <c r="J28" s="36" t="n">
        <f aca="false">IF($B28=1,IFERROR($C28-($N$21-$N$26*EXP(-$G28/$N$24)),""),"")</f>
        <v>-0.0368125624791702</v>
      </c>
      <c r="M28" s="9" t="s">
        <v>95</v>
      </c>
      <c r="N28" s="11" t="str">
        <f aca="false">IF(データ入力!$B$8&lt;10,"― 標本数が不足しています（n≧10が必要）",IF(N21="","―",IF(N21&gt;=$R$7-$R$5,"⚠ ωが探索上限に達しています：分布はグンベル(k→∞)に漸近。グンベルの値を採用してください",IF(N24&gt;50,"△ k&gt;50：実質的にグンベル分布に近い形です。グンベルの値と比較してください","○ 上限のあるワイブル形として推定（ω−標本最大値="&amp;TEXT(N21-MAX(データ入力!$B$12:$B$211),"0.0")&amp;"℃、k="&amp;TEXT(N24,"0.0")&amp;"）"))))</f>
        <v>○ 上限のあるワイブル形として推定（ω−標本最大値=20.1℃、k=18.9）</v>
      </c>
      <c r="O28" s="11"/>
      <c r="P28" s="11"/>
      <c r="Q28" s="11"/>
      <c r="R28" s="11"/>
      <c r="T28" s="38" t="n">
        <f aca="false">IFERROR($R$6+($A28-1)*$R$5,"")</f>
        <v>49.95</v>
      </c>
      <c r="U28" s="38" t="n">
        <f aca="false">IFERROR(SUMPRODUCT($B$7:$B$206,LN($T28-$C$7:$C$206)),"")</f>
        <v>201.783884284812</v>
      </c>
      <c r="V28" s="38" t="n">
        <f aca="false">IFERROR(SUMPRODUCT($B$7:$B$206,LN($T28-$C$7:$C$206),LN($T28-$C$7:$C$206)),"")</f>
        <v>543.725181539421</v>
      </c>
      <c r="W28" s="38" t="n">
        <f aca="false">IFERROR(SUMPRODUCT($B$7:$B$206,LN($T28-$C$7:$C$206),$H$7:$H$206),"")</f>
        <v>-102.783888288826</v>
      </c>
      <c r="X28" s="39" t="n">
        <f aca="false">IFERROR((データ入力!$B$8*W28-U28*$N$22)/SQRT((データ入力!$B$8*V28-U28^2)*(データ入力!$B$8*$N$23-$N$22^2)),-1)</f>
        <v>0.996525717142712</v>
      </c>
      <c r="Z28" s="38" t="n">
        <f aca="false">IFERROR($R$10+($A28-1)*$R$9,"")</f>
        <v>59.055527638191</v>
      </c>
      <c r="AA28" s="38" t="n">
        <f aca="false">IFERROR(SUMPRODUCT($B$7:$B$206,LN($Z28-$C$7:$C$206)),"")</f>
        <v>237.963710530898</v>
      </c>
      <c r="AB28" s="38" t="n">
        <f aca="false">IFERROR(SUMPRODUCT($B$7:$B$206,LN($Z28-$C$7:$C$206),LN($Z28-$C$7:$C$206)),"")</f>
        <v>755.330190461198</v>
      </c>
      <c r="AC28" s="38" t="n">
        <f aca="false">IFERROR(SUMPRODUCT($B$7:$B$206,LN($Z28-$C$7:$C$206),$H$7:$H$206),"")</f>
        <v>-126.587125986314</v>
      </c>
      <c r="AD28" s="39" t="n">
        <f aca="false">IFERROR((データ入力!$B$8*AC28-AA28*$N$22)/SQRT((データ入力!$B$8*AB28-AA28^2)*(データ入力!$B$8*$N$23-$N$22^2)),-1)</f>
        <v>0.997026734784568</v>
      </c>
      <c r="AF28" s="40" t="n">
        <v>2.2</v>
      </c>
      <c r="AG28" s="40" t="n">
        <f aca="false">IFERROR($N$10+$N$9*$AF28,"")</f>
        <v>37.1877040693795</v>
      </c>
      <c r="AH28" s="40" t="n">
        <f aca="false">IFERROR($N$21-$N$26*EXP(-$AF28/$N$24),"")</f>
        <v>37.206316325066</v>
      </c>
      <c r="AI28" s="41" t="n">
        <f aca="false">IFERROR(1/(1-EXP(-EXP(-$AF28))),"")</f>
        <v>9.5342452071164</v>
      </c>
    </row>
    <row r="29" customFormat="false" ht="15" hidden="false" customHeight="false" outlineLevel="0" collapsed="false">
      <c r="A29" s="32" t="n">
        <v>23</v>
      </c>
      <c r="B29" s="33" t="n">
        <f aca="false">IF($A29&lt;=データ入力!$B$8,1,0)</f>
        <v>1</v>
      </c>
      <c r="C29" s="34" t="n">
        <f aca="false">IF($B29=1,LARGE(データ入力!$B$12:$B$211,$A29),0)</f>
        <v>35.7</v>
      </c>
      <c r="D29" s="32" t="n">
        <f aca="false">IF($B29=1,IFERROR(INDEX(データ入力!$A$12:$A$211,MATCH($C29,データ入力!$B$12:$B$211,0)),""),"")</f>
        <v>1970</v>
      </c>
      <c r="E29" s="35" t="n">
        <f aca="false">IF($B29=1,1-$A29/(データ入力!$B$8+1),0)</f>
        <v>0.697368421052632</v>
      </c>
      <c r="F29" s="36" t="n">
        <f aca="false">IF($B29=1,(データ入力!$B$8+1)/$A29,"")</f>
        <v>3.30434782608696</v>
      </c>
      <c r="G29" s="37" t="n">
        <f aca="false">IF($B29=1,-LN(-LN($E29)),0)</f>
        <v>1.02042581331049</v>
      </c>
      <c r="H29" s="37" t="n">
        <f aca="false">IF($B29=1,LN(-LN($E29)),0)</f>
        <v>-1.02042581331049</v>
      </c>
      <c r="I29" s="36" t="n">
        <f aca="false">IF($B29=1,IFERROR($C29-($N$10+$N$9*$G29),""),"")</f>
        <v>-0.01283277898645</v>
      </c>
      <c r="J29" s="36" t="n">
        <f aca="false">IF($B29=1,IFERROR($C29-($N$21-$N$26*EXP(-$G29/$N$24)),""),"")</f>
        <v>-0.070016696970626</v>
      </c>
      <c r="T29" s="38" t="n">
        <f aca="false">IFERROR($R$6+($A29-1)*$R$5,"")</f>
        <v>50.45</v>
      </c>
      <c r="U29" s="38" t="n">
        <f aca="false">IFERROR(SUMPRODUCT($B$7:$B$206,LN($T29-$C$7:$C$206)),"")</f>
        <v>204.299766028557</v>
      </c>
      <c r="V29" s="38" t="n">
        <f aca="false">IFERROR(SUMPRODUCT($B$7:$B$206,LN($T29-$C$7:$C$206),LN($T29-$C$7:$C$206)),"")</f>
        <v>557.290479801343</v>
      </c>
      <c r="W29" s="38" t="n">
        <f aca="false">IFERROR(SUMPRODUCT($B$7:$B$206,LN($T29-$C$7:$C$206),$H$7:$H$206),"")</f>
        <v>-104.506441947097</v>
      </c>
      <c r="X29" s="39" t="n">
        <f aca="false">IFERROR((データ入力!$B$8*W29-U29*$N$22)/SQRT((データ入力!$B$8*V29-U29^2)*(データ入力!$B$8*$N$23-$N$22^2)),-1)</f>
        <v>0.996608847386216</v>
      </c>
      <c r="Z29" s="38" t="n">
        <f aca="false">IFERROR($R$10+($A29-1)*$R$9,"")</f>
        <v>59.0605527638191</v>
      </c>
      <c r="AA29" s="38" t="n">
        <f aca="false">IFERROR(SUMPRODUCT($B$7:$B$206,LN($Z29-$C$7:$C$206)),"")</f>
        <v>237.97952723482</v>
      </c>
      <c r="AB29" s="38" t="n">
        <f aca="false">IFERROR(SUMPRODUCT($B$7:$B$206,LN($Z29-$C$7:$C$206),LN($Z29-$C$7:$C$206)),"")</f>
        <v>755.430428914815</v>
      </c>
      <c r="AC29" s="38" t="n">
        <f aca="false">IFERROR(SUMPRODUCT($B$7:$B$206,LN($Z29-$C$7:$C$206),$H$7:$H$206),"")</f>
        <v>-126.5971503642</v>
      </c>
      <c r="AD29" s="39" t="n">
        <f aca="false">IFERROR((データ入力!$B$8*AC29-AA29*$N$22)/SQRT((データ入力!$B$8*AB29-AA29^2)*(データ入力!$B$8*$N$23-$N$22^2)),-1)</f>
        <v>0.997026743059712</v>
      </c>
      <c r="AF29" s="40" t="n">
        <v>2.4</v>
      </c>
      <c r="AG29" s="40" t="n">
        <f aca="false">IFERROR($N$10+$N$9*$AF29,"")</f>
        <v>37.4377724935678</v>
      </c>
      <c r="AH29" s="40" t="n">
        <f aca="false">IFERROR($N$21-$N$26*EXP(-$AF29/$N$24),"")</f>
        <v>37.4410644535673</v>
      </c>
      <c r="AI29" s="41" t="n">
        <f aca="false">IFERROR(1/(1-EXP(-EXP(-$AF29))),"")</f>
        <v>11.5307351733608</v>
      </c>
    </row>
    <row r="30" customFormat="false" ht="15" hidden="false" customHeight="false" outlineLevel="0" collapsed="false">
      <c r="A30" s="32" t="n">
        <v>24</v>
      </c>
      <c r="B30" s="33" t="n">
        <f aca="false">IF($A30&lt;=データ入力!$B$8,1,0)</f>
        <v>1</v>
      </c>
      <c r="C30" s="34" t="n">
        <f aca="false">IF($B30=1,LARGE(データ入力!$B$12:$B$211,$A30),0)</f>
        <v>35.6</v>
      </c>
      <c r="D30" s="32" t="n">
        <f aca="false">IF($B30=1,IFERROR(INDEX(データ入力!$A$12:$A$211,MATCH($C30,データ入力!$B$12:$B$211,0)),""),"")</f>
        <v>1956</v>
      </c>
      <c r="E30" s="35" t="n">
        <f aca="false">IF($B30=1,1-$A30/(データ入力!$B$8+1),0)</f>
        <v>0.68421052631579</v>
      </c>
      <c r="F30" s="36" t="n">
        <f aca="false">IF($B30=1,(データ入力!$B$8+1)/$A30,"")</f>
        <v>3.16666666666667</v>
      </c>
      <c r="G30" s="37" t="n">
        <f aca="false">IF($B30=1,-LN(-LN($E30)),0)</f>
        <v>0.968928029806553</v>
      </c>
      <c r="H30" s="37" t="n">
        <f aca="false">IF($B30=1,LN(-LN($E30)),0)</f>
        <v>-0.968928029806553</v>
      </c>
      <c r="I30" s="36" t="n">
        <f aca="false">IF($B30=1,IFERROR($C30-($N$10+$N$9*$G30),""),"")</f>
        <v>-0.048442931136357</v>
      </c>
      <c r="J30" s="36" t="n">
        <f aca="false">IF($B30=1,IFERROR($C30-($N$21-$N$26*EXP(-$G30/$N$24)),""),"")</f>
        <v>-0.105241700602427</v>
      </c>
      <c r="T30" s="38" t="n">
        <f aca="false">IFERROR($R$6+($A30-1)*$R$5,"")</f>
        <v>50.95</v>
      </c>
      <c r="U30" s="38" t="n">
        <f aca="false">IFERROR(SUMPRODUCT($B$7:$B$206,LN($T30-$C$7:$C$206)),"")</f>
        <v>206.733076528128</v>
      </c>
      <c r="V30" s="38" t="n">
        <f aca="false">IFERROR(SUMPRODUCT($B$7:$B$206,LN($T30-$C$7:$C$206),LN($T30-$C$7:$C$206)),"")</f>
        <v>570.574927007951</v>
      </c>
      <c r="W30" s="38" t="n">
        <f aca="false">IFERROR(SUMPRODUCT($B$7:$B$206,LN($T30-$C$7:$C$206),$H$7:$H$206),"")</f>
        <v>-106.161233419111</v>
      </c>
      <c r="X30" s="39" t="n">
        <f aca="false">IFERROR((データ入力!$B$8*W30-U30*$N$22)/SQRT((データ入力!$B$8*V30-U30^2)*(データ入力!$B$8*$N$23-$N$22^2)),-1)</f>
        <v>0.996679407309995</v>
      </c>
      <c r="Z30" s="38" t="n">
        <f aca="false">IFERROR($R$10+($A30-1)*$R$9,"")</f>
        <v>59.0655778894472</v>
      </c>
      <c r="AA30" s="38" t="n">
        <f aca="false">IFERROR(SUMPRODUCT($B$7:$B$206,LN($Z30-$C$7:$C$206)),"")</f>
        <v>237.995340589466</v>
      </c>
      <c r="AB30" s="38" t="n">
        <f aca="false">IFERROR(SUMPRODUCT($B$7:$B$206,LN($Z30-$C$7:$C$206),LN($Z30-$C$7:$C$206)),"")</f>
        <v>755.530652869838</v>
      </c>
      <c r="AC30" s="38" t="n">
        <f aca="false">IFERROR(SUMPRODUCT($B$7:$B$206,LN($Z30-$C$7:$C$206),$H$7:$H$206),"")</f>
        <v>-126.607172344834</v>
      </c>
      <c r="AD30" s="39" t="n">
        <f aca="false">IFERROR((データ入力!$B$8*AC30-AA30*$N$22)/SQRT((データ入力!$B$8*AB30-AA30^2)*(データ入力!$B$8*$N$23-$N$22^2)),-1)</f>
        <v>0.997026751228037</v>
      </c>
      <c r="AF30" s="40" t="n">
        <v>2.6</v>
      </c>
      <c r="AG30" s="40" t="n">
        <f aca="false">IFERROR($N$10+$N$9*$AF30,"")</f>
        <v>37.687840917756</v>
      </c>
      <c r="AH30" s="40" t="n">
        <f aca="false">IFERROR($N$21-$N$26*EXP(-$AF30/$N$24),"")</f>
        <v>37.6733371312143</v>
      </c>
      <c r="AI30" s="41" t="n">
        <f aca="false">IFERROR(1/(1-EXP(-EXP(-$AF30))),"")</f>
        <v>13.9699269308513</v>
      </c>
    </row>
    <row r="31" customFormat="false" ht="15" hidden="false" customHeight="false" outlineLevel="0" collapsed="false">
      <c r="A31" s="32" t="n">
        <v>25</v>
      </c>
      <c r="B31" s="33" t="n">
        <f aca="false">IF($A31&lt;=データ入力!$B$8,1,0)</f>
        <v>1</v>
      </c>
      <c r="C31" s="34" t="n">
        <f aca="false">IF($B31=1,LARGE(データ入力!$B$12:$B$211,$A31),0)</f>
        <v>35.6</v>
      </c>
      <c r="D31" s="32" t="n">
        <f aca="false">IF($B31=1,IFERROR(INDEX(データ入力!$A$12:$A$211,MATCH($C31,データ入力!$B$12:$B$211,0)),""),"")</f>
        <v>1956</v>
      </c>
      <c r="E31" s="35" t="n">
        <f aca="false">IF($B31=1,1-$A31/(データ入力!$B$8+1),0)</f>
        <v>0.671052631578947</v>
      </c>
      <c r="F31" s="36" t="n">
        <f aca="false">IF($B31=1,(データ入力!$B$8+1)/$A31,"")</f>
        <v>3.04</v>
      </c>
      <c r="G31" s="37" t="n">
        <f aca="false">IF($B31=1,-LN(-LN($E31)),0)</f>
        <v>0.919025198216819</v>
      </c>
      <c r="H31" s="37" t="n">
        <f aca="false">IF($B31=1,LN(-LN($E31)),0)</f>
        <v>-0.919025198216819</v>
      </c>
      <c r="I31" s="36" t="n">
        <f aca="false">IF($B31=1,IFERROR($C31-($N$10+$N$9*$G31),""),"")</f>
        <v>0.0139526811545281</v>
      </c>
      <c r="J31" s="36" t="n">
        <f aca="false">IF($B31=1,IFERROR($C31-($N$21-$N$26*EXP(-$G31/$N$24)),""),"")</f>
        <v>-0.0423039575334059</v>
      </c>
      <c r="T31" s="38" t="n">
        <f aca="false">IFERROR($R$6+($A31-1)*$R$5,"")</f>
        <v>51.45</v>
      </c>
      <c r="U31" s="38" t="n">
        <f aca="false">IFERROR(SUMPRODUCT($B$7:$B$206,LN($T31-$C$7:$C$206)),"")</f>
        <v>209.089123645314</v>
      </c>
      <c r="V31" s="38" t="n">
        <f aca="false">IFERROR(SUMPRODUCT($B$7:$B$206,LN($T31-$C$7:$C$206),LN($T31-$C$7:$C$206)),"")</f>
        <v>583.591311827942</v>
      </c>
      <c r="W31" s="38" t="n">
        <f aca="false">IFERROR(SUMPRODUCT($B$7:$B$206,LN($T31-$C$7:$C$206),$H$7:$H$206),"")</f>
        <v>-107.753376348684</v>
      </c>
      <c r="X31" s="39" t="n">
        <f aca="false">IFERROR((データ入力!$B$8*W31-U31*$N$22)/SQRT((データ入力!$B$8*V31-U31^2)*(データ入力!$B$8*$N$23-$N$22^2)),-1)</f>
        <v>0.996739338095519</v>
      </c>
      <c r="Z31" s="38" t="n">
        <f aca="false">IFERROR($R$10+($A31-1)*$R$9,"")</f>
        <v>59.0706030150754</v>
      </c>
      <c r="AA31" s="38" t="n">
        <f aca="false">IFERROR(SUMPRODUCT($B$7:$B$206,LN($Z31-$C$7:$C$206)),"")</f>
        <v>238.01115059626</v>
      </c>
      <c r="AB31" s="38" t="n">
        <f aca="false">IFERROR(SUMPRODUCT($B$7:$B$206,LN($Z31-$C$7:$C$206),LN($Z31-$C$7:$C$206)),"")</f>
        <v>755.630862330997</v>
      </c>
      <c r="AC31" s="38" t="n">
        <f aca="false">IFERROR(SUMPRODUCT($B$7:$B$206,LN($Z31-$C$7:$C$206),$H$7:$H$206),"")</f>
        <v>-126.617191929359</v>
      </c>
      <c r="AD31" s="39" t="n">
        <f aca="false">IFERROR((データ入力!$B$8*AC31-AA31*$N$22)/SQRT((データ入力!$B$8*AB31-AA31^2)*(データ入力!$B$8*$N$23-$N$22^2)),-1)</f>
        <v>0.997026759290183</v>
      </c>
      <c r="AF31" s="40" t="n">
        <v>2.8</v>
      </c>
      <c r="AG31" s="40" t="n">
        <f aca="false">IFERROR($N$10+$N$9*$AF31,"")</f>
        <v>37.9379093419443</v>
      </c>
      <c r="AH31" s="40" t="n">
        <f aca="false">IFERROR($N$21-$N$26*EXP(-$AF31/$N$24),"")</f>
        <v>37.9031604619721</v>
      </c>
      <c r="AI31" s="41" t="n">
        <f aca="false">IFERROR(1/(1-EXP(-EXP(-$AF31))),"")</f>
        <v>16.9497139640276</v>
      </c>
    </row>
    <row r="32" customFormat="false" ht="15" hidden="false" customHeight="false" outlineLevel="0" collapsed="false">
      <c r="A32" s="32" t="n">
        <v>26</v>
      </c>
      <c r="B32" s="33" t="n">
        <f aca="false">IF($A32&lt;=データ入力!$B$8,1,0)</f>
        <v>1</v>
      </c>
      <c r="C32" s="34" t="n">
        <f aca="false">IF($B32=1,LARGE(データ入力!$B$12:$B$211,$A32),0)</f>
        <v>35.5</v>
      </c>
      <c r="D32" s="32" t="n">
        <f aca="false">IF($B32=1,IFERROR(INDEX(データ入力!$A$12:$A$211,MATCH($C32,データ入力!$B$12:$B$211,0)),""),"")</f>
        <v>1961</v>
      </c>
      <c r="E32" s="35" t="n">
        <f aca="false">IF($B32=1,1-$A32/(データ入力!$B$8+1),0)</f>
        <v>0.657894736842105</v>
      </c>
      <c r="F32" s="36" t="n">
        <f aca="false">IF($B32=1,(データ入力!$B$8+1)/$A32,"")</f>
        <v>2.92307692307692</v>
      </c>
      <c r="G32" s="37" t="n">
        <f aca="false">IF($B32=1,-LN(-LN($E32)),0)</f>
        <v>0.870575923056064</v>
      </c>
      <c r="H32" s="37" t="n">
        <f aca="false">IF($B32=1,LN(-LN($E32)),0)</f>
        <v>-0.870575923056064</v>
      </c>
      <c r="I32" s="36" t="n">
        <f aca="false">IF($B32=1,IFERROR($C32-($N$10+$N$9*$G32),""),"")</f>
        <v>-0.0254691493829071</v>
      </c>
      <c r="J32" s="36" t="n">
        <f aca="false">IF($B32=1,IFERROR($C32-($N$21-$N$26*EXP(-$G32/$N$24)),""),"")</f>
        <v>-0.0810399660572756</v>
      </c>
      <c r="T32" s="38" t="n">
        <f aca="false">IFERROR($R$6+($A32-1)*$R$5,"")</f>
        <v>51.95</v>
      </c>
      <c r="U32" s="38" t="n">
        <f aca="false">IFERROR(SUMPRODUCT($B$7:$B$206,LN($T32-$C$7:$C$206)),"")</f>
        <v>211.372713605131</v>
      </c>
      <c r="V32" s="38" t="n">
        <f aca="false">IFERROR(SUMPRODUCT($B$7:$B$206,LN($T32-$C$7:$C$206),LN($T32-$C$7:$C$206)),"")</f>
        <v>596.351545279672</v>
      </c>
      <c r="W32" s="38" t="n">
        <f aca="false">IFERROR(SUMPRODUCT($B$7:$B$206,LN($T32-$C$7:$C$206),$H$7:$H$206),"")</f>
        <v>-109.287426475833</v>
      </c>
      <c r="X32" s="39" t="n">
        <f aca="false">IFERROR((データ入力!$B$8*W32-U32*$N$22)/SQRT((データ入力!$B$8*V32-U32^2)*(データ入力!$B$8*$N$23-$N$22^2)),-1)</f>
        <v>0.996790240143141</v>
      </c>
      <c r="Z32" s="38" t="n">
        <f aca="false">IFERROR($R$10+($A32-1)*$R$9,"")</f>
        <v>59.0756281407035</v>
      </c>
      <c r="AA32" s="38" t="n">
        <f aca="false">IFERROR(SUMPRODUCT($B$7:$B$206,LN($Z32-$C$7:$C$206)),"")</f>
        <v>238.026957256626</v>
      </c>
      <c r="AB32" s="38" t="n">
        <f aca="false">IFERROR(SUMPRODUCT($B$7:$B$206,LN($Z32-$C$7:$C$206),LN($Z32-$C$7:$C$206)),"")</f>
        <v>755.731057303019</v>
      </c>
      <c r="AC32" s="38" t="n">
        <f aca="false">IFERROR(SUMPRODUCT($B$7:$B$206,LN($Z32-$C$7:$C$206),$H$7:$H$206),"")</f>
        <v>-126.627209118917</v>
      </c>
      <c r="AD32" s="39" t="n">
        <f aca="false">IFERROR((データ入力!$B$8*AC32-AA32*$N$22)/SQRT((データ入力!$B$8*AB32-AA32^2)*(データ入力!$B$8*$N$23-$N$22^2)),-1)</f>
        <v>0.997026767245513</v>
      </c>
      <c r="AF32" s="40" t="n">
        <v>3</v>
      </c>
      <c r="AG32" s="40" t="n">
        <f aca="false">IFERROR($N$10+$N$9*$AF32,"")</f>
        <v>38.1879777661326</v>
      </c>
      <c r="AH32" s="40" t="n">
        <f aca="false">IFERROR($N$21-$N$26*EXP(-$AF32/$N$24),"")</f>
        <v>38.1305602745358</v>
      </c>
      <c r="AI32" s="41" t="n">
        <f aca="false">IFERROR(1/(1-EXP(-EXP(-$AF32))),"")</f>
        <v>20.5896856741593</v>
      </c>
    </row>
    <row r="33" customFormat="false" ht="15" hidden="false" customHeight="false" outlineLevel="0" collapsed="false">
      <c r="A33" s="32" t="n">
        <v>27</v>
      </c>
      <c r="B33" s="33" t="n">
        <f aca="false">IF($A33&lt;=データ入力!$B$8,1,0)</f>
        <v>1</v>
      </c>
      <c r="C33" s="34" t="n">
        <f aca="false">IF($B33=1,LARGE(データ入力!$B$12:$B$211,$A33),0)</f>
        <v>35.5</v>
      </c>
      <c r="D33" s="32" t="n">
        <f aca="false">IF($B33=1,IFERROR(INDEX(データ入力!$A$12:$A$211,MATCH($C33,データ入力!$B$12:$B$211,0)),""),"")</f>
        <v>1961</v>
      </c>
      <c r="E33" s="35" t="n">
        <f aca="false">IF($B33=1,1-$A33/(データ入力!$B$8+1),0)</f>
        <v>0.644736842105263</v>
      </c>
      <c r="F33" s="36" t="n">
        <f aca="false">IF($B33=1,(データ入力!$B$8+1)/$A33,"")</f>
        <v>2.81481481481482</v>
      </c>
      <c r="G33" s="37" t="n">
        <f aca="false">IF($B33=1,-LN(-LN($E33)),0)</f>
        <v>0.823453967132036</v>
      </c>
      <c r="H33" s="37" t="n">
        <f aca="false">IF($B33=1,LN(-LN($E33)),0)</f>
        <v>-0.823453967132036</v>
      </c>
      <c r="I33" s="36" t="n">
        <f aca="false">IF($B33=1,IFERROR($C33-($N$10+$N$9*$G33),""),"")</f>
        <v>0.033449416930047</v>
      </c>
      <c r="J33" s="36" t="n">
        <f aca="false">IF($B33=1,IFERROR($C33-($N$21-$N$26*EXP(-$G33/$N$24)),""),"")</f>
        <v>-0.0213032513255627</v>
      </c>
      <c r="T33" s="38" t="n">
        <f aca="false">IFERROR($R$6+($A33-1)*$R$5,"")</f>
        <v>52.45</v>
      </c>
      <c r="U33" s="38" t="n">
        <f aca="false">IFERROR(SUMPRODUCT($B$7:$B$206,LN($T33-$C$7:$C$206)),"")</f>
        <v>213.588212996453</v>
      </c>
      <c r="V33" s="38" t="n">
        <f aca="false">IFERROR(SUMPRODUCT($B$7:$B$206,LN($T33-$C$7:$C$206),LN($T33-$C$7:$C$206)),"")</f>
        <v>608.866738570333</v>
      </c>
      <c r="W33" s="38" t="n">
        <f aca="false">IFERROR(SUMPRODUCT($B$7:$B$206,LN($T33-$C$7:$C$206),$H$7:$H$206),"")</f>
        <v>-110.767460115783</v>
      </c>
      <c r="X33" s="39" t="n">
        <f aca="false">IFERROR((データ入力!$B$8*W33-U33*$N$22)/SQRT((データ入力!$B$8*V33-U33^2)*(データ入力!$B$8*$N$23-$N$22^2)),-1)</f>
        <v>0.996833441015205</v>
      </c>
      <c r="Z33" s="38" t="n">
        <f aca="false">IFERROR($R$10+($A33-1)*$R$9,"")</f>
        <v>59.0806532663317</v>
      </c>
      <c r="AA33" s="38" t="n">
        <f aca="false">IFERROR(SUMPRODUCT($B$7:$B$206,LN($Z33-$C$7:$C$206)),"")</f>
        <v>238.042760571988</v>
      </c>
      <c r="AB33" s="38" t="n">
        <f aca="false">IFERROR(SUMPRODUCT($B$7:$B$206,LN($Z33-$C$7:$C$206),LN($Z33-$C$7:$C$206)),"")</f>
        <v>755.831237790627</v>
      </c>
      <c r="AC33" s="38" t="n">
        <f aca="false">IFERROR(SUMPRODUCT($B$7:$B$206,LN($Z33-$C$7:$C$206),$H$7:$H$206),"")</f>
        <v>-126.637223914649</v>
      </c>
      <c r="AD33" s="39" t="n">
        <f aca="false">IFERROR((データ入力!$B$8*AC33-AA33*$N$22)/SQRT((データ入力!$B$8*AB33-AA33^2)*(データ入力!$B$8*$N$23-$N$22^2)),-1)</f>
        <v>0.997026775095104</v>
      </c>
      <c r="AF33" s="40" t="n">
        <v>3.2</v>
      </c>
      <c r="AG33" s="40" t="n">
        <f aca="false">IFERROR($N$10+$N$9*$AF33,"")</f>
        <v>38.4380461903208</v>
      </c>
      <c r="AH33" s="40" t="n">
        <f aca="false">IFERROR($N$21-$N$26*EXP(-$AF33/$N$24),"")</f>
        <v>38.3555621252335</v>
      </c>
      <c r="AI33" s="41" t="n">
        <f aca="false">IFERROR(1/(1-EXP(-EXP(-$AF33))),"")</f>
        <v>25.0359269533769</v>
      </c>
    </row>
    <row r="34" customFormat="false" ht="15" hidden="false" customHeight="false" outlineLevel="0" collapsed="false">
      <c r="A34" s="32" t="n">
        <v>28</v>
      </c>
      <c r="B34" s="33" t="n">
        <f aca="false">IF($A34&lt;=データ入力!$B$8,1,0)</f>
        <v>1</v>
      </c>
      <c r="C34" s="34" t="n">
        <f aca="false">IF($B34=1,LARGE(データ入力!$B$12:$B$211,$A34),0)</f>
        <v>35.5</v>
      </c>
      <c r="D34" s="32" t="n">
        <f aca="false">IF($B34=1,IFERROR(INDEX(データ入力!$A$12:$A$211,MATCH($C34,データ入力!$B$12:$B$211,0)),""),"")</f>
        <v>1961</v>
      </c>
      <c r="E34" s="35" t="n">
        <f aca="false">IF($B34=1,1-$A34/(データ入力!$B$8+1),0)</f>
        <v>0.631578947368421</v>
      </c>
      <c r="F34" s="36" t="n">
        <f aca="false">IF($B34=1,(データ入力!$B$8+1)/$A34,"")</f>
        <v>2.71428571428571</v>
      </c>
      <c r="G34" s="37" t="n">
        <f aca="false">IF($B34=1,-LN(-LN($E34)),0)</f>
        <v>0.777545981928109</v>
      </c>
      <c r="H34" s="37" t="n">
        <f aca="false">IF($B34=1,LN(-LN($E34)),0)</f>
        <v>-0.777545981928109</v>
      </c>
      <c r="I34" s="36" t="n">
        <f aca="false">IF($B34=1,IFERROR($C34-($N$10+$N$9*$G34),""),"")</f>
        <v>0.0908501045180685</v>
      </c>
      <c r="J34" s="36" t="n">
        <f aca="false">IF($B34=1,IFERROR($C34-($N$21-$N$26*EXP(-$G34/$N$24)),""),"")</f>
        <v>0.0370381733899094</v>
      </c>
      <c r="T34" s="38" t="n">
        <f aca="false">IFERROR($R$6+($A34-1)*$R$5,"")</f>
        <v>52.95</v>
      </c>
      <c r="U34" s="38" t="n">
        <f aca="false">IFERROR(SUMPRODUCT($B$7:$B$206,LN($T34-$C$7:$C$206)),"")</f>
        <v>215.739601371938</v>
      </c>
      <c r="V34" s="38" t="n">
        <f aca="false">IFERROR(SUMPRODUCT($B$7:$B$206,LN($T34-$C$7:$C$206),LN($T34-$C$7:$C$206)),"")</f>
        <v>621.147272844444</v>
      </c>
      <c r="W34" s="38" t="n">
        <f aca="false">IFERROR(SUMPRODUCT($B$7:$B$206,LN($T34-$C$7:$C$206),$H$7:$H$206),"")</f>
        <v>-112.197139262932</v>
      </c>
      <c r="X34" s="39" t="n">
        <f aca="false">IFERROR((データ入力!$B$8*W34-U34*$N$22)/SQRT((データ入力!$B$8*V34-U34^2)*(データ入力!$B$8*$N$23-$N$22^2)),-1)</f>
        <v>0.996870048204157</v>
      </c>
      <c r="Z34" s="38" t="n">
        <f aca="false">IFERROR($R$10+($A34-1)*$R$9,"")</f>
        <v>59.0856783919598</v>
      </c>
      <c r="AA34" s="38" t="n">
        <f aca="false">IFERROR(SUMPRODUCT($B$7:$B$206,LN($Z34-$C$7:$C$206)),"")</f>
        <v>238.058560543765</v>
      </c>
      <c r="AB34" s="38" t="n">
        <f aca="false">IFERROR(SUMPRODUCT($B$7:$B$206,LN($Z34-$C$7:$C$206),LN($Z34-$C$7:$C$206)),"")</f>
        <v>755.931403798545</v>
      </c>
      <c r="AC34" s="38" t="n">
        <f aca="false">IFERROR(SUMPRODUCT($B$7:$B$206,LN($Z34-$C$7:$C$206),$H$7:$H$206),"")</f>
        <v>-126.647236317693</v>
      </c>
      <c r="AD34" s="39" t="n">
        <f aca="false">IFERROR((データ入力!$B$8*AC34-AA34*$N$22)/SQRT((データ入力!$B$8*AB34-AA34^2)*(データ入力!$B$8*$N$23-$N$22^2)),-1)</f>
        <v>0.997026782838266</v>
      </c>
      <c r="AF34" s="40" t="n">
        <v>3.4</v>
      </c>
      <c r="AG34" s="40" t="n">
        <f aca="false">IFERROR($N$10+$N$9*$AF34,"")</f>
        <v>38.6881146145091</v>
      </c>
      <c r="AH34" s="40" t="n">
        <f aca="false">IFERROR($N$21-$N$26*EXP(-$AF34/$N$24),"")</f>
        <v>38.5781913008983</v>
      </c>
      <c r="AI34" s="41" t="n">
        <f aca="false">IFERROR(1/(1-EXP(-EXP(-$AF34))),"")</f>
        <v>30.466881101603</v>
      </c>
    </row>
    <row r="35" customFormat="false" ht="15" hidden="false" customHeight="false" outlineLevel="0" collapsed="false">
      <c r="A35" s="32" t="n">
        <v>29</v>
      </c>
      <c r="B35" s="33" t="n">
        <f aca="false">IF($A35&lt;=データ入力!$B$8,1,0)</f>
        <v>1</v>
      </c>
      <c r="C35" s="34" t="n">
        <f aca="false">IF($B35=1,LARGE(データ入力!$B$12:$B$211,$A35),0)</f>
        <v>35.3</v>
      </c>
      <c r="D35" s="32" t="n">
        <f aca="false">IF($B35=1,IFERROR(INDEX(データ入力!$A$12:$A$211,MATCH($C35,データ入力!$B$12:$B$211,0)),""),"")</f>
        <v>1964</v>
      </c>
      <c r="E35" s="35" t="n">
        <f aca="false">IF($B35=1,1-$A35/(データ入力!$B$8+1),0)</f>
        <v>0.618421052631579</v>
      </c>
      <c r="F35" s="36" t="n">
        <f aca="false">IF($B35=1,(データ入力!$B$8+1)/$A35,"")</f>
        <v>2.62068965517241</v>
      </c>
      <c r="G35" s="37" t="n">
        <f aca="false">IF($B35=1,-LN(-LN($E35)),0)</f>
        <v>0.732749630326731</v>
      </c>
      <c r="H35" s="37" t="n">
        <f aca="false">IF($B35=1,LN(-LN($E35)),0)</f>
        <v>-0.732749630326731</v>
      </c>
      <c r="I35" s="36" t="n">
        <f aca="false">IF($B35=1,IFERROR($C35-($N$10+$N$9*$G35),""),"")</f>
        <v>-0.0531391302102335</v>
      </c>
      <c r="J35" s="36" t="n">
        <f aca="false">IF($B35=1,IFERROR($C35-($N$21-$N$26*EXP(-$G35/$N$24)),""),"")</f>
        <v>-0.105896087475642</v>
      </c>
      <c r="T35" s="38" t="n">
        <f aca="false">IFERROR($R$6+($A35-1)*$R$5,"")</f>
        <v>53.45</v>
      </c>
      <c r="U35" s="38" t="n">
        <f aca="false">IFERROR(SUMPRODUCT($B$7:$B$206,LN($T35-$C$7:$C$206)),"")</f>
        <v>217.83051612658</v>
      </c>
      <c r="V35" s="38" t="n">
        <f aca="false">IFERROR(SUMPRODUCT($B$7:$B$206,LN($T35-$C$7:$C$206),LN($T35-$C$7:$C$206)),"")</f>
        <v>633.202861735259</v>
      </c>
      <c r="W35" s="38" t="n">
        <f aca="false">IFERROR(SUMPRODUCT($B$7:$B$206,LN($T35-$C$7:$C$206),$H$7:$H$206),"")</f>
        <v>-113.579765975546</v>
      </c>
      <c r="X35" s="39" t="n">
        <f aca="false">IFERROR((データ入力!$B$8*W35-U35*$N$22)/SQRT((データ入力!$B$8*V35-U35^2)*(データ入力!$B$8*$N$23-$N$22^2)),-1)</f>
        <v>0.996900990468417</v>
      </c>
      <c r="Z35" s="38" t="n">
        <f aca="false">IFERROR($R$10+($A35-1)*$R$9,"")</f>
        <v>59.0907035175879</v>
      </c>
      <c r="AA35" s="38" t="n">
        <f aca="false">IFERROR(SUMPRODUCT($B$7:$B$206,LN($Z35-$C$7:$C$206)),"")</f>
        <v>238.074357173381</v>
      </c>
      <c r="AB35" s="38" t="n">
        <f aca="false">IFERROR(SUMPRODUCT($B$7:$B$206,LN($Z35-$C$7:$C$206),LN($Z35-$C$7:$C$206)),"")</f>
        <v>756.031555331492</v>
      </c>
      <c r="AC35" s="38" t="n">
        <f aca="false">IFERROR(SUMPRODUCT($B$7:$B$206,LN($Z35-$C$7:$C$206),$H$7:$H$206),"")</f>
        <v>-126.657246329191</v>
      </c>
      <c r="AD35" s="39" t="n">
        <f aca="false">IFERROR((データ入力!$B$8*AC35-AA35*$N$22)/SQRT((データ入力!$B$8*AB35-AA35^2)*(データ入力!$B$8*$N$23-$N$22^2)),-1)</f>
        <v>0.99702679047571</v>
      </c>
      <c r="AF35" s="40" t="n">
        <v>3.6</v>
      </c>
      <c r="AG35" s="40" t="n">
        <f aca="false">IFERROR($N$10+$N$9*$AF35,"")</f>
        <v>38.9381830386974</v>
      </c>
      <c r="AH35" s="40" t="n">
        <f aca="false">IFERROR($N$21-$N$26*EXP(-$AF35/$N$24),"")</f>
        <v>38.7984728217102</v>
      </c>
      <c r="AI35" s="41" t="n">
        <f aca="false">IFERROR(1/(1-EXP(-EXP(-$AF35))),"")</f>
        <v>37.1005113922165</v>
      </c>
    </row>
    <row r="36" customFormat="false" ht="15" hidden="false" customHeight="false" outlineLevel="0" collapsed="false">
      <c r="A36" s="32" t="n">
        <v>30</v>
      </c>
      <c r="B36" s="33" t="n">
        <f aca="false">IF($A36&lt;=データ入力!$B$8,1,0)</f>
        <v>1</v>
      </c>
      <c r="C36" s="34" t="n">
        <f aca="false">IF($B36=1,LARGE(データ入力!$B$12:$B$211,$A36),0)</f>
        <v>35.3</v>
      </c>
      <c r="D36" s="32" t="n">
        <f aca="false">IF($B36=1,IFERROR(INDEX(データ入力!$A$12:$A$211,MATCH($C36,データ入力!$B$12:$B$211,0)),""),"")</f>
        <v>1964</v>
      </c>
      <c r="E36" s="35" t="n">
        <f aca="false">IF($B36=1,1-$A36/(データ入力!$B$8+1),0)</f>
        <v>0.605263157894737</v>
      </c>
      <c r="F36" s="36" t="n">
        <f aca="false">IF($B36=1,(データ入力!$B$8+1)/$A36,"")</f>
        <v>2.53333333333333</v>
      </c>
      <c r="G36" s="37" t="n">
        <f aca="false">IF($B36=1,-LN(-LN($E36)),0)</f>
        <v>0.688972021086659</v>
      </c>
      <c r="H36" s="37" t="n">
        <f aca="false">IF($B36=1,LN(-LN($E36)),0)</f>
        <v>-0.688972021086659</v>
      </c>
      <c r="I36" s="36" t="n">
        <f aca="false">IF($B36=1,IFERROR($C36-($N$10+$N$9*$G36),""),"")</f>
        <v>0.00159785857674422</v>
      </c>
      <c r="J36" s="36" t="n">
        <f aca="false">IF($B36=1,IFERROR($C36-($N$21-$N$26*EXP(-$G36/$N$24)),""),"")</f>
        <v>-0.0499970503863452</v>
      </c>
      <c r="T36" s="38" t="n">
        <f aca="false">IFERROR($R$6+($A36-1)*$R$5,"")</f>
        <v>53.95</v>
      </c>
      <c r="U36" s="38" t="n">
        <f aca="false">IFERROR(SUMPRODUCT($B$7:$B$206,LN($T36-$C$7:$C$206)),"")</f>
        <v>219.864290990519</v>
      </c>
      <c r="V36" s="38" t="n">
        <f aca="false">IFERROR(SUMPRODUCT($B$7:$B$206,LN($T36-$C$7:$C$206),LN($T36-$C$7:$C$206)),"")</f>
        <v>645.042607526363</v>
      </c>
      <c r="W36" s="38" t="n">
        <f aca="false">IFERROR(SUMPRODUCT($B$7:$B$206,LN($T36-$C$7:$C$206),$H$7:$H$206),"")</f>
        <v>-114.91832809885</v>
      </c>
      <c r="X36" s="39" t="n">
        <f aca="false">IFERROR((データ入力!$B$8*W36-U36*$N$22)/SQRT((データ入力!$B$8*V36-U36^2)*(データ入力!$B$8*$N$23-$N$22^2)),-1)</f>
        <v>0.996927050474111</v>
      </c>
      <c r="Z36" s="38" t="n">
        <f aca="false">IFERROR($R$10+($A36-1)*$R$9,"")</f>
        <v>59.0957286432161</v>
      </c>
      <c r="AA36" s="38" t="n">
        <f aca="false">IFERROR(SUMPRODUCT($B$7:$B$206,LN($Z36-$C$7:$C$206)),"")</f>
        <v>238.090150462254</v>
      </c>
      <c r="AB36" s="38" t="n">
        <f aca="false">IFERROR(SUMPRODUCT($B$7:$B$206,LN($Z36-$C$7:$C$206),LN($Z36-$C$7:$C$206)),"")</f>
        <v>756.131692394186</v>
      </c>
      <c r="AC36" s="38" t="n">
        <f aca="false">IFERROR(SUMPRODUCT($B$7:$B$206,LN($Z36-$C$7:$C$206),$H$7:$H$206),"")</f>
        <v>-126.667253950279</v>
      </c>
      <c r="AD36" s="39" t="n">
        <f aca="false">IFERROR((データ入力!$B$8*AC36-AA36*$N$22)/SQRT((データ入力!$B$8*AB36-AA36^2)*(データ入力!$B$8*$N$23-$N$22^2)),-1)</f>
        <v>0.997026798007178</v>
      </c>
      <c r="AF36" s="40" t="n">
        <v>3.8</v>
      </c>
      <c r="AG36" s="40" t="n">
        <f aca="false">IFERROR($N$10+$N$9*$AF36,"")</f>
        <v>39.1882514628856</v>
      </c>
      <c r="AH36" s="40" t="n">
        <f aca="false">IFERROR($N$21-$N$26*EXP(-$AF36/$N$24),"")</f>
        <v>39.0164314440081</v>
      </c>
      <c r="AI36" s="41" t="n">
        <f aca="false">IFERROR(1/(1-EXP(-EXP(-$AF36))),"")</f>
        <v>45.2030487087399</v>
      </c>
    </row>
    <row r="37" customFormat="false" ht="15" hidden="false" customHeight="false" outlineLevel="0" collapsed="false">
      <c r="A37" s="32" t="n">
        <v>31</v>
      </c>
      <c r="B37" s="33" t="n">
        <f aca="false">IF($A37&lt;=データ入力!$B$8,1,0)</f>
        <v>1</v>
      </c>
      <c r="C37" s="34" t="n">
        <f aca="false">IF($B37=1,LARGE(データ入力!$B$12:$B$211,$A37),0)</f>
        <v>35.3</v>
      </c>
      <c r="D37" s="32" t="n">
        <f aca="false">IF($B37=1,IFERROR(INDEX(データ入力!$A$12:$A$211,MATCH($C37,データ入力!$B$12:$B$211,0)),""),"")</f>
        <v>1964</v>
      </c>
      <c r="E37" s="35" t="n">
        <f aca="false">IF($B37=1,1-$A37/(データ入力!$B$8+1),0)</f>
        <v>0.592105263157895</v>
      </c>
      <c r="F37" s="36" t="n">
        <f aca="false">IF($B37=1,(データ入力!$B$8+1)/$A37,"")</f>
        <v>2.45161290322581</v>
      </c>
      <c r="G37" s="37" t="n">
        <f aca="false">IF($B37=1,-LN(-LN($E37)),0)</f>
        <v>0.646128392892847</v>
      </c>
      <c r="H37" s="37" t="n">
        <f aca="false">IF($B37=1,LN(-LN($E37)),0)</f>
        <v>-0.646128392892847</v>
      </c>
      <c r="I37" s="36" t="n">
        <f aca="false">IF($B37=1,IFERROR($C37-($N$10+$N$9*$G37),""),"")</f>
        <v>0.0551670515214155</v>
      </c>
      <c r="J37" s="36" t="n">
        <f aca="false">IF($B37=1,IFERROR($C37-($N$21-$N$26*EXP(-$G37/$N$24)),""),"")</f>
        <v>0.00483513268899571</v>
      </c>
      <c r="T37" s="38" t="n">
        <f aca="false">IFERROR($R$6+($A37-1)*$R$5,"")</f>
        <v>54.45</v>
      </c>
      <c r="U37" s="38" t="n">
        <f aca="false">IFERROR(SUMPRODUCT($B$7:$B$206,LN($T37-$C$7:$C$206)),"")</f>
        <v>221.843989206943</v>
      </c>
      <c r="V37" s="38" t="n">
        <f aca="false">IFERROR(SUMPRODUCT($B$7:$B$206,LN($T37-$C$7:$C$206),LN($T37-$C$7:$C$206)),"")</f>
        <v>656.6750516449</v>
      </c>
      <c r="W37" s="38" t="n">
        <f aca="false">IFERROR(SUMPRODUCT($B$7:$B$206,LN($T37-$C$7:$C$206),$H$7:$H$206),"")</f>
        <v>-116.215537935948</v>
      </c>
      <c r="X37" s="39" t="n">
        <f aca="false">IFERROR((データ入力!$B$8*W37-U37*$N$22)/SQRT((データ入力!$B$8*V37-U37^2)*(データ入力!$B$8*$N$23-$N$22^2)),-1)</f>
        <v>0.996948890764289</v>
      </c>
      <c r="Z37" s="38" t="n">
        <f aca="false">IFERROR($R$10+($A37-1)*$R$9,"")</f>
        <v>59.1007537688442</v>
      </c>
      <c r="AA37" s="38" t="n">
        <f aca="false">IFERROR(SUMPRODUCT($B$7:$B$206,LN($Z37-$C$7:$C$206)),"")</f>
        <v>238.105940411805</v>
      </c>
      <c r="AB37" s="38" t="n">
        <f aca="false">IFERROR(SUMPRODUCT($B$7:$B$206,LN($Z37-$C$7:$C$206),LN($Z37-$C$7:$C$206)),"")</f>
        <v>756.231814991341</v>
      </c>
      <c r="AC37" s="38" t="n">
        <f aca="false">IFERROR(SUMPRODUCT($B$7:$B$206,LN($Z37-$C$7:$C$206),$H$7:$H$206),"")</f>
        <v>-126.677259182096</v>
      </c>
      <c r="AD37" s="39" t="n">
        <f aca="false">IFERROR((データ入力!$B$8*AC37-AA37*$N$22)/SQRT((データ入力!$B$8*AB37-AA37^2)*(データ入力!$B$8*$N$23-$N$22^2)),-1)</f>
        <v>0.997026805433324</v>
      </c>
      <c r="AF37" s="40" t="n">
        <v>4</v>
      </c>
      <c r="AG37" s="40" t="n">
        <f aca="false">IFERROR($N$10+$N$9*$AF37,"")</f>
        <v>39.4383198870739</v>
      </c>
      <c r="AH37" s="40" t="n">
        <f aca="false">IFERROR($N$21-$N$26*EXP(-$AF37/$N$24),"")</f>
        <v>39.2320916630719</v>
      </c>
      <c r="AI37" s="41" t="n">
        <f aca="false">IFERROR(1/(1-EXP(-EXP(-$AF37))),"")</f>
        <v>55.0996763278515</v>
      </c>
    </row>
    <row r="38" customFormat="false" ht="15" hidden="false" customHeight="false" outlineLevel="0" collapsed="false">
      <c r="A38" s="32" t="n">
        <v>32</v>
      </c>
      <c r="B38" s="33" t="n">
        <f aca="false">IF($A38&lt;=データ入力!$B$8,1,0)</f>
        <v>1</v>
      </c>
      <c r="C38" s="34" t="n">
        <f aca="false">IF($B38=1,LARGE(データ入力!$B$12:$B$211,$A38),0)</f>
        <v>35.3</v>
      </c>
      <c r="D38" s="32" t="n">
        <f aca="false">IF($B38=1,IFERROR(INDEX(データ入力!$A$12:$A$211,MATCH($C38,データ入力!$B$12:$B$211,0)),""),"")</f>
        <v>1964</v>
      </c>
      <c r="E38" s="35" t="n">
        <f aca="false">IF($B38=1,1-$A38/(データ入力!$B$8+1),0)</f>
        <v>0.578947368421053</v>
      </c>
      <c r="F38" s="36" t="n">
        <f aca="false">IF($B38=1,(データ入力!$B$8+1)/$A38,"")</f>
        <v>2.375</v>
      </c>
      <c r="G38" s="37" t="n">
        <f aca="false">IF($B38=1,-LN(-LN($E38)),0)</f>
        <v>0.604140999507441</v>
      </c>
      <c r="H38" s="37" t="n">
        <f aca="false">IF($B38=1,LN(-LN($E38)),0)</f>
        <v>-0.604140999507441</v>
      </c>
      <c r="I38" s="36" t="n">
        <f aca="false">IF($B38=1,IFERROR($C38-($N$10+$N$9*$G38),""),"")</f>
        <v>0.107665658019727</v>
      </c>
      <c r="J38" s="36" t="n">
        <f aca="false">IF($B38=1,IFERROR($C38-($N$21-$N$26*EXP(-$G38/$N$24)),""),"")</f>
        <v>0.0586924371560684</v>
      </c>
      <c r="T38" s="38" t="n">
        <f aca="false">IFERROR($R$6+($A38-1)*$R$5,"")</f>
        <v>54.95</v>
      </c>
      <c r="U38" s="38" t="n">
        <f aca="false">IFERROR(SUMPRODUCT($B$7:$B$206,LN($T38-$C$7:$C$206)),"")</f>
        <v>223.772432260127</v>
      </c>
      <c r="V38" s="38" t="n">
        <f aca="false">IFERROR(SUMPRODUCT($B$7:$B$206,LN($T38-$C$7:$C$206),LN($T38-$C$7:$C$206)),"")</f>
        <v>668.108220126744</v>
      </c>
      <c r="W38" s="38" t="n">
        <f aca="false">IFERROR(SUMPRODUCT($B$7:$B$206,LN($T38-$C$7:$C$206),$H$7:$H$206),"")</f>
        <v>-117.473865136363</v>
      </c>
      <c r="X38" s="39" t="n">
        <f aca="false">IFERROR((データ入力!$B$8*W38-U38*$N$22)/SQRT((データ入力!$B$8*V38-U38^2)*(データ入力!$B$8*$N$23-$N$22^2)),-1)</f>
        <v>0.996967074560664</v>
      </c>
      <c r="Z38" s="38" t="n">
        <f aca="false">IFERROR($R$10+($A38-1)*$R$9,"")</f>
        <v>59.1057788944724</v>
      </c>
      <c r="AA38" s="38" t="n">
        <f aca="false">IFERROR(SUMPRODUCT($B$7:$B$206,LN($Z38-$C$7:$C$206)),"")</f>
        <v>238.12172702345</v>
      </c>
      <c r="AB38" s="38" t="n">
        <f aca="false">IFERROR(SUMPRODUCT($B$7:$B$206,LN($Z38-$C$7:$C$206),LN($Z38-$C$7:$C$206)),"")</f>
        <v>756.331923127669</v>
      </c>
      <c r="AC38" s="38" t="n">
        <f aca="false">IFERROR(SUMPRODUCT($B$7:$B$206,LN($Z38-$C$7:$C$206),$H$7:$H$206),"")</f>
        <v>-126.687262025779</v>
      </c>
      <c r="AD38" s="39" t="n">
        <f aca="false">IFERROR((データ入力!$B$8*AC38-AA38*$N$22)/SQRT((データ入力!$B$8*AB38-AA38^2)*(データ入力!$B$8*$N$23-$N$22^2)),-1)</f>
        <v>0.997026812753842</v>
      </c>
      <c r="AF38" s="40" t="n">
        <v>4.2</v>
      </c>
      <c r="AG38" s="40" t="n">
        <f aca="false">IFERROR($N$10+$N$9*$AF38,"")</f>
        <v>39.6883883112622</v>
      </c>
      <c r="AH38" s="40" t="n">
        <f aca="false">IFERROR($N$21-$N$26*EXP(-$AF38/$N$24),"")</f>
        <v>39.4454777158753</v>
      </c>
      <c r="AI38" s="41" t="n">
        <f aca="false">IFERROR(1/(1-EXP(-EXP(-$AF38))),"")</f>
        <v>67.1875806676436</v>
      </c>
    </row>
    <row r="39" customFormat="false" ht="15" hidden="false" customHeight="false" outlineLevel="0" collapsed="false">
      <c r="A39" s="32" t="n">
        <v>33</v>
      </c>
      <c r="B39" s="33" t="n">
        <f aca="false">IF($A39&lt;=データ入力!$B$8,1,0)</f>
        <v>1</v>
      </c>
      <c r="C39" s="34" t="n">
        <f aca="false">IF($B39=1,LARGE(データ入力!$B$12:$B$211,$A39),0)</f>
        <v>35.2</v>
      </c>
      <c r="D39" s="32" t="n">
        <f aca="false">IF($B39=1,IFERROR(INDEX(データ入力!$A$12:$A$211,MATCH($C39,データ入力!$B$12:$B$211,0)),""),"")</f>
        <v>1991</v>
      </c>
      <c r="E39" s="35" t="n">
        <f aca="false">IF($B39=1,1-$A39/(データ入力!$B$8+1),0)</f>
        <v>0.565789473684211</v>
      </c>
      <c r="F39" s="36" t="n">
        <f aca="false">IF($B39=1,(データ入力!$B$8+1)/$A39,"")</f>
        <v>2.3030303030303</v>
      </c>
      <c r="G39" s="37" t="n">
        <f aca="false">IF($B39=1,-LN(-LN($E39)),0)</f>
        <v>0.562938157861984</v>
      </c>
      <c r="H39" s="37" t="n">
        <f aca="false">IF($B39=1,LN(-LN($E39)),0)</f>
        <v>-0.562938157861984</v>
      </c>
      <c r="I39" s="36" t="n">
        <f aca="false">IF($B39=1,IFERROR($C39-($N$10+$N$9*$G39),""),"")</f>
        <v>0.059183306431521</v>
      </c>
      <c r="J39" s="36" t="n">
        <f aca="false">IF($B39=1,IFERROR($C39-($N$21-$N$26*EXP(-$G39/$N$24)),""),"")</f>
        <v>0.0116600483833622</v>
      </c>
      <c r="T39" s="38" t="n">
        <f aca="false">IFERROR($R$6+($A39-1)*$R$5,"")</f>
        <v>55.45</v>
      </c>
      <c r="U39" s="38" t="n">
        <f aca="false">IFERROR(SUMPRODUCT($B$7:$B$206,LN($T39-$C$7:$C$206)),"")</f>
        <v>225.652224857238</v>
      </c>
      <c r="V39" s="38" t="n">
        <f aca="false">IFERROR(SUMPRODUCT($B$7:$B$206,LN($T39-$C$7:$C$206),LN($T39-$C$7:$C$206)),"")</f>
        <v>679.34966461946</v>
      </c>
      <c r="W39" s="38" t="n">
        <f aca="false">IFERROR(SUMPRODUCT($B$7:$B$206,LN($T39-$C$7:$C$206),$H$7:$H$206),"")</f>
        <v>-118.695564812185</v>
      </c>
      <c r="X39" s="39" t="n">
        <f aca="false">IFERROR((データ入力!$B$8*W39-U39*$N$22)/SQRT((データ入力!$B$8*V39-U39^2)*(データ入力!$B$8*$N$23-$N$22^2)),-1)</f>
        <v>0.99698208253674</v>
      </c>
      <c r="Z39" s="38" t="n">
        <f aca="false">IFERROR($R$10+($A39-1)*$R$9,"")</f>
        <v>59.1108040201005</v>
      </c>
      <c r="AA39" s="38" t="n">
        <f aca="false">IFERROR(SUMPRODUCT($B$7:$B$206,LN($Z39-$C$7:$C$206)),"")</f>
        <v>238.137510298608</v>
      </c>
      <c r="AB39" s="38" t="n">
        <f aca="false">IFERROR(SUMPRODUCT($B$7:$B$206,LN($Z39-$C$7:$C$206),LN($Z39-$C$7:$C$206)),"")</f>
        <v>756.432016807882</v>
      </c>
      <c r="AC39" s="38" t="n">
        <f aca="false">IFERROR(SUMPRODUCT($B$7:$B$206,LN($Z39-$C$7:$C$206),$H$7:$H$206),"")</f>
        <v>-126.697262482462</v>
      </c>
      <c r="AD39" s="39" t="n">
        <f aca="false">IFERROR((データ入力!$B$8*AC39-AA39*$N$22)/SQRT((データ入力!$B$8*AB39-AA39^2)*(データ入力!$B$8*$N$23-$N$22^2)),-1)</f>
        <v>0.997026819968709</v>
      </c>
      <c r="AF39" s="40" t="n">
        <v>4.4</v>
      </c>
      <c r="AG39" s="40" t="n">
        <f aca="false">IFERROR($N$10+$N$9*$AF39,"")</f>
        <v>39.9384567354505</v>
      </c>
      <c r="AH39" s="40" t="n">
        <f aca="false">IFERROR($N$21-$N$26*EXP(-$AF39/$N$24),"")</f>
        <v>39.6566135838102</v>
      </c>
      <c r="AI39" s="41" t="n">
        <f aca="false">IFERROR(1/(1-EXP(-EXP(-$AF39))),"")</f>
        <v>81.9518917740568</v>
      </c>
    </row>
    <row r="40" customFormat="false" ht="15" hidden="false" customHeight="false" outlineLevel="0" collapsed="false">
      <c r="A40" s="32" t="n">
        <v>34</v>
      </c>
      <c r="B40" s="33" t="n">
        <f aca="false">IF($A40&lt;=データ入力!$B$8,1,0)</f>
        <v>1</v>
      </c>
      <c r="C40" s="34" t="n">
        <f aca="false">IF($B40=1,LARGE(データ入力!$B$12:$B$211,$A40),0)</f>
        <v>35.1</v>
      </c>
      <c r="D40" s="32" t="n">
        <f aca="false">IF($B40=1,IFERROR(INDEX(データ入力!$A$12:$A$211,MATCH($C40,データ入力!$B$12:$B$211,0)),""),"")</f>
        <v>1971</v>
      </c>
      <c r="E40" s="35" t="n">
        <f aca="false">IF($B40=1,1-$A40/(データ入力!$B$8+1),0)</f>
        <v>0.552631578947368</v>
      </c>
      <c r="F40" s="36" t="n">
        <f aca="false">IF($B40=1,(データ入力!$B$8+1)/$A40,"")</f>
        <v>2.23529411764706</v>
      </c>
      <c r="G40" s="37" t="n">
        <f aca="false">IF($B40=1,-LN(-LN($E40)),0)</f>
        <v>0.522453428754192</v>
      </c>
      <c r="H40" s="37" t="n">
        <f aca="false">IF($B40=1,LN(-LN($E40)),0)</f>
        <v>-0.522453428754192</v>
      </c>
      <c r="I40" s="36" t="n">
        <f aca="false">IF($B40=1,IFERROR($C40-($N$10+$N$9*$G40),""),"")</f>
        <v>0.00980306848989443</v>
      </c>
      <c r="J40" s="36" t="n">
        <f aca="false">IF($B40=1,IFERROR($C40-($N$21-$N$26*EXP(-$G40/$N$24)),""),"")</f>
        <v>-0.0361827023250996</v>
      </c>
      <c r="T40" s="38" t="n">
        <f aca="false">IFERROR($R$6+($A40-1)*$R$5,"")</f>
        <v>55.95</v>
      </c>
      <c r="U40" s="38" t="n">
        <f aca="false">IFERROR(SUMPRODUCT($B$7:$B$206,LN($T40-$C$7:$C$206)),"")</f>
        <v>227.485776739958</v>
      </c>
      <c r="V40" s="38" t="n">
        <f aca="false">IFERROR(SUMPRODUCT($B$7:$B$206,LN($T40-$C$7:$C$206),LN($T40-$C$7:$C$206)),"")</f>
        <v>690.406499421835</v>
      </c>
      <c r="W40" s="38" t="n">
        <f aca="false">IFERROR(SUMPRODUCT($B$7:$B$206,LN($T40-$C$7:$C$206),$H$7:$H$206),"")</f>
        <v>-119.882701691258</v>
      </c>
      <c r="X40" s="39" t="n">
        <f aca="false">IFERROR((データ入力!$B$8*W40-U40*$N$22)/SQRT((データ入力!$B$8*V40-U40^2)*(データ入力!$B$8*$N$23-$N$22^2)),-1)</f>
        <v>0.996994326424377</v>
      </c>
      <c r="Z40" s="38" t="n">
        <f aca="false">IFERROR($R$10+($A40-1)*$R$9,"")</f>
        <v>59.1158291457286</v>
      </c>
      <c r="AA40" s="38" t="n">
        <f aca="false">IFERROR(SUMPRODUCT($B$7:$B$206,LN($Z40-$C$7:$C$206)),"")</f>
        <v>238.153290238694</v>
      </c>
      <c r="AB40" s="38" t="n">
        <f aca="false">IFERROR(SUMPRODUCT($B$7:$B$206,LN($Z40-$C$7:$C$206),LN($Z40-$C$7:$C$206)),"")</f>
        <v>756.532096036686</v>
      </c>
      <c r="AC40" s="38" t="n">
        <f aca="false">IFERROR(SUMPRODUCT($B$7:$B$206,LN($Z40-$C$7:$C$206),$H$7:$H$206),"")</f>
        <v>-126.707260553282</v>
      </c>
      <c r="AD40" s="39" t="n">
        <f aca="false">IFERROR((データ入力!$B$8*AC40-AA40*$N$22)/SQRT((データ入力!$B$8*AB40-AA40^2)*(データ入力!$B$8*$N$23-$N$22^2)),-1)</f>
        <v>0.997026827078511</v>
      </c>
      <c r="AF40" s="40" t="n">
        <v>4.6</v>
      </c>
      <c r="AG40" s="40" t="n">
        <f aca="false">IFERROR($N$10+$N$9*$AF40,"")</f>
        <v>40.1885251596387</v>
      </c>
      <c r="AH40" s="40" t="n">
        <f aca="false">IFERROR($N$21-$N$26*EXP(-$AF40/$N$24),"")</f>
        <v>39.865522995381</v>
      </c>
      <c r="AI40" s="41" t="n">
        <f aca="false">IFERROR(1/(1-EXP(-EXP(-$AF40))),"")</f>
        <v>99.9851532935023</v>
      </c>
    </row>
    <row r="41" customFormat="false" ht="15" hidden="false" customHeight="false" outlineLevel="0" collapsed="false">
      <c r="A41" s="32" t="n">
        <v>35</v>
      </c>
      <c r="B41" s="33" t="n">
        <f aca="false">IF($A41&lt;=データ入力!$B$8,1,0)</f>
        <v>1</v>
      </c>
      <c r="C41" s="34" t="n">
        <f aca="false">IF($B41=1,LARGE(データ入力!$B$12:$B$211,$A41),0)</f>
        <v>35.1</v>
      </c>
      <c r="D41" s="32" t="n">
        <f aca="false">IF($B41=1,IFERROR(INDEX(データ入力!$A$12:$A$211,MATCH($C41,データ入力!$B$12:$B$211,0)),""),"")</f>
        <v>1971</v>
      </c>
      <c r="E41" s="35" t="n">
        <f aca="false">IF($B41=1,1-$A41/(データ入力!$B$8+1),0)</f>
        <v>0.539473684210526</v>
      </c>
      <c r="F41" s="36" t="n">
        <f aca="false">IF($B41=1,(データ入力!$B$8+1)/$A41,"")</f>
        <v>2.17142857142857</v>
      </c>
      <c r="G41" s="37" t="n">
        <f aca="false">IF($B41=1,-LN(-LN($E41)),0)</f>
        <v>0.482624905792189</v>
      </c>
      <c r="H41" s="37" t="n">
        <f aca="false">IF($B41=1,LN(-LN($E41)),0)</f>
        <v>-0.482624905792189</v>
      </c>
      <c r="I41" s="36" t="n">
        <f aca="false">IF($B41=1,IFERROR($C41-($N$10+$N$9*$G41),""),"")</f>
        <v>0.0596023483641659</v>
      </c>
      <c r="J41" s="36" t="n">
        <f aca="false">IF($B41=1,IFERROR($C41-($N$21-$N$26*EXP(-$G41/$N$24)),""),"")</f>
        <v>0.0152384787664133</v>
      </c>
      <c r="T41" s="38" t="n">
        <f aca="false">IFERROR($R$6+($A41-1)*$R$5,"")</f>
        <v>56.45</v>
      </c>
      <c r="U41" s="38" t="n">
        <f aca="false">IFERROR(SUMPRODUCT($B$7:$B$206,LN($T41-$C$7:$C$206)),"")</f>
        <v>229.275321800411</v>
      </c>
      <c r="V41" s="38" t="n">
        <f aca="false">IFERROR(SUMPRODUCT($B$7:$B$206,LN($T41-$C$7:$C$206),LN($T41-$C$7:$C$206)),"")</f>
        <v>701.285434999045</v>
      </c>
      <c r="W41" s="38" t="n">
        <f aca="false">IFERROR(SUMPRODUCT($B$7:$B$206,LN($T41-$C$7:$C$206),$H$7:$H$206),"")</f>
        <v>-121.037170960613</v>
      </c>
      <c r="X41" s="39" t="n">
        <f aca="false">IFERROR((データ入力!$B$8*W41-U41*$N$22)/SQRT((データ入力!$B$8*V41-U41^2)*(データ入力!$B$8*$N$23-$N$22^2)),-1)</f>
        <v>0.997004160113062</v>
      </c>
      <c r="Z41" s="38" t="n">
        <f aca="false">IFERROR($R$10+($A41-1)*$R$9,"")</f>
        <v>59.1208542713568</v>
      </c>
      <c r="AA41" s="38" t="n">
        <f aca="false">IFERROR(SUMPRODUCT($B$7:$B$206,LN($Z41-$C$7:$C$206)),"")</f>
        <v>238.169066845125</v>
      </c>
      <c r="AB41" s="38" t="n">
        <f aca="false">IFERROR(SUMPRODUCT($B$7:$B$206,LN($Z41-$C$7:$C$206),LN($Z41-$C$7:$C$206)),"")</f>
        <v>756.632160818787</v>
      </c>
      <c r="AC41" s="38" t="n">
        <f aca="false">IFERROR(SUMPRODUCT($B$7:$B$206,LN($Z41-$C$7:$C$206),$H$7:$H$206),"")</f>
        <v>-126.717256239372</v>
      </c>
      <c r="AD41" s="39" t="n">
        <f aca="false">IFERROR((データ入力!$B$8*AC41-AA41*$N$22)/SQRT((データ入力!$B$8*AB41-AA41^2)*(データ入力!$B$8*$N$23-$N$22^2)),-1)</f>
        <v>0.997026834083178</v>
      </c>
      <c r="AF41" s="40" t="n">
        <v>4.8</v>
      </c>
      <c r="AG41" s="40" t="n">
        <f aca="false">IFERROR($N$10+$N$9*$AF41,"")</f>
        <v>40.438593583827</v>
      </c>
      <c r="AH41" s="40" t="n">
        <f aca="false">IFERROR($N$21-$N$26*EXP(-$AF41/$N$24),"")</f>
        <v>40.0722294288721</v>
      </c>
      <c r="AI41" s="41" t="n">
        <f aca="false">IFERROR(1/(1-EXP(-EXP(-$AF41))),"")</f>
        <v>122.011103330215</v>
      </c>
    </row>
    <row r="42" customFormat="false" ht="15" hidden="false" customHeight="false" outlineLevel="0" collapsed="false">
      <c r="A42" s="32" t="n">
        <v>36</v>
      </c>
      <c r="B42" s="33" t="n">
        <f aca="false">IF($A42&lt;=データ入力!$B$8,1,0)</f>
        <v>1</v>
      </c>
      <c r="C42" s="34" t="n">
        <f aca="false">IF($B42=1,LARGE(データ入力!$B$12:$B$211,$A42),0)</f>
        <v>35</v>
      </c>
      <c r="D42" s="32" t="n">
        <f aca="false">IF($B42=1,IFERROR(INDEX(データ入力!$A$12:$A$211,MATCH($C42,データ入力!$B$12:$B$211,0)),""),"")</f>
        <v>1960</v>
      </c>
      <c r="E42" s="35" t="n">
        <f aca="false">IF($B42=1,1-$A42/(データ入力!$B$8+1),0)</f>
        <v>0.526315789473684</v>
      </c>
      <c r="F42" s="36" t="n">
        <f aca="false">IF($B42=1,(データ入力!$B$8+1)/$A42,"")</f>
        <v>2.11111111111111</v>
      </c>
      <c r="G42" s="37" t="n">
        <f aca="false">IF($B42=1,-LN(-LN($E42)),0)</f>
        <v>0.443394592826866</v>
      </c>
      <c r="H42" s="37" t="n">
        <f aca="false">IF($B42=1,LN(-LN($E42)),0)</f>
        <v>-0.443394592826866</v>
      </c>
      <c r="I42" s="36" t="n">
        <f aca="false">IF($B42=1,IFERROR($C42-($N$10+$N$9*$G42),""),"")</f>
        <v>0.00865366108241972</v>
      </c>
      <c r="J42" s="36" t="n">
        <f aca="false">IF($B42=1,IFERROR($C42-($N$21-$N$26*EXP(-$G42/$N$24)),""),"")</f>
        <v>-0.0340064330392238</v>
      </c>
      <c r="T42" s="38" t="n">
        <f aca="false">IFERROR($R$6+($A42-1)*$R$5,"")</f>
        <v>56.95</v>
      </c>
      <c r="U42" s="38" t="n">
        <f aca="false">IFERROR(SUMPRODUCT($B$7:$B$206,LN($T42-$C$7:$C$206)),"")</f>
        <v>231.022934894395</v>
      </c>
      <c r="V42" s="38" t="n">
        <f aca="false">IFERROR(SUMPRODUCT($B$7:$B$206,LN($T42-$C$7:$C$206),LN($T42-$C$7:$C$206)),"")</f>
        <v>711.992808359739</v>
      </c>
      <c r="W42" s="38" t="n">
        <f aca="false">IFERROR(SUMPRODUCT($B$7:$B$206,LN($T42-$C$7:$C$206),$H$7:$H$206),"")</f>
        <v>-122.160716330857</v>
      </c>
      <c r="X42" s="39" t="n">
        <f aca="false">IFERROR((データ入力!$B$8*W42-U42*$N$22)/SQRT((データ入力!$B$8*V42-U42^2)*(データ入力!$B$8*$N$23-$N$22^2)),-1)</f>
        <v>0.997011888754049</v>
      </c>
      <c r="Z42" s="38" t="n">
        <f aca="false">IFERROR($R$10+($A42-1)*$R$9,"")</f>
        <v>59.1258793969849</v>
      </c>
      <c r="AA42" s="38" t="n">
        <f aca="false">IFERROR(SUMPRODUCT($B$7:$B$206,LN($Z42-$C$7:$C$206)),"")</f>
        <v>238.184840119315</v>
      </c>
      <c r="AB42" s="38" t="n">
        <f aca="false">IFERROR(SUMPRODUCT($B$7:$B$206,LN($Z42-$C$7:$C$206),LN($Z42-$C$7:$C$206)),"")</f>
        <v>756.732211158888</v>
      </c>
      <c r="AC42" s="38" t="n">
        <f aca="false">IFERROR(SUMPRODUCT($B$7:$B$206,LN($Z42-$C$7:$C$206),$H$7:$H$206),"")</f>
        <v>-126.727249541867</v>
      </c>
      <c r="AD42" s="39" t="n">
        <f aca="false">IFERROR((データ入力!$B$8*AC42-AA42*$N$22)/SQRT((データ入力!$B$8*AB42-AA42^2)*(データ入力!$B$8*$N$23-$N$22^2)),-1)</f>
        <v>0.997026840982768</v>
      </c>
      <c r="AF42" s="40" t="n">
        <v>5</v>
      </c>
      <c r="AG42" s="40" t="n">
        <f aca="false">IFERROR($N$10+$N$9*$AF42,"")</f>
        <v>40.6886620080153</v>
      </c>
      <c r="AH42" s="40" t="n">
        <f aca="false">IFERROR($N$21-$N$26*EXP(-$AF42/$N$24),"")</f>
        <v>40.2767561149863</v>
      </c>
      <c r="AI42" s="41" t="n">
        <f aca="false">IFERROR(1/(1-EXP(-EXP(-$AF42))),"")</f>
        <v>148.913720597735</v>
      </c>
    </row>
    <row r="43" customFormat="false" ht="15" hidden="false" customHeight="false" outlineLevel="0" collapsed="false">
      <c r="A43" s="32" t="n">
        <v>37</v>
      </c>
      <c r="B43" s="33" t="n">
        <f aca="false">IF($A43&lt;=データ入力!$B$8,1,0)</f>
        <v>1</v>
      </c>
      <c r="C43" s="34" t="n">
        <f aca="false">IF($B43=1,LARGE(データ入力!$B$12:$B$211,$A43),0)</f>
        <v>35</v>
      </c>
      <c r="D43" s="32" t="n">
        <f aca="false">IF($B43=1,IFERROR(INDEX(データ入力!$A$12:$A$211,MATCH($C43,データ入力!$B$12:$B$211,0)),""),"")</f>
        <v>1960</v>
      </c>
      <c r="E43" s="35" t="n">
        <f aca="false">IF($B43=1,1-$A43/(データ入力!$B$8+1),0)</f>
        <v>0.513157894736842</v>
      </c>
      <c r="F43" s="36" t="n">
        <f aca="false">IF($B43=1,(データ入力!$B$8+1)/$A43,"")</f>
        <v>2.05405405405405</v>
      </c>
      <c r="G43" s="37" t="n">
        <f aca="false">IF($B43=1,-LN(-LN($E43)),0)</f>
        <v>0.404707853662671</v>
      </c>
      <c r="H43" s="37" t="n">
        <f aca="false">IF($B43=1,LN(-LN($E43)),0)</f>
        <v>-0.404707853662671</v>
      </c>
      <c r="I43" s="36" t="n">
        <f aca="false">IF($B43=1,IFERROR($C43-($N$10+$N$9*$G43),""),"")</f>
        <v>0.0570253205812818</v>
      </c>
      <c r="J43" s="36" t="n">
        <f aca="false">IF($B43=1,IFERROR($C43-($N$21-$N$26*EXP(-$G43/$N$24)),""),"")</f>
        <v>0.0161488591480108</v>
      </c>
      <c r="T43" s="38" t="n">
        <f aca="false">IFERROR($R$6+($A43-1)*$R$5,"")</f>
        <v>57.45</v>
      </c>
      <c r="U43" s="38" t="n">
        <f aca="false">IFERROR(SUMPRODUCT($B$7:$B$206,LN($T43-$C$7:$C$206)),"")</f>
        <v>232.730546679209</v>
      </c>
      <c r="V43" s="38" t="n">
        <f aca="false">IFERROR(SUMPRODUCT($B$7:$B$206,LN($T43-$C$7:$C$206),LN($T43-$C$7:$C$206)),"")</f>
        <v>722.53461063494</v>
      </c>
      <c r="W43" s="38" t="n">
        <f aca="false">IFERROR(SUMPRODUCT($B$7:$B$206,LN($T43-$C$7:$C$206),$H$7:$H$206),"")</f>
        <v>-123.254945755261</v>
      </c>
      <c r="X43" s="39" t="n">
        <f aca="false">IFERROR((データ入力!$B$8*W43-U43*$N$22)/SQRT((データ入力!$B$8*V43-U43^2)*(データ入力!$B$8*$N$23-$N$22^2)),-1)</f>
        <v>0.997017776266381</v>
      </c>
      <c r="Z43" s="38" t="n">
        <f aca="false">IFERROR($R$10+($A43-1)*$R$9,"")</f>
        <v>59.1309045226131</v>
      </c>
      <c r="AA43" s="38" t="n">
        <f aca="false">IFERROR(SUMPRODUCT($B$7:$B$206,LN($Z43-$C$7:$C$206)),"")</f>
        <v>238.200610062677</v>
      </c>
      <c r="AB43" s="38" t="n">
        <f aca="false">IFERROR(SUMPRODUCT($B$7:$B$206,LN($Z43-$C$7:$C$206),LN($Z43-$C$7:$C$206)),"")</f>
        <v>756.832247061689</v>
      </c>
      <c r="AC43" s="38" t="n">
        <f aca="false">IFERROR(SUMPRODUCT($B$7:$B$206,LN($Z43-$C$7:$C$206),$H$7:$H$206),"")</f>
        <v>-126.737240461898</v>
      </c>
      <c r="AD43" s="39" t="n">
        <f aca="false">IFERROR((データ入力!$B$8*AC43-AA43*$N$22)/SQRT((データ入力!$B$8*AB43-AA43^2)*(データ入力!$B$8*$N$23-$N$22^2)),-1)</f>
        <v>0.997026847777794</v>
      </c>
      <c r="AF43" s="40" t="n">
        <v>5.2</v>
      </c>
      <c r="AG43" s="40" t="n">
        <f aca="false">IFERROR($N$10+$N$9*$AF43,"")</f>
        <v>40.9387304322035</v>
      </c>
      <c r="AH43" s="40" t="n">
        <f aca="false">IFERROR($N$21-$N$26*EXP(-$AF43/$N$24),"")</f>
        <v>40.4791260394551</v>
      </c>
      <c r="AI43" s="41" t="n">
        <f aca="false">IFERROR(1/(1-EXP(-EXP(-$AF43))),"")</f>
        <v>181.772701588619</v>
      </c>
    </row>
    <row r="44" customFormat="false" ht="15" hidden="false" customHeight="false" outlineLevel="0" collapsed="false">
      <c r="A44" s="32" t="n">
        <v>38</v>
      </c>
      <c r="B44" s="33" t="n">
        <f aca="false">IF($A44&lt;=データ入力!$B$8,1,0)</f>
        <v>1</v>
      </c>
      <c r="C44" s="34" t="n">
        <f aca="false">IF($B44=1,LARGE(データ入力!$B$12:$B$211,$A44),0)</f>
        <v>35</v>
      </c>
      <c r="D44" s="32" t="n">
        <f aca="false">IF($B44=1,IFERROR(INDEX(データ入力!$A$12:$A$211,MATCH($C44,データ入力!$B$12:$B$211,0)),""),"")</f>
        <v>1960</v>
      </c>
      <c r="E44" s="35" t="n">
        <f aca="false">IF($B44=1,1-$A44/(データ入力!$B$8+1),0)</f>
        <v>0.5</v>
      </c>
      <c r="F44" s="36" t="n">
        <f aca="false">IF($B44=1,(データ入力!$B$8+1)/$A44,"")</f>
        <v>2</v>
      </c>
      <c r="G44" s="37" t="n">
        <f aca="false">IF($B44=1,-LN(-LN($E44)),0)</f>
        <v>0.366512920581664</v>
      </c>
      <c r="H44" s="37" t="n">
        <f aca="false">IF($B44=1,LN(-LN($E44)),0)</f>
        <v>-0.366512920581664</v>
      </c>
      <c r="I44" s="36" t="n">
        <f aca="false">IF($B44=1,IFERROR($C44-($N$10+$N$9*$G44),""),"")</f>
        <v>0.104782054219001</v>
      </c>
      <c r="J44" s="36" t="n">
        <f aca="false">IF($B44=1,IFERROR($C44-($N$21-$N$26*EXP(-$G44/$N$24)),""),"")</f>
        <v>0.0657675499729393</v>
      </c>
      <c r="T44" s="38" t="n">
        <f aca="false">IFERROR($R$6+($A44-1)*$R$5,"")</f>
        <v>57.95</v>
      </c>
      <c r="U44" s="38" t="n">
        <f aca="false">IFERROR(SUMPRODUCT($B$7:$B$206,LN($T44-$C$7:$C$206)),"")</f>
        <v>234.399956749974</v>
      </c>
      <c r="V44" s="38" t="n">
        <f aca="false">IFERROR(SUMPRODUCT($B$7:$B$206,LN($T44-$C$7:$C$206),LN($T44-$C$7:$C$206)),"")</f>
        <v>732.916512158018</v>
      </c>
      <c r="W44" s="38" t="n">
        <f aca="false">IFERROR(SUMPRODUCT($B$7:$B$206,LN($T44-$C$7:$C$206),$H$7:$H$206),"")</f>
        <v>-124.321345160217</v>
      </c>
      <c r="X44" s="39" t="n">
        <f aca="false">IFERROR((データ入力!$B$8*W44-U44*$N$22)/SQRT((データ入力!$B$8*V44-U44^2)*(データ入力!$B$8*$N$23-$N$22^2)),-1)</f>
        <v>0.997022051550225</v>
      </c>
      <c r="Z44" s="38" t="n">
        <f aca="false">IFERROR($R$10+($A44-1)*$R$9,"")</f>
        <v>59.1359296482412</v>
      </c>
      <c r="AA44" s="38" t="n">
        <f aca="false">IFERROR(SUMPRODUCT($B$7:$B$206,LN($Z44-$C$7:$C$206)),"")</f>
        <v>238.216376676625</v>
      </c>
      <c r="AB44" s="38" t="n">
        <f aca="false">IFERROR(SUMPRODUCT($B$7:$B$206,LN($Z44-$C$7:$C$206),LN($Z44-$C$7:$C$206)),"")</f>
        <v>756.932268531889</v>
      </c>
      <c r="AC44" s="38" t="n">
        <f aca="false">IFERROR(SUMPRODUCT($B$7:$B$206,LN($Z44-$C$7:$C$206),$H$7:$H$206),"")</f>
        <v>-126.747229000598</v>
      </c>
      <c r="AD44" s="39" t="n">
        <f aca="false">IFERROR((データ入力!$B$8*AC44-AA44*$N$22)/SQRT((データ入力!$B$8*AB44-AA44^2)*(データ入力!$B$8*$N$23-$N$22^2)),-1)</f>
        <v>0.997026854468259</v>
      </c>
      <c r="AF44" s="40" t="n">
        <v>5.4</v>
      </c>
      <c r="AG44" s="40" t="n">
        <f aca="false">IFERROR($N$10+$N$9*$AF44,"")</f>
        <v>41.1887988563918</v>
      </c>
      <c r="AH44" s="40" t="n">
        <f aca="false">IFERROR($N$21-$N$26*EXP(-$AF44/$N$24),"")</f>
        <v>40.6793619456227</v>
      </c>
      <c r="AI44" s="41" t="n">
        <f aca="false">IFERROR(1/(1-EXP(-EXP(-$AF44))),"")</f>
        <v>221.906792585805</v>
      </c>
    </row>
    <row r="45" customFormat="false" ht="15" hidden="false" customHeight="false" outlineLevel="0" collapsed="false">
      <c r="A45" s="32" t="n">
        <v>39</v>
      </c>
      <c r="B45" s="33" t="n">
        <f aca="false">IF($A45&lt;=データ入力!$B$8,1,0)</f>
        <v>1</v>
      </c>
      <c r="C45" s="34" t="n">
        <f aca="false">IF($B45=1,LARGE(データ入力!$B$12:$B$211,$A45),0)</f>
        <v>34.9</v>
      </c>
      <c r="D45" s="32" t="n">
        <f aca="false">IF($B45=1,IFERROR(INDEX(データ入力!$A$12:$A$211,MATCH($C45,データ入力!$B$12:$B$211,0)),""),"")</f>
        <v>1954</v>
      </c>
      <c r="E45" s="35" t="n">
        <f aca="false">IF($B45=1,1-$A45/(データ入力!$B$8+1),0)</f>
        <v>0.486842105263158</v>
      </c>
      <c r="F45" s="36" t="n">
        <f aca="false">IF($B45=1,(データ入力!$B$8+1)/$A45,"")</f>
        <v>1.94871794871795</v>
      </c>
      <c r="G45" s="37" t="n">
        <f aca="false">IF($B45=1,-LN(-LN($E45)),0)</f>
        <v>0.328760450332515</v>
      </c>
      <c r="H45" s="37" t="n">
        <f aca="false">IF($B45=1,LN(-LN($E45)),0)</f>
        <v>-0.328760450332515</v>
      </c>
      <c r="I45" s="36" t="n">
        <f aca="false">IF($B45=1,IFERROR($C45-($N$10+$N$9*$G45),""),"")</f>
        <v>0.0519855579410944</v>
      </c>
      <c r="J45" s="36" t="n">
        <f aca="false">IF($B45=1,IFERROR($C45-($N$21-$N$26*EXP(-$G45/$N$24)),""),"")</f>
        <v>0.014910257130154</v>
      </c>
      <c r="T45" s="38" t="n">
        <f aca="false">IFERROR($R$6+($A45-1)*$R$5,"")</f>
        <v>58.45</v>
      </c>
      <c r="U45" s="38" t="n">
        <f aca="false">IFERROR(SUMPRODUCT($B$7:$B$206,LN($T45-$C$7:$C$206)),"")</f>
        <v>236.032845304756</v>
      </c>
      <c r="V45" s="38" t="n">
        <f aca="false">IFERROR(SUMPRODUCT($B$7:$B$206,LN($T45-$C$7:$C$206),LN($T45-$C$7:$C$206)),"")</f>
        <v>743.143885309402</v>
      </c>
      <c r="W45" s="38" t="n">
        <f aca="false">IFERROR(SUMPRODUCT($B$7:$B$206,LN($T45-$C$7:$C$206),$H$7:$H$206),"")</f>
        <v>-125.36129048184</v>
      </c>
      <c r="X45" s="39" t="n">
        <f aca="false">IFERROR((データ入力!$B$8*W45-U45*$N$22)/SQRT((データ入力!$B$8*V45-U45^2)*(データ入力!$B$8*$N$23-$N$22^2)),-1)</f>
        <v>0.99702491366125</v>
      </c>
      <c r="Z45" s="38" t="n">
        <f aca="false">IFERROR($R$10+($A45-1)*$R$9,"")</f>
        <v>59.1409547738693</v>
      </c>
      <c r="AA45" s="38" t="n">
        <f aca="false">IFERROR(SUMPRODUCT($B$7:$B$206,LN($Z45-$C$7:$C$206)),"")</f>
        <v>238.23213996257</v>
      </c>
      <c r="AB45" s="38" t="n">
        <f aca="false">IFERROR(SUMPRODUCT($B$7:$B$206,LN($Z45-$C$7:$C$206),LN($Z45-$C$7:$C$206)),"")</f>
        <v>757.032275574182</v>
      </c>
      <c r="AC45" s="38" t="n">
        <f aca="false">IFERROR(SUMPRODUCT($B$7:$B$206,LN($Z45-$C$7:$C$206),$H$7:$H$206),"")</f>
        <v>-126.757215159098</v>
      </c>
      <c r="AD45" s="39" t="n">
        <f aca="false">IFERROR((データ入力!$B$8*AC45-AA45*$N$22)/SQRT((データ入力!$B$8*AB45-AA45^2)*(データ入力!$B$8*$N$23-$N$22^2)),-1)</f>
        <v>0.997026861053837</v>
      </c>
      <c r="AF45" s="40" t="n">
        <v>5.6</v>
      </c>
      <c r="AG45" s="40" t="n">
        <f aca="false">IFERROR($N$10+$N$9*$AF45,"")</f>
        <v>41.4388672805801</v>
      </c>
      <c r="AH45" s="40" t="n">
        <f aca="false">IFERROR($N$21-$N$26*EXP(-$AF45/$N$24),"")</f>
        <v>40.8774863370016</v>
      </c>
      <c r="AI45" s="41" t="n">
        <f aca="false">IFERROR(1/(1-EXP(-EXP(-$AF45))),"")</f>
        <v>270.926715581393</v>
      </c>
    </row>
    <row r="46" customFormat="false" ht="15" hidden="false" customHeight="false" outlineLevel="0" collapsed="false">
      <c r="A46" s="32" t="n">
        <v>40</v>
      </c>
      <c r="B46" s="33" t="n">
        <f aca="false">IF($A46&lt;=データ入力!$B$8,1,0)</f>
        <v>1</v>
      </c>
      <c r="C46" s="34" t="n">
        <f aca="false">IF($B46=1,LARGE(データ入力!$B$12:$B$211,$A46),0)</f>
        <v>34.9</v>
      </c>
      <c r="D46" s="32" t="n">
        <f aca="false">IF($B46=1,IFERROR(INDEX(データ入力!$A$12:$A$211,MATCH($C46,データ入力!$B$12:$B$211,0)),""),"")</f>
        <v>1954</v>
      </c>
      <c r="E46" s="35" t="n">
        <f aca="false">IF($B46=1,1-$A46/(データ入力!$B$8+1),0)</f>
        <v>0.473684210526316</v>
      </c>
      <c r="F46" s="36" t="n">
        <f aca="false">IF($B46=1,(データ入力!$B$8+1)/$A46,"")</f>
        <v>1.9</v>
      </c>
      <c r="G46" s="37" t="n">
        <f aca="false">IF($B46=1,-LN(-LN($E46)),0)</f>
        <v>0.291403117855206</v>
      </c>
      <c r="H46" s="37" t="n">
        <f aca="false">IF($B46=1,LN(-LN($E46)),0)</f>
        <v>-0.291403117855206</v>
      </c>
      <c r="I46" s="36" t="n">
        <f aca="false">IF($B46=1,IFERROR($C46-($N$10+$N$9*$G46),""),"")</f>
        <v>0.0986950042634831</v>
      </c>
      <c r="J46" s="36" t="n">
        <f aca="false">IF($B46=1,IFERROR($C46-($N$21-$N$26*EXP(-$G46/$N$24)),""),"")</f>
        <v>0.0636355070404022</v>
      </c>
      <c r="T46" s="38" t="n">
        <f aca="false">IFERROR($R$6+($A46-1)*$R$5,"")</f>
        <v>58.95</v>
      </c>
      <c r="U46" s="38" t="n">
        <f aca="false">IFERROR(SUMPRODUCT($B$7:$B$206,LN($T46-$C$7:$C$206)),"")</f>
        <v>237.630783533023</v>
      </c>
      <c r="V46" s="38" t="n">
        <f aca="false">IFERROR(SUMPRODUCT($B$7:$B$206,LN($T46-$C$7:$C$206),LN($T46-$C$7:$C$206)),"")</f>
        <v>753.221825358665</v>
      </c>
      <c r="W46" s="38" t="n">
        <f aca="false">IFERROR(SUMPRODUCT($B$7:$B$206,LN($T46-$C$7:$C$206),$H$7:$H$206),"")</f>
        <v>-126.376058253722</v>
      </c>
      <c r="X46" s="39" t="n">
        <f aca="false">IFERROR((データ入力!$B$8*W46-U46*$N$22)/SQRT((データ入力!$B$8*V46-U46^2)*(データ入力!$B$8*$N$23-$N$22^2)),-1)</f>
        <v>0.997026536129273</v>
      </c>
      <c r="Z46" s="38" t="n">
        <f aca="false">IFERROR($R$10+($A46-1)*$R$9,"")</f>
        <v>59.1459798994975</v>
      </c>
      <c r="AA46" s="38" t="n">
        <f aca="false">IFERROR(SUMPRODUCT($B$7:$B$206,LN($Z46-$C$7:$C$206)),"")</f>
        <v>238.247899921923</v>
      </c>
      <c r="AB46" s="38" t="n">
        <f aca="false">IFERROR(SUMPRODUCT($B$7:$B$206,LN($Z46-$C$7:$C$206),LN($Z46-$C$7:$C$206)),"")</f>
        <v>757.132268193264</v>
      </c>
      <c r="AC46" s="38" t="n">
        <f aca="false">IFERROR(SUMPRODUCT($B$7:$B$206,LN($Z46-$C$7:$C$206),$H$7:$H$206),"")</f>
        <v>-126.767198938528</v>
      </c>
      <c r="AD46" s="39" t="n">
        <f aca="false">IFERROR((データ入力!$B$8*AC46-AA46*$N$22)/SQRT((データ入力!$B$8*AB46-AA46^2)*(データ入力!$B$8*$N$23-$N$22^2)),-1)</f>
        <v>0.997026867535116</v>
      </c>
      <c r="AF46" s="40" t="n">
        <v>5.8</v>
      </c>
      <c r="AG46" s="40" t="n">
        <f aca="false">IFERROR($N$10+$N$9*$AF46,"")</f>
        <v>41.6889357047684</v>
      </c>
      <c r="AH46" s="40" t="n">
        <f aca="false">IFERROR($N$21-$N$26*EXP(-$AF46/$N$24),"")</f>
        <v>41.0735214798014</v>
      </c>
      <c r="AI46" s="41" t="n">
        <f aca="false">IFERROR(1/(1-EXP(-EXP(-$AF46))),"")</f>
        <v>330.799812205837</v>
      </c>
    </row>
    <row r="47" customFormat="false" ht="15" hidden="false" customHeight="false" outlineLevel="0" collapsed="false">
      <c r="A47" s="32" t="n">
        <v>41</v>
      </c>
      <c r="B47" s="33" t="n">
        <f aca="false">IF($A47&lt;=データ入力!$B$8,1,0)</f>
        <v>1</v>
      </c>
      <c r="C47" s="34" t="n">
        <f aca="false">IF($B47=1,LARGE(データ入力!$B$12:$B$211,$A47),0)</f>
        <v>34.9</v>
      </c>
      <c r="D47" s="32" t="n">
        <f aca="false">IF($B47=1,IFERROR(INDEX(データ入力!$A$12:$A$211,MATCH($C47,データ入力!$B$12:$B$211,0)),""),"")</f>
        <v>1954</v>
      </c>
      <c r="E47" s="35" t="n">
        <f aca="false">IF($B47=1,1-$A47/(データ入力!$B$8+1),0)</f>
        <v>0.460526315789474</v>
      </c>
      <c r="F47" s="36" t="n">
        <f aca="false">IF($B47=1,(データ入力!$B$8+1)/$A47,"")</f>
        <v>1.85365853658537</v>
      </c>
      <c r="G47" s="37" t="n">
        <f aca="false">IF($B47=1,-LN(-LN($E47)),0)</f>
        <v>0.254395239227418</v>
      </c>
      <c r="H47" s="37" t="n">
        <f aca="false">IF($B47=1,LN(-LN($E47)),0)</f>
        <v>-0.254395239227418</v>
      </c>
      <c r="I47" s="36" t="n">
        <f aca="false">IF($B47=1,IFERROR($C47-($N$10+$N$9*$G47),""),"")</f>
        <v>0.144967513718491</v>
      </c>
      <c r="J47" s="36" t="n">
        <f aca="false">IF($B47=1,IFERROR($C47-($N$21-$N$26*EXP(-$G47/$N$24)),""),"")</f>
        <v>0.112000190896097</v>
      </c>
      <c r="T47" s="38" t="n">
        <f aca="false">IFERROR($R$6+($A47-1)*$R$5,"")</f>
        <v>59.45</v>
      </c>
      <c r="U47" s="38" t="n">
        <f aca="false">IFERROR(SUMPRODUCT($B$7:$B$206,LN($T47-$C$7:$C$206)),"")</f>
        <v>239.195242892425</v>
      </c>
      <c r="V47" s="38" t="n">
        <f aca="false">IFERROR(SUMPRODUCT($B$7:$B$206,LN($T47-$C$7:$C$206),LN($T47-$C$7:$C$206)),"")</f>
        <v>763.1551695094</v>
      </c>
      <c r="W47" s="38" t="n">
        <f aca="false">IFERROR(SUMPRODUCT($B$7:$B$206,LN($T47-$C$7:$C$206),$H$7:$H$206),"")</f>
        <v>-127.366834950371</v>
      </c>
      <c r="X47" s="39" t="n">
        <f aca="false">IFERROR((データ入力!$B$8*W47-U47*$N$22)/SQRT((データ入力!$B$8*V47-U47^2)*(データ入力!$B$8*$N$23-$N$22^2)),-1)</f>
        <v>0.99702707058527</v>
      </c>
      <c r="Z47" s="38" t="n">
        <f aca="false">IFERROR($R$10+($A47-1)*$R$9,"")</f>
        <v>59.1510050251256</v>
      </c>
      <c r="AA47" s="38" t="n">
        <f aca="false">IFERROR(SUMPRODUCT($B$7:$B$206,LN($Z47-$C$7:$C$206)),"")</f>
        <v>238.263656556095</v>
      </c>
      <c r="AB47" s="38" t="n">
        <f aca="false">IFERROR(SUMPRODUCT($B$7:$B$206,LN($Z47-$C$7:$C$206),LN($Z47-$C$7:$C$206)),"")</f>
        <v>757.232246393824</v>
      </c>
      <c r="AC47" s="38" t="n">
        <f aca="false">IFERROR(SUMPRODUCT($B$7:$B$206,LN($Z47-$C$7:$C$206),$H$7:$H$206),"")</f>
        <v>-126.777180340018</v>
      </c>
      <c r="AD47" s="39" t="n">
        <f aca="false">IFERROR((データ入力!$B$8*AC47-AA47*$N$22)/SQRT((データ入力!$B$8*AB47-AA47^2)*(データ入力!$B$8*$N$23-$N$22^2)),-1)</f>
        <v>0.997026873911862</v>
      </c>
      <c r="AF47" s="40" t="n">
        <v>6</v>
      </c>
      <c r="AG47" s="40" t="n">
        <f aca="false">IFERROR($N$10+$N$9*$AF47,"")</f>
        <v>41.9390041289566</v>
      </c>
      <c r="AH47" s="40" t="n">
        <f aca="false">IFERROR($N$21-$N$26*EXP(-$AF47/$N$24),"")</f>
        <v>41.267489405432</v>
      </c>
      <c r="AI47" s="41" t="n">
        <f aca="false">IFERROR(1/(1-EXP(-EXP(-$AF47))),"")</f>
        <v>403.929000055387</v>
      </c>
    </row>
    <row r="48" customFormat="false" ht="15" hidden="false" customHeight="false" outlineLevel="0" collapsed="false">
      <c r="A48" s="32" t="n">
        <v>42</v>
      </c>
      <c r="B48" s="33" t="n">
        <f aca="false">IF($A48&lt;=データ入力!$B$8,1,0)</f>
        <v>1</v>
      </c>
      <c r="C48" s="34" t="n">
        <f aca="false">IF($B48=1,LARGE(データ入力!$B$12:$B$211,$A48),0)</f>
        <v>34.9</v>
      </c>
      <c r="D48" s="32" t="n">
        <f aca="false">IF($B48=1,IFERROR(INDEX(データ入力!$A$12:$A$211,MATCH($C48,データ入力!$B$12:$B$211,0)),""),"")</f>
        <v>1954</v>
      </c>
      <c r="E48" s="35" t="n">
        <f aca="false">IF($B48=1,1-$A48/(データ入力!$B$8+1),0)</f>
        <v>0.447368421052632</v>
      </c>
      <c r="F48" s="36" t="n">
        <f aca="false">IF($B48=1,(データ入力!$B$8+1)/$A48,"")</f>
        <v>1.80952380952381</v>
      </c>
      <c r="G48" s="37" t="n">
        <f aca="false">IF($B48=1,-LN(-LN($E48)),0)</f>
        <v>0.217692416196994</v>
      </c>
      <c r="H48" s="37" t="n">
        <f aca="false">IF($B48=1,LN(-LN($E48)),0)</f>
        <v>-0.217692416196994</v>
      </c>
      <c r="I48" s="36" t="n">
        <f aca="false">IF($B48=1,IFERROR($C48-($N$10+$N$9*$G48),""),"")</f>
        <v>0.190858599310893</v>
      </c>
      <c r="J48" s="36" t="n">
        <f aca="false">IF($B48=1,IFERROR($C48-($N$21-$N$26*EXP(-$G48/$N$24)),""),"")</f>
        <v>0.160060000186427</v>
      </c>
      <c r="T48" s="38" t="n">
        <f aca="false">IFERROR($R$6+($A48-1)*$R$5,"")</f>
        <v>59.95</v>
      </c>
      <c r="U48" s="38" t="n">
        <f aca="false">IFERROR(SUMPRODUCT($B$7:$B$206,LN($T48-$C$7:$C$206)),"")</f>
        <v>240.727603414404</v>
      </c>
      <c r="V48" s="38" t="n">
        <f aca="false">IFERROR(SUMPRODUCT($B$7:$B$206,LN($T48-$C$7:$C$206),LN($T48-$C$7:$C$206)),"")</f>
        <v>772.948514328633</v>
      </c>
      <c r="W48" s="38" t="n">
        <f aca="false">IFERROR(SUMPRODUCT($B$7:$B$206,LN($T48-$C$7:$C$206),$H$7:$H$206),"")</f>
        <v>-128.334725257924</v>
      </c>
      <c r="X48" s="39" t="n">
        <f aca="false">IFERROR((データ入力!$B$8*W48-U48*$N$22)/SQRT((データ入力!$B$8*V48-U48^2)*(データ入力!$B$8*$N$23-$N$22^2)),-1)</f>
        <v>0.997026649812626</v>
      </c>
      <c r="Z48" s="38" t="n">
        <f aca="false">IFERROR($R$10+($A48-1)*$R$9,"")</f>
        <v>59.1560301507538</v>
      </c>
      <c r="AA48" s="38" t="n">
        <f aca="false">IFERROR(SUMPRODUCT($B$7:$B$206,LN($Z48-$C$7:$C$206)),"")</f>
        <v>238.279409866494</v>
      </c>
      <c r="AB48" s="38" t="n">
        <f aca="false">IFERROR(SUMPRODUCT($B$7:$B$206,LN($Z48-$C$7:$C$206),LN($Z48-$C$7:$C$206)),"")</f>
        <v>757.332210180551</v>
      </c>
      <c r="AC48" s="38" t="n">
        <f aca="false">IFERROR(SUMPRODUCT($B$7:$B$206,LN($Z48-$C$7:$C$206),$H$7:$H$206),"")</f>
        <v>-126.787159364696</v>
      </c>
      <c r="AD48" s="39" t="n">
        <f aca="false">IFERROR((データ入力!$B$8*AC48-AA48*$N$22)/SQRT((データ入力!$B$8*AB48-AA48^2)*(データ入力!$B$8*$N$23-$N$22^2)),-1)</f>
        <v>0.997026880184616</v>
      </c>
    </row>
    <row r="49" customFormat="false" ht="15" hidden="false" customHeight="false" outlineLevel="0" collapsed="false">
      <c r="A49" s="32" t="n">
        <v>43</v>
      </c>
      <c r="B49" s="33" t="n">
        <f aca="false">IF($A49&lt;=データ入力!$B$8,1,0)</f>
        <v>1</v>
      </c>
      <c r="C49" s="34" t="n">
        <f aca="false">IF($B49=1,LARGE(データ入力!$B$12:$B$211,$A49),0)</f>
        <v>34.8</v>
      </c>
      <c r="D49" s="32" t="n">
        <f aca="false">IF($B49=1,IFERROR(INDEX(データ入力!$A$12:$A$211,MATCH($C49,データ入力!$B$12:$B$211,0)),""),"")</f>
        <v>1986</v>
      </c>
      <c r="E49" s="35" t="n">
        <f aca="false">IF($B49=1,1-$A49/(データ入力!$B$8+1),0)</f>
        <v>0.43421052631579</v>
      </c>
      <c r="F49" s="36" t="n">
        <f aca="false">IF($B49=1,(データ入力!$B$8+1)/$A49,"")</f>
        <v>1.76744186046512</v>
      </c>
      <c r="G49" s="37" t="n">
        <f aca="false">IF($B49=1,-LN(-LN($E49)),0)</f>
        <v>0.181251195251485</v>
      </c>
      <c r="H49" s="37" t="n">
        <f aca="false">IF($B49=1,LN(-LN($E49)),0)</f>
        <v>-0.181251195251485</v>
      </c>
      <c r="I49" s="36" t="n">
        <f aca="false">IF($B49=1,IFERROR($C49-($N$10+$N$9*$G49),""),"")</f>
        <v>0.136422592797587</v>
      </c>
      <c r="J49" s="36" t="n">
        <f aca="false">IF($B49=1,IFERROR($C49-($N$21-$N$26*EXP(-$G49/$N$24)),""),"")</f>
        <v>0.107869850280323</v>
      </c>
      <c r="T49" s="38" t="n">
        <f aca="false">IFERROR($R$6+($A49-1)*$R$5,"")</f>
        <v>60.45</v>
      </c>
      <c r="U49" s="38" t="n">
        <f aca="false">IFERROR(SUMPRODUCT($B$7:$B$206,LN($T49-$C$7:$C$206)),"")</f>
        <v>242.229161158741</v>
      </c>
      <c r="V49" s="38" t="n">
        <f aca="false">IFERROR(SUMPRODUCT($B$7:$B$206,LN($T49-$C$7:$C$206),LN($T49-$C$7:$C$206)),"")</f>
        <v>782.606231721728</v>
      </c>
      <c r="W49" s="38" t="n">
        <f aca="false">IFERROR(SUMPRODUCT($B$7:$B$206,LN($T49-$C$7:$C$206),$H$7:$H$206),"")</f>
        <v>-129.280759416719</v>
      </c>
      <c r="X49" s="39" t="n">
        <f aca="false">IFERROR((データ入力!$B$8*W49-U49*$N$22)/SQRT((データ入力!$B$8*V49-U49^2)*(データ入力!$B$8*$N$23-$N$22^2)),-1)</f>
        <v>0.997025390327061</v>
      </c>
      <c r="Z49" s="38" t="n">
        <f aca="false">IFERROR($R$10+($A49-1)*$R$9,"")</f>
        <v>59.1610552763819</v>
      </c>
      <c r="AA49" s="38" t="n">
        <f aca="false">IFERROR(SUMPRODUCT($B$7:$B$206,LN($Z49-$C$7:$C$206)),"")</f>
        <v>238.295159854529</v>
      </c>
      <c r="AB49" s="38" t="n">
        <f aca="false">IFERROR(SUMPRODUCT($B$7:$B$206,LN($Z49-$C$7:$C$206),LN($Z49-$C$7:$C$206)),"")</f>
        <v>757.432159558131</v>
      </c>
      <c r="AC49" s="38" t="n">
        <f aca="false">IFERROR(SUMPRODUCT($B$7:$B$206,LN($Z49-$C$7:$C$206),$H$7:$H$206),"")</f>
        <v>-126.797136013689</v>
      </c>
      <c r="AD49" s="39" t="n">
        <f aca="false">IFERROR((データ入力!$B$8*AC49-AA49*$N$22)/SQRT((データ入力!$B$8*AB49-AA49^2)*(データ入力!$B$8*$N$23-$N$22^2)),-1)</f>
        <v>0.997026886353733</v>
      </c>
    </row>
    <row r="50" customFormat="false" ht="15" hidden="false" customHeight="false" outlineLevel="0" collapsed="false">
      <c r="A50" s="32" t="n">
        <v>44</v>
      </c>
      <c r="B50" s="33" t="n">
        <f aca="false">IF($A50&lt;=データ入力!$B$8,1,0)</f>
        <v>1</v>
      </c>
      <c r="C50" s="34" t="n">
        <f aca="false">IF($B50=1,LARGE(データ入力!$B$12:$B$211,$A50),0)</f>
        <v>34.7</v>
      </c>
      <c r="D50" s="32" t="n">
        <f aca="false">IF($B50=1,IFERROR(INDEX(データ入力!$A$12:$A$211,MATCH($C50,データ入力!$B$12:$B$211,0)),""),"")</f>
        <v>1953</v>
      </c>
      <c r="E50" s="35" t="n">
        <f aca="false">IF($B50=1,1-$A50/(データ入力!$B$8+1),0)</f>
        <v>0.421052631578947</v>
      </c>
      <c r="F50" s="36" t="n">
        <f aca="false">IF($B50=1,(データ入力!$B$8+1)/$A50,"")</f>
        <v>1.72727272727273</v>
      </c>
      <c r="G50" s="37" t="n">
        <f aca="false">IF($B50=1,-LN(-LN($E50)),0)</f>
        <v>0.145028734497877</v>
      </c>
      <c r="H50" s="37" t="n">
        <f aca="false">IF($B50=1,LN(-LN($E50)),0)</f>
        <v>-0.145028734497877</v>
      </c>
      <c r="I50" s="36" t="n">
        <f aca="false">IF($B50=1,IFERROR($C50-($N$10+$N$9*$G50),""),"")</f>
        <v>0.0817130612019739</v>
      </c>
      <c r="J50" s="36" t="n">
        <f aca="false">IF($B50=1,IFERROR($C50-($N$21-$N$26*EXP(-$G50/$N$24)),""),"")</f>
        <v>0.0554843004346708</v>
      </c>
      <c r="T50" s="38" t="n">
        <f aca="false">IFERROR($R$6+($A50-1)*$R$5,"")</f>
        <v>60.95</v>
      </c>
      <c r="U50" s="38" t="n">
        <f aca="false">IFERROR(SUMPRODUCT($B$7:$B$206,LN($T50-$C$7:$C$206)),"")</f>
        <v>243.701134920081</v>
      </c>
      <c r="V50" s="38" t="n">
        <f aca="false">IFERROR(SUMPRODUCT($B$7:$B$206,LN($T50-$C$7:$C$206),LN($T50-$C$7:$C$206)),"")</f>
        <v>792.132483595601</v>
      </c>
      <c r="W50" s="38" t="n">
        <f aca="false">IFERROR(SUMPRODUCT($B$7:$B$206,LN($T50-$C$7:$C$206),$H$7:$H$206),"")</f>
        <v>-130.205899758023</v>
      </c>
      <c r="X50" s="39" t="n">
        <f aca="false">IFERROR((データ入力!$B$8*W50-U50*$N$22)/SQRT((データ入力!$B$8*V50-U50^2)*(データ入力!$B$8*$N$23-$N$22^2)),-1)</f>
        <v>0.997023394565584</v>
      </c>
      <c r="Z50" s="38" t="n">
        <f aca="false">IFERROR($R$10+($A50-1)*$R$9,"")</f>
        <v>59.16608040201</v>
      </c>
      <c r="AA50" s="38" t="n">
        <f aca="false">IFERROR(SUMPRODUCT($B$7:$B$206,LN($Z50-$C$7:$C$206)),"")</f>
        <v>238.310906521607</v>
      </c>
      <c r="AB50" s="38" t="n">
        <f aca="false">IFERROR(SUMPRODUCT($B$7:$B$206,LN($Z50-$C$7:$C$206),LN($Z50-$C$7:$C$206)),"")</f>
        <v>757.532094531248</v>
      </c>
      <c r="AC50" s="38" t="n">
        <f aca="false">IFERROR(SUMPRODUCT($B$7:$B$206,LN($Z50-$C$7:$C$206),$H$7:$H$206),"")</f>
        <v>-126.807110288126</v>
      </c>
      <c r="AD50" s="39" t="n">
        <f aca="false">IFERROR((データ入力!$B$8*AC50-AA50*$N$22)/SQRT((データ入力!$B$8*AB50-AA50^2)*(データ入力!$B$8*$N$23-$N$22^2)),-1)</f>
        <v>0.997026892418421</v>
      </c>
    </row>
    <row r="51" customFormat="false" ht="15" hidden="false" customHeight="false" outlineLevel="0" collapsed="false">
      <c r="A51" s="32" t="n">
        <v>45</v>
      </c>
      <c r="B51" s="33" t="n">
        <f aca="false">IF($A51&lt;=データ入力!$B$8,1,0)</f>
        <v>1</v>
      </c>
      <c r="C51" s="34" t="n">
        <f aca="false">IF($B51=1,LARGE(データ入力!$B$12:$B$211,$A51),0)</f>
        <v>34.7</v>
      </c>
      <c r="D51" s="32" t="n">
        <f aca="false">IF($B51=1,IFERROR(INDEX(データ入力!$A$12:$A$211,MATCH($C51,データ入力!$B$12:$B$211,0)),""),"")</f>
        <v>1953</v>
      </c>
      <c r="E51" s="35" t="n">
        <f aca="false">IF($B51=1,1-$A51/(データ入力!$B$8+1),0)</f>
        <v>0.407894736842105</v>
      </c>
      <c r="F51" s="36" t="n">
        <f aca="false">IF($B51=1,(データ入力!$B$8+1)/$A51,"")</f>
        <v>1.68888888888889</v>
      </c>
      <c r="G51" s="37" t="n">
        <f aca="false">IF($B51=1,-LN(-LN($E51)),0)</f>
        <v>0.108982471693961</v>
      </c>
      <c r="H51" s="37" t="n">
        <f aca="false">IF($B51=1,LN(-LN($E51)),0)</f>
        <v>-0.108982471693961</v>
      </c>
      <c r="I51" s="36" t="n">
        <f aca="false">IF($B51=1,IFERROR($C51-($N$10+$N$9*$G51),""),"")</f>
        <v>0.126783221888232</v>
      </c>
      <c r="J51" s="36" t="n">
        <f aca="false">IF($B51=1,IFERROR($C51-($N$21-$N$26*EXP(-$G51/$N$24)),""),"")</f>
        <v>0.102957978702094</v>
      </c>
      <c r="T51" s="38" t="n">
        <f aca="false">IFERROR($R$6+($A51-1)*$R$5,"")</f>
        <v>61.45</v>
      </c>
      <c r="U51" s="38" t="n">
        <f aca="false">IFERROR(SUMPRODUCT($B$7:$B$206,LN($T51-$C$7:$C$206)),"")</f>
        <v>245.144672275138</v>
      </c>
      <c r="V51" s="38" t="n">
        <f aca="false">IFERROR(SUMPRODUCT($B$7:$B$206,LN($T51-$C$7:$C$206),LN($T51-$C$7:$C$206)),"")</f>
        <v>801.531235337116</v>
      </c>
      <c r="W51" s="38" t="n">
        <f aca="false">IFERROR(SUMPRODUCT($B$7:$B$206,LN($T51-$C$7:$C$206),$H$7:$H$206),"")</f>
        <v>-131.111046538831</v>
      </c>
      <c r="X51" s="39" t="n">
        <f aca="false">IFERROR((データ入力!$B$8*W51-U51*$N$22)/SQRT((データ入力!$B$8*V51-U51^2)*(データ入力!$B$8*$N$23-$N$22^2)),-1)</f>
        <v>0.997020752747967</v>
      </c>
      <c r="Z51" s="38" t="n">
        <f aca="false">IFERROR($R$10+($A51-1)*$R$9,"")</f>
        <v>59.1711055276382</v>
      </c>
      <c r="AA51" s="38" t="n">
        <f aca="false">IFERROR(SUMPRODUCT($B$7:$B$206,LN($Z51-$C$7:$C$206)),"")</f>
        <v>238.326649869135</v>
      </c>
      <c r="AB51" s="38" t="n">
        <f aca="false">IFERROR(SUMPRODUCT($B$7:$B$206,LN($Z51-$C$7:$C$206),LN($Z51-$C$7:$C$206)),"")</f>
        <v>757.632015104583</v>
      </c>
      <c r="AC51" s="38" t="n">
        <f aca="false">IFERROR(SUMPRODUCT($B$7:$B$206,LN($Z51-$C$7:$C$206),$H$7:$H$206),"")</f>
        <v>-126.817082189133</v>
      </c>
      <c r="AD51" s="39" t="n">
        <f aca="false">IFERROR((データ入力!$B$8*AC51-AA51*$N$22)/SQRT((データ入力!$B$8*AB51-AA51^2)*(データ入力!$B$8*$N$23-$N$22^2)),-1)</f>
        <v>0.997026898379934</v>
      </c>
    </row>
    <row r="52" customFormat="false" ht="15" hidden="false" customHeight="false" outlineLevel="0" collapsed="false">
      <c r="A52" s="32" t="n">
        <v>46</v>
      </c>
      <c r="B52" s="33" t="n">
        <f aca="false">IF($A52&lt;=データ入力!$B$8,1,0)</f>
        <v>1</v>
      </c>
      <c r="C52" s="34" t="n">
        <f aca="false">IF($B52=1,LARGE(データ入力!$B$12:$B$211,$A52),0)</f>
        <v>34.7</v>
      </c>
      <c r="D52" s="32" t="n">
        <f aca="false">IF($B52=1,IFERROR(INDEX(データ入力!$A$12:$A$211,MATCH($C52,データ入力!$B$12:$B$211,0)),""),"")</f>
        <v>1953</v>
      </c>
      <c r="E52" s="35" t="n">
        <f aca="false">IF($B52=1,1-$A52/(データ入力!$B$8+1),0)</f>
        <v>0.394736842105263</v>
      </c>
      <c r="F52" s="36" t="n">
        <f aca="false">IF($B52=1,(データ入力!$B$8+1)/$A52,"")</f>
        <v>1.65217391304348</v>
      </c>
      <c r="G52" s="37" t="n">
        <f aca="false">IF($B52=1,-LN(-LN($E52)),0)</f>
        <v>0.0730697865827188</v>
      </c>
      <c r="H52" s="37" t="n">
        <f aca="false">IF($B52=1,LN(-LN($E52)),0)</f>
        <v>-0.0730697865827188</v>
      </c>
      <c r="I52" s="36" t="n">
        <f aca="false">IF($B52=1,IFERROR($C52-($N$10+$N$9*$G52),""),"")</f>
        <v>0.171686364758919</v>
      </c>
      <c r="J52" s="36" t="n">
        <f aca="false">IF($B52=1,IFERROR($C52-($N$21-$N$26*EXP(-$G52/$N$24)),""),"")</f>
        <v>0.150346020653707</v>
      </c>
      <c r="T52" s="38" t="n">
        <f aca="false">IFERROR($R$6+($A52-1)*$R$5,"")</f>
        <v>61.95</v>
      </c>
      <c r="U52" s="38" t="n">
        <f aca="false">IFERROR(SUMPRODUCT($B$7:$B$206,LN($T52-$C$7:$C$206)),"")</f>
        <v>246.560855047213</v>
      </c>
      <c r="V52" s="38" t="n">
        <f aca="false">IFERROR(SUMPRODUCT($B$7:$B$206,LN($T52-$C$7:$C$206),LN($T52-$C$7:$C$206)),"")</f>
        <v>810.806268219619</v>
      </c>
      <c r="W52" s="38" t="n">
        <f aca="false">IFERROR(SUMPRODUCT($B$7:$B$206,LN($T52-$C$7:$C$206),$H$7:$H$206),"")</f>
        <v>-131.997043163304</v>
      </c>
      <c r="X52" s="39" t="n">
        <f aca="false">IFERROR((データ入力!$B$8*W52-U52*$N$22)/SQRT((データ入力!$B$8*V52-U52^2)*(データ入力!$B$8*$N$23-$N$22^2)),-1)</f>
        <v>0.997017544467481</v>
      </c>
      <c r="Z52" s="38" t="n">
        <f aca="false">IFERROR($R$10+($A52-1)*$R$9,"")</f>
        <v>59.1761306532663</v>
      </c>
      <c r="AA52" s="38" t="n">
        <f aca="false">IFERROR(SUMPRODUCT($B$7:$B$206,LN($Z52-$C$7:$C$206)),"")</f>
        <v>238.342389898518</v>
      </c>
      <c r="AB52" s="38" t="n">
        <f aca="false">IFERROR(SUMPRODUCT($B$7:$B$206,LN($Z52-$C$7:$C$206),LN($Z52-$C$7:$C$206)),"")</f>
        <v>757.731921282816</v>
      </c>
      <c r="AC52" s="38" t="n">
        <f aca="false">IFERROR(SUMPRODUCT($B$7:$B$206,LN($Z52-$C$7:$C$206),$H$7:$H$206),"")</f>
        <v>-126.827051717834</v>
      </c>
      <c r="AD52" s="39" t="n">
        <f aca="false">IFERROR((データ入力!$B$8*AC52-AA52*$N$22)/SQRT((データ入力!$B$8*AB52-AA52^2)*(データ入力!$B$8*$N$23-$N$22^2)),-1)</f>
        <v>0.997026904237586</v>
      </c>
    </row>
    <row r="53" customFormat="false" ht="15" hidden="false" customHeight="false" outlineLevel="0" collapsed="false">
      <c r="A53" s="32" t="n">
        <v>47</v>
      </c>
      <c r="B53" s="33" t="n">
        <f aca="false">IF($A53&lt;=データ入力!$B$8,1,0)</f>
        <v>1</v>
      </c>
      <c r="C53" s="34" t="n">
        <f aca="false">IF($B53=1,LARGE(データ入力!$B$12:$B$211,$A53),0)</f>
        <v>34.7</v>
      </c>
      <c r="D53" s="32" t="n">
        <f aca="false">IF($B53=1,IFERROR(INDEX(データ入力!$A$12:$A$211,MATCH($C53,データ入力!$B$12:$B$211,0)),""),"")</f>
        <v>1953</v>
      </c>
      <c r="E53" s="35" t="n">
        <f aca="false">IF($B53=1,1-$A53/(データ入力!$B$8+1),0)</f>
        <v>0.381578947368421</v>
      </c>
      <c r="F53" s="36" t="n">
        <f aca="false">IF($B53=1,(データ入力!$B$8+1)/$A53,"")</f>
        <v>1.61702127659574</v>
      </c>
      <c r="G53" s="37" t="n">
        <f aca="false">IF($B53=1,-LN(-LN($E53)),0)</f>
        <v>0.0372476502109304</v>
      </c>
      <c r="H53" s="37" t="n">
        <f aca="false">IF($B53=1,LN(-LN($E53)),0)</f>
        <v>-0.0372476502109304</v>
      </c>
      <c r="I53" s="36" t="n">
        <f aca="false">IF($B53=1,IFERROR($C53-($N$10+$N$9*$G53),""),"")</f>
        <v>0.216476290726675</v>
      </c>
      <c r="J53" s="36" t="n">
        <f aca="false">IF($B53=1,IFERROR($C53-($N$21-$N$26*EXP(-$G53/$N$24)),""),"")</f>
        <v>0.197704531645662</v>
      </c>
      <c r="T53" s="38" t="n">
        <f aca="false">IFERROR($R$6+($A53-1)*$R$5,"")</f>
        <v>62.45</v>
      </c>
      <c r="U53" s="38" t="n">
        <f aca="false">IFERROR(SUMPRODUCT($B$7:$B$206,LN($T53-$C$7:$C$206)),"")</f>
        <v>247.950704254378</v>
      </c>
      <c r="V53" s="38" t="n">
        <f aca="false">IFERROR(SUMPRODUCT($B$7:$B$206,LN($T53-$C$7:$C$206),LN($T53-$C$7:$C$206)),"")</f>
        <v>819.961190838262</v>
      </c>
      <c r="W53" s="38" t="n">
        <f aca="false">IFERROR(SUMPRODUCT($B$7:$B$206,LN($T53-$C$7:$C$206),$H$7:$H$206),"")</f>
        <v>-132.864680866657</v>
      </c>
      <c r="X53" s="39" t="n">
        <f aca="false">IFERROR((データ入力!$B$8*W53-U53*$N$22)/SQRT((データ入力!$B$8*V53-U53^2)*(データ入力!$B$8*$N$23-$N$22^2)),-1)</f>
        <v>0.997013840048128</v>
      </c>
      <c r="Z53" s="38" t="n">
        <f aca="false">IFERROR($R$10+($A53-1)*$R$9,"")</f>
        <v>59.1811557788945</v>
      </c>
      <c r="AA53" s="38" t="n">
        <f aca="false">IFERROR(SUMPRODUCT($B$7:$B$206,LN($Z53-$C$7:$C$206)),"")</f>
        <v>238.358126611162</v>
      </c>
      <c r="AB53" s="38" t="n">
        <f aca="false">IFERROR(SUMPRODUCT($B$7:$B$206,LN($Z53-$C$7:$C$206),LN($Z53-$C$7:$C$206)),"")</f>
        <v>757.831813070623</v>
      </c>
      <c r="AC53" s="38" t="n">
        <f aca="false">IFERROR(SUMPRODUCT($B$7:$B$206,LN($Z53-$C$7:$C$206),$H$7:$H$206),"")</f>
        <v>-126.837018875356</v>
      </c>
      <c r="AD53" s="39" t="n">
        <f aca="false">IFERROR((データ入力!$B$8*AC53-AA53*$N$22)/SQRT((データ入力!$B$8*AB53-AA53^2)*(データ入力!$B$8*$N$23-$N$22^2)),-1)</f>
        <v>0.997026909991623</v>
      </c>
    </row>
    <row r="54" customFormat="false" ht="15" hidden="false" customHeight="false" outlineLevel="0" collapsed="false">
      <c r="A54" s="32" t="n">
        <v>48</v>
      </c>
      <c r="B54" s="33" t="n">
        <f aca="false">IF($A54&lt;=データ入力!$B$8,1,0)</f>
        <v>1</v>
      </c>
      <c r="C54" s="34" t="n">
        <f aca="false">IF($B54=1,LARGE(データ入力!$B$12:$B$211,$A54),0)</f>
        <v>34.6</v>
      </c>
      <c r="D54" s="32" t="n">
        <f aca="false">IF($B54=1,IFERROR(INDEX(データ入力!$A$12:$A$211,MATCH($C54,データ入力!$B$12:$B$211,0)),""),"")</f>
        <v>1985</v>
      </c>
      <c r="E54" s="35" t="n">
        <f aca="false">IF($B54=1,1-$A54/(データ入力!$B$8+1),0)</f>
        <v>0.368421052631579</v>
      </c>
      <c r="F54" s="36" t="n">
        <f aca="false">IF($B54=1,(データ入力!$B$8+1)/$A54,"")</f>
        <v>1.58333333333333</v>
      </c>
      <c r="G54" s="37" t="n">
        <f aca="false">IF($B54=1,-LN(-LN($E54)),0)</f>
        <v>0.00147225312183743</v>
      </c>
      <c r="H54" s="37" t="n">
        <f aca="false">IF($B54=1,LN(-LN($E54)),0)</f>
        <v>-0.00147225312183743</v>
      </c>
      <c r="I54" s="36" t="n">
        <f aca="false">IF($B54=1,IFERROR($C54-($N$10+$N$9*$G54),""),"")</f>
        <v>0.16120777660057</v>
      </c>
      <c r="J54" s="36" t="n">
        <f aca="false">IF($B54=1,IFERROR($C54-($N$21-$N$26*EXP(-$G54/$N$24)),""),"")</f>
        <v>0.145091083608854</v>
      </c>
      <c r="T54" s="38" t="n">
        <f aca="false">IFERROR($R$6+($A54-1)*$R$5,"")</f>
        <v>62.95</v>
      </c>
      <c r="U54" s="38" t="n">
        <f aca="false">IFERROR(SUMPRODUCT($B$7:$B$206,LN($T54-$C$7:$C$206)),"")</f>
        <v>249.315184599042</v>
      </c>
      <c r="V54" s="38" t="n">
        <f aca="false">IFERROR(SUMPRODUCT($B$7:$B$206,LN($T54-$C$7:$C$206),LN($T54-$C$7:$C$206)),"")</f>
        <v>828.999449663994</v>
      </c>
      <c r="W54" s="38" t="n">
        <f aca="false">IFERROR(SUMPRODUCT($B$7:$B$206,LN($T54-$C$7:$C$206),$H$7:$H$206),"")</f>
        <v>-133.71470292658</v>
      </c>
      <c r="X54" s="39" t="n">
        <f aca="false">IFERROR((データ入力!$B$8*W54-U54*$N$22)/SQRT((データ入力!$B$8*V54-U54^2)*(データ入力!$B$8*$N$23-$N$22^2)),-1)</f>
        <v>0.997009701717806</v>
      </c>
      <c r="Z54" s="38" t="n">
        <f aca="false">IFERROR($R$10+($A54-1)*$R$9,"")</f>
        <v>59.1861809045226</v>
      </c>
      <c r="AA54" s="38" t="n">
        <f aca="false">IFERROR(SUMPRODUCT($B$7:$B$206,LN($Z54-$C$7:$C$206)),"")</f>
        <v>238.373860008469</v>
      </c>
      <c r="AB54" s="38" t="n">
        <f aca="false">IFERROR(SUMPRODUCT($B$7:$B$206,LN($Z54-$C$7:$C$206),LN($Z54-$C$7:$C$206)),"")</f>
        <v>757.931690472678</v>
      </c>
      <c r="AC54" s="38" t="n">
        <f aca="false">IFERROR(SUMPRODUCT($B$7:$B$206,LN($Z54-$C$7:$C$206),$H$7:$H$206),"")</f>
        <v>-126.84698366282</v>
      </c>
      <c r="AD54" s="39" t="n">
        <f aca="false">IFERROR((データ入力!$B$8*AC54-AA54*$N$22)/SQRT((データ入力!$B$8*AB54-AA54^2)*(データ入力!$B$8*$N$23-$N$22^2)),-1)</f>
        <v>0.997026915642259</v>
      </c>
    </row>
    <row r="55" customFormat="false" ht="15" hidden="false" customHeight="false" outlineLevel="0" collapsed="false">
      <c r="A55" s="32" t="n">
        <v>49</v>
      </c>
      <c r="B55" s="33" t="n">
        <f aca="false">IF($A55&lt;=データ入力!$B$8,1,0)</f>
        <v>1</v>
      </c>
      <c r="C55" s="34" t="n">
        <f aca="false">IF($B55=1,LARGE(データ入力!$B$12:$B$211,$A55),0)</f>
        <v>34.6</v>
      </c>
      <c r="D55" s="32" t="n">
        <f aca="false">IF($B55=1,IFERROR(INDEX(データ入力!$A$12:$A$211,MATCH($C55,データ入力!$B$12:$B$211,0)),""),"")</f>
        <v>1985</v>
      </c>
      <c r="E55" s="35" t="n">
        <f aca="false">IF($B55=1,1-$A55/(データ入力!$B$8+1),0)</f>
        <v>0.355263157894737</v>
      </c>
      <c r="F55" s="36" t="n">
        <f aca="false">IF($B55=1,(データ入力!$B$8+1)/$A55,"")</f>
        <v>1.55102040816327</v>
      </c>
      <c r="G55" s="37" t="n">
        <f aca="false">IF($B55=1,-LN(-LN($E55)),0)</f>
        <v>-0.0343013968662063</v>
      </c>
      <c r="H55" s="37" t="n">
        <f aca="false">IF($B55=1,LN(-LN($E55)),0)</f>
        <v>0.0343013968662063</v>
      </c>
      <c r="I55" s="36" t="n">
        <f aca="false">IF($B55=1,IFERROR($C55-($N$10+$N$9*$G55),""),"")</f>
        <v>0.205937078000431</v>
      </c>
      <c r="J55" s="36" t="n">
        <f aca="false">IF($B55=1,IFERROR($C55-($N$21-$N$26*EXP(-$G55/$N$24)),""),"")</f>
        <v>0.192565259127825</v>
      </c>
      <c r="T55" s="38" t="n">
        <f aca="false">IFERROR($R$6+($A55-1)*$R$5,"")</f>
        <v>63.45</v>
      </c>
      <c r="U55" s="38" t="n">
        <f aca="false">IFERROR(SUMPRODUCT($B$7:$B$206,LN($T55-$C$7:$C$206)),"")</f>
        <v>250.655208549158</v>
      </c>
      <c r="V55" s="38" t="n">
        <f aca="false">IFERROR(SUMPRODUCT($B$7:$B$206,LN($T55-$C$7:$C$206),LN($T55-$C$7:$C$206)),"")</f>
        <v>837.924338796605</v>
      </c>
      <c r="W55" s="38" t="n">
        <f aca="false">IFERROR(SUMPRODUCT($B$7:$B$206,LN($T55-$C$7:$C$206),$H$7:$H$206),"")</f>
        <v>-134.547808458248</v>
      </c>
      <c r="X55" s="39" t="n">
        <f aca="false">IFERROR((データ入力!$B$8*W55-U55*$N$22)/SQRT((データ入力!$B$8*V55-U55^2)*(データ入力!$B$8*$N$23-$N$22^2)),-1)</f>
        <v>0.997005184609139</v>
      </c>
      <c r="Z55" s="38" t="n">
        <f aca="false">IFERROR($R$10+($A55-1)*$R$9,"")</f>
        <v>59.1912060301508</v>
      </c>
      <c r="AA55" s="38" t="n">
        <f aca="false">IFERROR(SUMPRODUCT($B$7:$B$206,LN($Z55-$C$7:$C$206)),"")</f>
        <v>238.389590091842</v>
      </c>
      <c r="AB55" s="38" t="n">
        <f aca="false">IFERROR(SUMPRODUCT($B$7:$B$206,LN($Z55-$C$7:$C$206),LN($Z55-$C$7:$C$206)),"")</f>
        <v>758.031553493654</v>
      </c>
      <c r="AC55" s="38" t="n">
        <f aca="false">IFERROR(SUMPRODUCT($B$7:$B$206,LN($Z55-$C$7:$C$206),$H$7:$H$206),"")</f>
        <v>-126.856946081351</v>
      </c>
      <c r="AD55" s="39" t="n">
        <f aca="false">IFERROR((データ入力!$B$8*AC55-AA55*$N$22)/SQRT((データ入力!$B$8*AB55-AA55^2)*(データ入力!$B$8*$N$23-$N$22^2)),-1)</f>
        <v>0.997026921190151</v>
      </c>
    </row>
    <row r="56" customFormat="false" ht="15" hidden="false" customHeight="false" outlineLevel="0" collapsed="false">
      <c r="A56" s="32" t="n">
        <v>50</v>
      </c>
      <c r="B56" s="33" t="n">
        <f aca="false">IF($A56&lt;=データ入力!$B$8,1,0)</f>
        <v>1</v>
      </c>
      <c r="C56" s="34" t="n">
        <f aca="false">IF($B56=1,LARGE(データ入力!$B$12:$B$211,$A56),0)</f>
        <v>34.6</v>
      </c>
      <c r="D56" s="32" t="n">
        <f aca="false">IF($B56=1,IFERROR(INDEX(データ入力!$A$12:$A$211,MATCH($C56,データ入力!$B$12:$B$211,0)),""),"")</f>
        <v>1985</v>
      </c>
      <c r="E56" s="35" t="n">
        <f aca="false">IF($B56=1,1-$A56/(データ入力!$B$8+1),0)</f>
        <v>0.342105263157895</v>
      </c>
      <c r="F56" s="36" t="n">
        <f aca="false">IF($B56=1,(データ入力!$B$8+1)/$A56,"")</f>
        <v>1.52</v>
      </c>
      <c r="G56" s="37" t="n">
        <f aca="false">IF($B56=1,-LN(-LN($E56)),0)</f>
        <v>-0.0701199182449438</v>
      </c>
      <c r="H56" s="37" t="n">
        <f aca="false">IF($B56=1,LN(-LN($E56)),0)</f>
        <v>0.0701199182449438</v>
      </c>
      <c r="I56" s="36" t="n">
        <f aca="false">IF($B56=1,IFERROR($C56-($N$10+$N$9*$G56),""),"")</f>
        <v>0.250722483990103</v>
      </c>
      <c r="J56" s="36" t="n">
        <f aca="false">IF($B56=1,IFERROR($C56-($N$21-$N$26*EXP(-$G56/$N$24)),""),"")</f>
        <v>0.240189258040694</v>
      </c>
      <c r="T56" s="38" t="n">
        <f aca="false">IFERROR($R$6+($A56-1)*$R$5,"")</f>
        <v>63.95</v>
      </c>
      <c r="U56" s="38" t="n">
        <f aca="false">IFERROR(SUMPRODUCT($B$7:$B$206,LN($T56-$C$7:$C$206)),"")</f>
        <v>251.971640055008</v>
      </c>
      <c r="V56" s="38" t="n">
        <f aca="false">IFERROR(SUMPRODUCT($B$7:$B$206,LN($T56-$C$7:$C$206),LN($T56-$C$7:$C$206)),"")</f>
        <v>846.7390089888</v>
      </c>
      <c r="W56" s="38" t="n">
        <f aca="false">IFERROR(SUMPRODUCT($B$7:$B$206,LN($T56-$C$7:$C$206),$H$7:$H$206),"")</f>
        <v>-135.364655841396</v>
      </c>
      <c r="X56" s="39" t="n">
        <f aca="false">IFERROR((データ入力!$B$8*W56-U56*$N$22)/SQRT((データ入力!$B$8*V56-U56^2)*(データ入力!$B$8*$N$23-$N$22^2)),-1)</f>
        <v>0.997000337632571</v>
      </c>
      <c r="Z56" s="38" t="n">
        <f aca="false">IFERROR($R$10+($A56-1)*$R$9,"")</f>
        <v>59.1962311557789</v>
      </c>
      <c r="AA56" s="38" t="n">
        <f aca="false">IFERROR(SUMPRODUCT($B$7:$B$206,LN($Z56-$C$7:$C$206)),"")</f>
        <v>238.405316862685</v>
      </c>
      <c r="AB56" s="38" t="n">
        <f aca="false">IFERROR(SUMPRODUCT($B$7:$B$206,LN($Z56-$C$7:$C$206),LN($Z56-$C$7:$C$206)),"")</f>
        <v>758.131402138219</v>
      </c>
      <c r="AC56" s="38" t="n">
        <f aca="false">IFERROR(SUMPRODUCT($B$7:$B$206,LN($Z56-$C$7:$C$206),$H$7:$H$206),"")</f>
        <v>-126.866906132071</v>
      </c>
      <c r="AD56" s="39" t="n">
        <f aca="false">IFERROR((データ入力!$B$8*AC56-AA56*$N$22)/SQRT((データ入力!$B$8*AB56-AA56^2)*(データ入力!$B$8*$N$23-$N$22^2)),-1)</f>
        <v>0.997026926634838</v>
      </c>
    </row>
    <row r="57" customFormat="false" ht="15" hidden="false" customHeight="false" outlineLevel="0" collapsed="false">
      <c r="A57" s="32" t="n">
        <v>51</v>
      </c>
      <c r="B57" s="33" t="n">
        <f aca="false">IF($A57&lt;=データ入力!$B$8,1,0)</f>
        <v>1</v>
      </c>
      <c r="C57" s="34" t="n">
        <f aca="false">IF($B57=1,LARGE(データ入力!$B$12:$B$211,$A57),0)</f>
        <v>34.4</v>
      </c>
      <c r="D57" s="32" t="n">
        <f aca="false">IF($B57=1,IFERROR(INDEX(データ入力!$A$12:$A$211,MATCH($C57,データ入力!$B$12:$B$211,0)),""),"")</f>
        <v>1955</v>
      </c>
      <c r="E57" s="35" t="n">
        <f aca="false">IF($B57=1,1-$A57/(データ入力!$B$8+1),0)</f>
        <v>0.328947368421053</v>
      </c>
      <c r="F57" s="36" t="n">
        <f aca="false">IF($B57=1,(データ入力!$B$8+1)/$A57,"")</f>
        <v>1.49019607843137</v>
      </c>
      <c r="G57" s="37" t="n">
        <f aca="false">IF($B57=1,-LN(-LN($E57)),0)</f>
        <v>-0.106032054001788</v>
      </c>
      <c r="H57" s="37" t="n">
        <f aca="false">IF($B57=1,LN(-LN($E57)),0)</f>
        <v>0.106032054001788</v>
      </c>
      <c r="I57" s="36" t="n">
        <f aca="false">IF($B57=1,IFERROR($C57-($N$10+$N$9*$G57),""),"")</f>
        <v>0.0956249399798494</v>
      </c>
      <c r="J57" s="36" t="n">
        <f aca="false">IF($B57=1,IFERROR($C57-($N$21-$N$26*EXP(-$G57/$N$24)),""),"")</f>
        <v>0.0880285851426805</v>
      </c>
      <c r="T57" s="38" t="n">
        <f aca="false">IFERROR($R$6+($A57-1)*$R$5,"")</f>
        <v>64.45</v>
      </c>
      <c r="U57" s="38" t="n">
        <f aca="false">IFERROR(SUMPRODUCT($B$7:$B$206,LN($T57-$C$7:$C$206)),"")</f>
        <v>253.265297940078</v>
      </c>
      <c r="V57" s="38" t="n">
        <f aca="false">IFERROR(SUMPRODUCT($B$7:$B$206,LN($T57-$C$7:$C$206),LN($T57-$C$7:$C$206)),"")</f>
        <v>855.446476005887</v>
      </c>
      <c r="W57" s="38" t="n">
        <f aca="false">IFERROR(SUMPRODUCT($B$7:$B$206,LN($T57-$C$7:$C$206),$H$7:$H$206),"")</f>
        <v>-136.165865821428</v>
      </c>
      <c r="X57" s="39" t="n">
        <f aca="false">IFERROR((データ入力!$B$8*W57-U57*$N$22)/SQRT((データ入力!$B$8*V57-U57^2)*(データ入力!$B$8*$N$23-$N$22^2)),-1)</f>
        <v>0.996995204223887</v>
      </c>
      <c r="Z57" s="38" t="n">
        <f aca="false">IFERROR($R$10+($A57-1)*$R$9,"")</f>
        <v>59.201256281407</v>
      </c>
      <c r="AA57" s="38" t="n">
        <f aca="false">IFERROR(SUMPRODUCT($B$7:$B$206,LN($Z57-$C$7:$C$206)),"")</f>
        <v>238.421040322397</v>
      </c>
      <c r="AB57" s="38" t="n">
        <f aca="false">IFERROR(SUMPRODUCT($B$7:$B$206,LN($Z57-$C$7:$C$206),LN($Z57-$C$7:$C$206)),"")</f>
        <v>758.231236411041</v>
      </c>
      <c r="AC57" s="38" t="n">
        <f aca="false">IFERROR(SUMPRODUCT($B$7:$B$206,LN($Z57-$C$7:$C$206),$H$7:$H$206),"")</f>
        <v>-126.876863816102</v>
      </c>
      <c r="AD57" s="39" t="n">
        <f aca="false">IFERROR((データ入力!$B$8*AC57-AA57*$N$22)/SQRT((データ入力!$B$8*AB57-AA57^2)*(データ入力!$B$8*$N$23-$N$22^2)),-1)</f>
        <v>0.99702693197643</v>
      </c>
    </row>
    <row r="58" customFormat="false" ht="15" hidden="false" customHeight="false" outlineLevel="0" collapsed="false">
      <c r="A58" s="32" t="n">
        <v>52</v>
      </c>
      <c r="B58" s="33" t="n">
        <f aca="false">IF($A58&lt;=データ入力!$B$8,1,0)</f>
        <v>1</v>
      </c>
      <c r="C58" s="34" t="n">
        <f aca="false">IF($B58=1,LARGE(データ入力!$B$12:$B$211,$A58),0)</f>
        <v>34.4</v>
      </c>
      <c r="D58" s="32" t="n">
        <f aca="false">IF($B58=1,IFERROR(INDEX(データ入力!$A$12:$A$211,MATCH($C58,データ入力!$B$12:$B$211,0)),""),"")</f>
        <v>1955</v>
      </c>
      <c r="E58" s="35" t="n">
        <f aca="false">IF($B58=1,1-$A58/(データ入力!$B$8+1),0)</f>
        <v>0.315789473684211</v>
      </c>
      <c r="F58" s="36" t="n">
        <f aca="false">IF($B58=1,(データ入力!$B$8+1)/$A58,"")</f>
        <v>1.46153846153846</v>
      </c>
      <c r="G58" s="37" t="n">
        <f aca="false">IF($B58=1,-LN(-LN($E58)),0)</f>
        <v>-0.142089240756235</v>
      </c>
      <c r="H58" s="37" t="n">
        <f aca="false">IF($B58=1,LN(-LN($E58)),0)</f>
        <v>0.142089240756235</v>
      </c>
      <c r="I58" s="36" t="n">
        <f aca="false">IF($B58=1,IFERROR($C58-($N$10+$N$9*$G58),""),"")</f>
        <v>0.140708759341585</v>
      </c>
      <c r="J58" s="36" t="n">
        <f aca="false">IF($B58=1,IFERROR($C58-($N$21-$N$26*EXP(-$G58/$N$24)),""),"")</f>
        <v>0.136152842105965</v>
      </c>
      <c r="T58" s="38" t="n">
        <f aca="false">IFERROR($R$6+($A58-1)*$R$5,"")</f>
        <v>64.95</v>
      </c>
      <c r="U58" s="38" t="n">
        <f aca="false">IFERROR(SUMPRODUCT($B$7:$B$206,LN($T58-$C$7:$C$206)),"")</f>
        <v>254.53695899982</v>
      </c>
      <c r="V58" s="38" t="n">
        <f aca="false">IFERROR(SUMPRODUCT($B$7:$B$206,LN($T58-$C$7:$C$206),LN($T58-$C$7:$C$206)),"")</f>
        <v>864.049628379089</v>
      </c>
      <c r="W58" s="38" t="n">
        <f aca="false">IFERROR(SUMPRODUCT($B$7:$B$206,LN($T58-$C$7:$C$206),$H$7:$H$206),"")</f>
        <v>-136.952024321091</v>
      </c>
      <c r="X58" s="39" t="n">
        <f aca="false">IFERROR((データ入力!$B$8*W58-U58*$N$22)/SQRT((データ入力!$B$8*V58-U58^2)*(データ入力!$B$8*$N$23-$N$22^2)),-1)</f>
        <v>0.996989822996655</v>
      </c>
      <c r="Z58" s="38" t="n">
        <f aca="false">IFERROR($R$10+($A58-1)*$R$9,"")</f>
        <v>59.2062814070352</v>
      </c>
      <c r="AA58" s="38" t="n">
        <f aca="false">IFERROR(SUMPRODUCT($B$7:$B$206,LN($Z58-$C$7:$C$206)),"")</f>
        <v>238.436760472379</v>
      </c>
      <c r="AB58" s="38" t="n">
        <f aca="false">IFERROR(SUMPRODUCT($B$7:$B$206,LN($Z58-$C$7:$C$206),LN($Z58-$C$7:$C$206)),"")</f>
        <v>758.331056316785</v>
      </c>
      <c r="AC58" s="38" t="n">
        <f aca="false">IFERROR(SUMPRODUCT($B$7:$B$206,LN($Z58-$C$7:$C$206),$H$7:$H$206),"")</f>
        <v>-126.886819134563</v>
      </c>
      <c r="AD58" s="39" t="n">
        <f aca="false">IFERROR((データ入力!$B$8*AC58-AA58*$N$22)/SQRT((データ入力!$B$8*AB58-AA58^2)*(データ入力!$B$8*$N$23-$N$22^2)),-1)</f>
        <v>0.997026937215042</v>
      </c>
    </row>
    <row r="59" customFormat="false" ht="15" hidden="false" customHeight="false" outlineLevel="0" collapsed="false">
      <c r="A59" s="32" t="n">
        <v>53</v>
      </c>
      <c r="B59" s="33" t="n">
        <f aca="false">IF($A59&lt;=データ入力!$B$8,1,0)</f>
        <v>1</v>
      </c>
      <c r="C59" s="34" t="n">
        <f aca="false">IF($B59=1,LARGE(データ入力!$B$12:$B$211,$A59),0)</f>
        <v>34.3</v>
      </c>
      <c r="D59" s="32" t="n">
        <f aca="false">IF($B59=1,IFERROR(INDEX(データ入力!$A$12:$A$211,MATCH($C59,データ入力!$B$12:$B$211,0)),""),"")</f>
        <v>2004</v>
      </c>
      <c r="E59" s="35" t="n">
        <f aca="false">IF($B59=1,1-$A59/(データ入力!$B$8+1),0)</f>
        <v>0.302631578947369</v>
      </c>
      <c r="F59" s="36" t="n">
        <f aca="false">IF($B59=1,(データ入力!$B$8+1)/$A59,"")</f>
        <v>1.43396226415094</v>
      </c>
      <c r="G59" s="37" t="n">
        <f aca="false">IF($B59=1,-LN(-LN($E59)),0)</f>
        <v>-0.178346269429913</v>
      </c>
      <c r="H59" s="37" t="n">
        <f aca="false">IF($B59=1,LN(-LN($E59)),0)</f>
        <v>0.178346269429913</v>
      </c>
      <c r="I59" s="36" t="n">
        <f aca="false">IF($B59=1,IFERROR($C59-($N$10+$N$9*$G59),""),"")</f>
        <v>0.0860424494724583</v>
      </c>
      <c r="J59" s="36" t="n">
        <f aca="false">IF($B59=1,IFERROR($C59-($N$21-$N$26*EXP(-$G59/$N$24)),""),"")</f>
        <v>0.0846366528572702</v>
      </c>
      <c r="T59" s="38" t="n">
        <f aca="false">IFERROR($R$6+($A59-1)*$R$5,"")</f>
        <v>65.45</v>
      </c>
      <c r="U59" s="38" t="n">
        <f aca="false">IFERROR(SUMPRODUCT($B$7:$B$206,LN($T59-$C$7:$C$206)),"")</f>
        <v>255.787360838104</v>
      </c>
      <c r="V59" s="38" t="n">
        <f aca="false">IFERROR(SUMPRODUCT($B$7:$B$206,LN($T59-$C$7:$C$206),LN($T59-$C$7:$C$206)),"")</f>
        <v>872.551234604686</v>
      </c>
      <c r="W59" s="38" t="n">
        <f aca="false">IFERROR(SUMPRODUCT($B$7:$B$206,LN($T59-$C$7:$C$206),$H$7:$H$206),"")</f>
        <v>-137.723684994518</v>
      </c>
      <c r="X59" s="39" t="n">
        <f aca="false">IFERROR((データ入力!$B$8*W59-U59*$N$22)/SQRT((データ入力!$B$8*V59-U59^2)*(データ入力!$B$8*$N$23-$N$22^2)),-1)</f>
        <v>0.996984228311875</v>
      </c>
      <c r="Z59" s="38" t="n">
        <f aca="false">IFERROR($R$10+($A59-1)*$R$9,"")</f>
        <v>59.2113065326633</v>
      </c>
      <c r="AA59" s="38" t="n">
        <f aca="false">IFERROR(SUMPRODUCT($B$7:$B$206,LN($Z59-$C$7:$C$206)),"")</f>
        <v>238.45247731403</v>
      </c>
      <c r="AB59" s="38" t="n">
        <f aca="false">IFERROR(SUMPRODUCT($B$7:$B$206,LN($Z59-$C$7:$C$206),LN($Z59-$C$7:$C$206)),"")</f>
        <v>758.430861860113</v>
      </c>
      <c r="AC59" s="38" t="n">
        <f aca="false">IFERROR(SUMPRODUCT($B$7:$B$206,LN($Z59-$C$7:$C$206),$H$7:$H$206),"")</f>
        <v>-126.896772088575</v>
      </c>
      <c r="AD59" s="39" t="n">
        <f aca="false">IFERROR((データ入力!$B$8*AC59-AA59*$N$22)/SQRT((データ入力!$B$8*AB59-AA59^2)*(データ入力!$B$8*$N$23-$N$22^2)),-1)</f>
        <v>0.997026942351535</v>
      </c>
    </row>
    <row r="60" customFormat="false" ht="15" hidden="false" customHeight="false" outlineLevel="0" collapsed="false">
      <c r="A60" s="32" t="n">
        <v>54</v>
      </c>
      <c r="B60" s="33" t="n">
        <f aca="false">IF($A60&lt;=データ入力!$B$8,1,0)</f>
        <v>1</v>
      </c>
      <c r="C60" s="34" t="n">
        <f aca="false">IF($B60=1,LARGE(データ入力!$B$12:$B$211,$A60),0)</f>
        <v>34.2</v>
      </c>
      <c r="D60" s="32" t="n">
        <f aca="false">IF($B60=1,IFERROR(INDEX(データ入力!$A$12:$A$211,MATCH($C60,データ入力!$B$12:$B$211,0)),""),"")</f>
        <v>1969</v>
      </c>
      <c r="E60" s="35" t="n">
        <f aca="false">IF($B60=1,1-$A60/(データ入力!$B$8+1),0)</f>
        <v>0.289473684210526</v>
      </c>
      <c r="F60" s="36" t="n">
        <f aca="false">IF($B60=1,(データ入力!$B$8+1)/$A60,"")</f>
        <v>1.40740740740741</v>
      </c>
      <c r="G60" s="37" t="n">
        <f aca="false">IF($B60=1,-LN(-LN($E60)),0)</f>
        <v>-0.21486206380487</v>
      </c>
      <c r="H60" s="37" t="n">
        <f aca="false">IF($B60=1,LN(-LN($E60)),0)</f>
        <v>0.21486206380487</v>
      </c>
      <c r="I60" s="36" t="n">
        <f aca="false">IF($B60=1,IFERROR($C60-($N$10+$N$9*$G60),""),"")</f>
        <v>0.0316996852591061</v>
      </c>
      <c r="J60" s="36" t="n">
        <f aca="false">IF($B60=1,IFERROR($C60-($N$21-$N$26*EXP(-$G60/$N$24)),""),"")</f>
        <v>0.0335607599918006</v>
      </c>
      <c r="T60" s="38" t="n">
        <f aca="false">IFERROR($R$6+($A60-1)*$R$5,"")</f>
        <v>65.95</v>
      </c>
      <c r="U60" s="38" t="n">
        <f aca="false">IFERROR(SUMPRODUCT($B$7:$B$206,LN($T60-$C$7:$C$206)),"")</f>
        <v>257.017204467637</v>
      </c>
      <c r="V60" s="38" t="n">
        <f aca="false">IFERROR(SUMPRODUCT($B$7:$B$206,LN($T60-$C$7:$C$206),LN($T60-$C$7:$C$206)),"")</f>
        <v>880.953949836031</v>
      </c>
      <c r="W60" s="38" t="n">
        <f aca="false">IFERROR(SUMPRODUCT($B$7:$B$206,LN($T60-$C$7:$C$206),$H$7:$H$206),"")</f>
        <v>-138.481371551465</v>
      </c>
      <c r="X60" s="39" t="n">
        <f aca="false">IFERROR((データ入力!$B$8*W60-U60*$N$22)/SQRT((データ入力!$B$8*V60-U60^2)*(データ入力!$B$8*$N$23-$N$22^2)),-1)</f>
        <v>0.996978450767809</v>
      </c>
      <c r="Z60" s="38" t="n">
        <f aca="false">IFERROR($R$10+($A60-1)*$R$9,"")</f>
        <v>59.2163316582915</v>
      </c>
      <c r="AA60" s="38" t="n">
        <f aca="false">IFERROR(SUMPRODUCT($B$7:$B$206,LN($Z60-$C$7:$C$206)),"")</f>
        <v>238.46819084875</v>
      </c>
      <c r="AB60" s="38" t="n">
        <f aca="false">IFERROR(SUMPRODUCT($B$7:$B$206,LN($Z60-$C$7:$C$206),LN($Z60-$C$7:$C$206)),"")</f>
        <v>758.530653045685</v>
      </c>
      <c r="AC60" s="38" t="n">
        <f aca="false">IFERROR(SUMPRODUCT($B$7:$B$206,LN($Z60-$C$7:$C$206),$H$7:$H$206),"")</f>
        <v>-126.906722679258</v>
      </c>
      <c r="AD60" s="39" t="n">
        <f aca="false">IFERROR((データ入力!$B$8*AC60-AA60*$N$22)/SQRT((データ入力!$B$8*AB60-AA60^2)*(データ入力!$B$8*$N$23-$N$22^2)),-1)</f>
        <v>0.997026947385172</v>
      </c>
    </row>
    <row r="61" customFormat="false" ht="15" hidden="false" customHeight="false" outlineLevel="0" collapsed="false">
      <c r="A61" s="32" t="n">
        <v>55</v>
      </c>
      <c r="B61" s="33" t="n">
        <f aca="false">IF($A61&lt;=データ入力!$B$8,1,0)</f>
        <v>1</v>
      </c>
      <c r="C61" s="34" t="n">
        <f aca="false">IF($B61=1,LARGE(データ入力!$B$12:$B$211,$A61),0)</f>
        <v>34.2</v>
      </c>
      <c r="D61" s="32" t="n">
        <f aca="false">IF($B61=1,IFERROR(INDEX(データ入力!$A$12:$A$211,MATCH($C61,データ入力!$B$12:$B$211,0)),""),"")</f>
        <v>1969</v>
      </c>
      <c r="E61" s="35" t="n">
        <f aca="false">IF($B61=1,1-$A61/(データ入力!$B$8+1),0)</f>
        <v>0.276315789473684</v>
      </c>
      <c r="F61" s="36" t="n">
        <f aca="false">IF($B61=1,(データ入力!$B$8+1)/$A61,"")</f>
        <v>1.38181818181818</v>
      </c>
      <c r="G61" s="37" t="n">
        <f aca="false">IF($B61=1,-LN(-LN($E61)),0)</f>
        <v>-0.251700611251591</v>
      </c>
      <c r="H61" s="37" t="n">
        <f aca="false">IF($B61=1,LN(-LN($E61)),0)</f>
        <v>0.251700611251591</v>
      </c>
      <c r="I61" s="36" t="n">
        <f aca="false">IF($B61=1,IFERROR($C61-($N$10+$N$9*$G61),""),"")</f>
        <v>0.077760472806041</v>
      </c>
      <c r="J61" s="36" t="n">
        <f aca="false">IF($B61=1,IFERROR($C61-($N$21-$N$26*EXP(-$G61/$N$24)),""),"")</f>
        <v>0.0830133412336238</v>
      </c>
      <c r="T61" s="38" t="n">
        <f aca="false">IFERROR($R$6+($A61-1)*$R$5,"")</f>
        <v>66.45</v>
      </c>
      <c r="U61" s="38" t="n">
        <f aca="false">IFERROR(SUMPRODUCT($B$7:$B$206,LN($T61-$C$7:$C$206)),"")</f>
        <v>258.227156697593</v>
      </c>
      <c r="V61" s="38" t="n">
        <f aca="false">IFERROR(SUMPRODUCT($B$7:$B$206,LN($T61-$C$7:$C$206),LN($T61-$C$7:$C$206)),"")</f>
        <v>889.260322110881</v>
      </c>
      <c r="W61" s="38" t="n">
        <f aca="false">IFERROR(SUMPRODUCT($B$7:$B$206,LN($T61-$C$7:$C$206),$H$7:$H$206),"")</f>
        <v>-139.225579876107</v>
      </c>
      <c r="X61" s="39" t="n">
        <f aca="false">IFERROR((データ入力!$B$8*W61-U61*$N$22)/SQRT((データ入力!$B$8*V61-U61^2)*(データ入力!$B$8*$N$23-$N$22^2)),-1)</f>
        <v>0.996972517633756</v>
      </c>
      <c r="Z61" s="38" t="n">
        <f aca="false">IFERROR($R$10+($A61-1)*$R$9,"")</f>
        <v>59.2213567839196</v>
      </c>
      <c r="AA61" s="38" t="n">
        <f aca="false">IFERROR(SUMPRODUCT($B$7:$B$206,LN($Z61-$C$7:$C$206)),"")</f>
        <v>238.483901077934</v>
      </c>
      <c r="AB61" s="38" t="n">
        <f aca="false">IFERROR(SUMPRODUCT($B$7:$B$206,LN($Z61-$C$7:$C$206),LN($Z61-$C$7:$C$206)),"")</f>
        <v>758.630429878159</v>
      </c>
      <c r="AC61" s="38" t="n">
        <f aca="false">IFERROR(SUMPRODUCT($B$7:$B$206,LN($Z61-$C$7:$C$206),$H$7:$H$206),"")</f>
        <v>-126.916670907728</v>
      </c>
      <c r="AD61" s="39" t="n">
        <f aca="false">IFERROR((データ入力!$B$8*AC61-AA61*$N$22)/SQRT((データ入力!$B$8*AB61-AA61^2)*(データ入力!$B$8*$N$23-$N$22^2)),-1)</f>
        <v>0.997026952316428</v>
      </c>
    </row>
    <row r="62" customFormat="false" ht="15" hidden="false" customHeight="false" outlineLevel="0" collapsed="false">
      <c r="A62" s="32" t="n">
        <v>56</v>
      </c>
      <c r="B62" s="33" t="n">
        <f aca="false">IF($A62&lt;=データ入力!$B$8,1,0)</f>
        <v>1</v>
      </c>
      <c r="C62" s="34" t="n">
        <f aca="false">IF($B62=1,LARGE(データ入力!$B$12:$B$211,$A62),0)</f>
        <v>34.2</v>
      </c>
      <c r="D62" s="32" t="n">
        <f aca="false">IF($B62=1,IFERROR(INDEX(データ入力!$A$12:$A$211,MATCH($C62,データ入力!$B$12:$B$211,0)),""),"")</f>
        <v>1969</v>
      </c>
      <c r="E62" s="35" t="n">
        <f aca="false">IF($B62=1,1-$A62/(データ入力!$B$8+1),0)</f>
        <v>0.263157894736842</v>
      </c>
      <c r="F62" s="36" t="n">
        <f aca="false">IF($B62=1,(データ入力!$B$8+1)/$A62,"")</f>
        <v>1.35714285714286</v>
      </c>
      <c r="G62" s="37" t="n">
        <f aca="false">IF($B62=1,-LN(-LN($E62)),0)</f>
        <v>-0.288932090902336</v>
      </c>
      <c r="H62" s="37" t="n">
        <f aca="false">IF($B62=1,LN(-LN($E62)),0)</f>
        <v>0.288932090902336</v>
      </c>
      <c r="I62" s="36" t="n">
        <f aca="false">IF($B62=1,IFERROR($C62-($N$10+$N$9*$G62),""),"")</f>
        <v>0.124312560038334</v>
      </c>
      <c r="J62" s="36" t="n">
        <f aca="false">IF($B62=1,IFERROR($C62-($N$21-$N$26*EXP(-$G62/$N$24)),""),"")</f>
        <v>0.133091610795354</v>
      </c>
      <c r="T62" s="38" t="n">
        <f aca="false">IFERROR($R$6+($A62-1)*$R$5,"")</f>
        <v>66.95</v>
      </c>
      <c r="U62" s="38" t="n">
        <f aca="false">IFERROR(SUMPRODUCT($B$7:$B$206,LN($T62-$C$7:$C$206)),"")</f>
        <v>259.417852329097</v>
      </c>
      <c r="V62" s="38" t="n">
        <f aca="false">IFERROR(SUMPRODUCT($B$7:$B$206,LN($T62-$C$7:$C$206),LN($T62-$C$7:$C$206)),"")</f>
        <v>897.472798152409</v>
      </c>
      <c r="W62" s="38" t="n">
        <f aca="false">IFERROR(SUMPRODUCT($B$7:$B$206,LN($T62-$C$7:$C$206),$H$7:$H$206),"")</f>
        <v>-139.956779961806</v>
      </c>
      <c r="X62" s="39" t="n">
        <f aca="false">IFERROR((データ入力!$B$8*W62-U62*$N$22)/SQRT((データ入力!$B$8*V62-U62^2)*(データ入力!$B$8*$N$23-$N$22^2)),-1)</f>
        <v>0.996966453226159</v>
      </c>
      <c r="Z62" s="38" t="n">
        <f aca="false">IFERROR($R$10+($A62-1)*$R$9,"")</f>
        <v>59.2263819095477</v>
      </c>
      <c r="AA62" s="38" t="n">
        <f aca="false">IFERROR(SUMPRODUCT($B$7:$B$206,LN($Z62-$C$7:$C$206)),"")</f>
        <v>238.499608002981</v>
      </c>
      <c r="AB62" s="38" t="n">
        <f aca="false">IFERROR(SUMPRODUCT($B$7:$B$206,LN($Z62-$C$7:$C$206),LN($Z62-$C$7:$C$206)),"")</f>
        <v>758.73019236219</v>
      </c>
      <c r="AC62" s="38" t="n">
        <f aca="false">IFERROR(SUMPRODUCT($B$7:$B$206,LN($Z62-$C$7:$C$206),$H$7:$H$206),"")</f>
        <v>-126.926616775105</v>
      </c>
      <c r="AD62" s="39" t="n">
        <f aca="false">IFERROR((データ入力!$B$8*AC62-AA62*$N$22)/SQRT((データ入力!$B$8*AB62-AA62^2)*(データ入力!$B$8*$N$23-$N$22^2)),-1)</f>
        <v>0.997026957145299</v>
      </c>
    </row>
    <row r="63" customFormat="false" ht="15" hidden="false" customHeight="false" outlineLevel="0" collapsed="false">
      <c r="A63" s="32" t="n">
        <v>57</v>
      </c>
      <c r="B63" s="33" t="n">
        <f aca="false">IF($A63&lt;=データ入力!$B$8,1,0)</f>
        <v>1</v>
      </c>
      <c r="C63" s="34" t="n">
        <f aca="false">IF($B63=1,LARGE(データ入力!$B$12:$B$211,$A63),0)</f>
        <v>34.2</v>
      </c>
      <c r="D63" s="32" t="n">
        <f aca="false">IF($B63=1,IFERROR(INDEX(データ入力!$A$12:$A$211,MATCH($C63,データ入力!$B$12:$B$211,0)),""),"")</f>
        <v>1969</v>
      </c>
      <c r="E63" s="35" t="n">
        <f aca="false">IF($B63=1,1-$A63/(データ入力!$B$8+1),0)</f>
        <v>0.25</v>
      </c>
      <c r="F63" s="36" t="n">
        <f aca="false">IF($B63=1,(データ入力!$B$8+1)/$A63,"")</f>
        <v>1.33333333333333</v>
      </c>
      <c r="G63" s="37" t="n">
        <f aca="false">IF($B63=1,-LN(-LN($E63)),0)</f>
        <v>-0.326634259978281</v>
      </c>
      <c r="H63" s="37" t="n">
        <f aca="false">IF($B63=1,LN(-LN($E63)),0)</f>
        <v>0.326634259978281</v>
      </c>
      <c r="I63" s="36" t="n">
        <f aca="false">IF($B63=1,IFERROR($C63-($N$10+$N$9*$G63),""),"")</f>
        <v>0.171453170084845</v>
      </c>
      <c r="J63" s="36" t="n">
        <f aca="false">IF($B63=1,IFERROR($C63-($N$21-$N$26*EXP(-$G63/$N$24)),""),"")</f>
        <v>0.183903792720358</v>
      </c>
      <c r="T63" s="38" t="n">
        <f aca="false">IFERROR($R$6+($A63-1)*$R$5,"")</f>
        <v>67.45</v>
      </c>
      <c r="U63" s="38" t="n">
        <f aca="false">IFERROR(SUMPRODUCT($B$7:$B$206,LN($T63-$C$7:$C$206)),"")</f>
        <v>260.589896176846</v>
      </c>
      <c r="V63" s="38" t="n">
        <f aca="false">IFERROR(SUMPRODUCT($B$7:$B$206,LN($T63-$C$7:$C$206),LN($T63-$C$7:$C$206)),"")</f>
        <v>905.59372877862</v>
      </c>
      <c r="W63" s="38" t="n">
        <f aca="false">IFERROR(SUMPRODUCT($B$7:$B$206,LN($T63-$C$7:$C$206),$H$7:$H$206),"")</f>
        <v>-140.675417680693</v>
      </c>
      <c r="X63" s="39" t="n">
        <f aca="false">IFERROR((データ入力!$B$8*W63-U63*$N$22)/SQRT((データ入力!$B$8*V63-U63^2)*(データ入力!$B$8*$N$23-$N$22^2)),-1)</f>
        <v>0.996960279238368</v>
      </c>
      <c r="Z63" s="38" t="n">
        <f aca="false">IFERROR($R$10+($A63-1)*$R$9,"")</f>
        <v>59.2314070351759</v>
      </c>
      <c r="AA63" s="38" t="n">
        <f aca="false">IFERROR(SUMPRODUCT($B$7:$B$206,LN($Z63-$C$7:$C$206)),"")</f>
        <v>238.515311625285</v>
      </c>
      <c r="AB63" s="38" t="n">
        <f aca="false">IFERROR(SUMPRODUCT($B$7:$B$206,LN($Z63-$C$7:$C$206),LN($Z63-$C$7:$C$206)),"")</f>
        <v>758.829940502431</v>
      </c>
      <c r="AC63" s="38" t="n">
        <f aca="false">IFERROR(SUMPRODUCT($B$7:$B$206,LN($Z63-$C$7:$C$206),$H$7:$H$206),"")</f>
        <v>-126.936560282504</v>
      </c>
      <c r="AD63" s="39" t="n">
        <f aca="false">IFERROR((データ入力!$B$8*AC63-AA63*$N$22)/SQRT((データ入力!$B$8*AB63-AA63^2)*(データ入力!$B$8*$N$23-$N$22^2)),-1)</f>
        <v>0.997026961872205</v>
      </c>
    </row>
    <row r="64" customFormat="false" ht="15" hidden="false" customHeight="false" outlineLevel="0" collapsed="false">
      <c r="A64" s="32" t="n">
        <v>58</v>
      </c>
      <c r="B64" s="33" t="n">
        <f aca="false">IF($A64&lt;=データ入力!$B$8,1,0)</f>
        <v>1</v>
      </c>
      <c r="C64" s="34" t="n">
        <f aca="false">IF($B64=1,LARGE(データ入力!$B$12:$B$211,$A64),0)</f>
        <v>34</v>
      </c>
      <c r="D64" s="32" t="n">
        <f aca="false">IF($B64=1,IFERROR(INDEX(データ入力!$A$12:$A$211,MATCH($C64,データ入力!$B$12:$B$211,0)),""),"")</f>
        <v>2012</v>
      </c>
      <c r="E64" s="35" t="n">
        <f aca="false">IF($B64=1,1-$A64/(データ入力!$B$8+1),0)</f>
        <v>0.236842105263158</v>
      </c>
      <c r="F64" s="36" t="n">
        <f aca="false">IF($B64=1,(データ入力!$B$8+1)/$A64,"")</f>
        <v>1.31034482758621</v>
      </c>
      <c r="G64" s="37" t="n">
        <f aca="false">IF($B64=1,-LN(-LN($E64)),0)</f>
        <v>-0.364894180949921</v>
      </c>
      <c r="H64" s="37" t="n">
        <f aca="false">IF($B64=1,LN(-LN($E64)),0)</f>
        <v>0.364894180949921</v>
      </c>
      <c r="I64" s="36" t="n">
        <f aca="false">IF($B64=1,IFERROR($C64-($N$10+$N$9*$G64),""),"")</f>
        <v>0.0192911608195701</v>
      </c>
      <c r="J64" s="36" t="n">
        <f aca="false">IF($B64=1,IFERROR($C64-($N$21-$N$26*EXP(-$G64/$N$24)),""),"")</f>
        <v>0.0355715849366476</v>
      </c>
      <c r="T64" s="38" t="n">
        <f aca="false">IFERROR($R$6+($A64-1)*$R$5,"")</f>
        <v>67.95</v>
      </c>
      <c r="U64" s="38" t="n">
        <f aca="false">IFERROR(SUMPRODUCT($B$7:$B$206,LN($T64-$C$7:$C$206)),"")</f>
        <v>261.743864933203</v>
      </c>
      <c r="V64" s="38" t="n">
        <f aca="false">IFERROR(SUMPRODUCT($B$7:$B$206,LN($T64-$C$7:$C$206),LN($T64-$C$7:$C$206)),"")</f>
        <v>913.625373951616</v>
      </c>
      <c r="W64" s="38" t="n">
        <f aca="false">IFERROR(SUMPRODUCT($B$7:$B$206,LN($T64-$C$7:$C$206),$H$7:$H$206),"")</f>
        <v>-141.381916404706</v>
      </c>
      <c r="X64" s="39" t="n">
        <f aca="false">IFERROR((データ入力!$B$8*W64-U64*$N$22)/SQRT((データ入力!$B$8*V64-U64^2)*(データ入力!$B$8*$N$23-$N$22^2)),-1)</f>
        <v>0.996954015033961</v>
      </c>
      <c r="Z64" s="38" t="n">
        <f aca="false">IFERROR($R$10+($A64-1)*$R$9,"")</f>
        <v>59.236432160804</v>
      </c>
      <c r="AA64" s="38" t="n">
        <f aca="false">IFERROR(SUMPRODUCT($B$7:$B$206,LN($Z64-$C$7:$C$206)),"")</f>
        <v>238.531011946242</v>
      </c>
      <c r="AB64" s="38" t="n">
        <f aca="false">IFERROR(SUMPRODUCT($B$7:$B$206,LN($Z64-$C$7:$C$206),LN($Z64-$C$7:$C$206)),"")</f>
        <v>758.929674303533</v>
      </c>
      <c r="AC64" s="38" t="n">
        <f aca="false">IFERROR(SUMPRODUCT($B$7:$B$206,LN($Z64-$C$7:$C$206),$H$7:$H$206),"")</f>
        <v>-126.946501431042</v>
      </c>
      <c r="AD64" s="39" t="n">
        <f aca="false">IFERROR((データ入力!$B$8*AC64-AA64*$N$22)/SQRT((データ入力!$B$8*AB64-AA64^2)*(データ入力!$B$8*$N$23-$N$22^2)),-1)</f>
        <v>0.997026966497096</v>
      </c>
    </row>
    <row r="65" customFormat="false" ht="15" hidden="false" customHeight="false" outlineLevel="0" collapsed="false">
      <c r="A65" s="32" t="n">
        <v>59</v>
      </c>
      <c r="B65" s="33" t="n">
        <f aca="false">IF($A65&lt;=データ入力!$B$8,1,0)</f>
        <v>1</v>
      </c>
      <c r="C65" s="34" t="n">
        <f aca="false">IF($B65=1,LARGE(データ入力!$B$12:$B$211,$A65),0)</f>
        <v>33.9</v>
      </c>
      <c r="D65" s="32" t="n">
        <f aca="false">IF($B65=1,IFERROR(INDEX(データ入力!$A$12:$A$211,MATCH($C65,データ入力!$B$12:$B$211,0)),""),"")</f>
        <v>1982</v>
      </c>
      <c r="E65" s="35" t="n">
        <f aca="false">IF($B65=1,1-$A65/(データ入力!$B$8+1),0)</f>
        <v>0.223684210526316</v>
      </c>
      <c r="F65" s="36" t="n">
        <f aca="false">IF($B65=1,(データ入力!$B$8+1)/$A65,"")</f>
        <v>1.28813559322034</v>
      </c>
      <c r="G65" s="37" t="n">
        <f aca="false">IF($B65=1,-LN(-LN($E65)),0)</f>
        <v>-0.403810403993518</v>
      </c>
      <c r="H65" s="37" t="n">
        <f aca="false">IF($B65=1,LN(-LN($E65)),0)</f>
        <v>0.403810403993518</v>
      </c>
      <c r="I65" s="36" t="n">
        <f aca="false">IF($B65=1,IFERROR($C65-($N$10+$N$9*$G65),""),"")</f>
        <v>-0.0320502463210772</v>
      </c>
      <c r="J65" s="36" t="n">
        <f aca="false">IF($B65=1,IFERROR($C65-($N$21-$N$26*EXP(-$G65/$N$24)),""),"")</f>
        <v>-0.0117667214631041</v>
      </c>
      <c r="T65" s="38" t="n">
        <f aca="false">IFERROR($R$6+($A65-1)*$R$5,"")</f>
        <v>68.45</v>
      </c>
      <c r="U65" s="38" t="n">
        <f aca="false">IFERROR(SUMPRODUCT($B$7:$B$206,LN($T65-$C$7:$C$206)),"")</f>
        <v>262.88030888929</v>
      </c>
      <c r="V65" s="38" t="n">
        <f aca="false">IFERROR(SUMPRODUCT($B$7:$B$206,LN($T65-$C$7:$C$206),LN($T65-$C$7:$C$206)),"")</f>
        <v>921.569907495273</v>
      </c>
      <c r="W65" s="38" t="n">
        <f aca="false">IFERROR(SUMPRODUCT($B$7:$B$206,LN($T65-$C$7:$C$206),$H$7:$H$206),"")</f>
        <v>-142.07667849279</v>
      </c>
      <c r="X65" s="39" t="n">
        <f aca="false">IFERROR((データ入力!$B$8*W65-U65*$N$22)/SQRT((データ入力!$B$8*V65-U65^2)*(データ入力!$B$8*$N$23-$N$22^2)),-1)</f>
        <v>0.996947677899346</v>
      </c>
      <c r="Z65" s="38" t="n">
        <f aca="false">IFERROR($R$10+($A65-1)*$R$9,"")</f>
        <v>59.2414572864322</v>
      </c>
      <c r="AA65" s="38" t="n">
        <f aca="false">IFERROR(SUMPRODUCT($B$7:$B$206,LN($Z65-$C$7:$C$206)),"")</f>
        <v>238.546708967246</v>
      </c>
      <c r="AB65" s="38" t="n">
        <f aca="false">IFERROR(SUMPRODUCT($B$7:$B$206,LN($Z65-$C$7:$C$206),LN($Z65-$C$7:$C$206)),"")</f>
        <v>759.029393770144</v>
      </c>
      <c r="AC65" s="38" t="n">
        <f aca="false">IFERROR(SUMPRODUCT($B$7:$B$206,LN($Z65-$C$7:$C$206),$H$7:$H$206),"")</f>
        <v>-126.956440221833</v>
      </c>
      <c r="AD65" s="39" t="n">
        <f aca="false">IFERROR((データ入力!$B$8*AC65-AA65*$N$22)/SQRT((データ入力!$B$8*AB65-AA65^2)*(データ入力!$B$8*$N$23-$N$22^2)),-1)</f>
        <v>0.997026971020333</v>
      </c>
    </row>
    <row r="66" customFormat="false" ht="15" hidden="false" customHeight="false" outlineLevel="0" collapsed="false">
      <c r="A66" s="32" t="n">
        <v>60</v>
      </c>
      <c r="B66" s="33" t="n">
        <f aca="false">IF($A66&lt;=データ入力!$B$8,1,0)</f>
        <v>1</v>
      </c>
      <c r="C66" s="34" t="n">
        <f aca="false">IF($B66=1,LARGE(データ入力!$B$12:$B$211,$A66),0)</f>
        <v>33.8</v>
      </c>
      <c r="D66" s="32" t="n">
        <f aca="false">IF($B66=1,IFERROR(INDEX(データ入力!$A$12:$A$211,MATCH($C66,データ入力!$B$12:$B$211,0)),""),"")</f>
        <v>1962</v>
      </c>
      <c r="E66" s="35" t="n">
        <f aca="false">IF($B66=1,1-$A66/(データ入力!$B$8+1),0)</f>
        <v>0.210526315789474</v>
      </c>
      <c r="F66" s="36" t="n">
        <f aca="false">IF($B66=1,(データ入力!$B$8+1)/$A66,"")</f>
        <v>1.26666666666667</v>
      </c>
      <c r="G66" s="37" t="n">
        <f aca="false">IF($B66=1,-LN(-LN($E66)),0)</f>
        <v>-0.443495766020465</v>
      </c>
      <c r="H66" s="37" t="n">
        <f aca="false">IF($B66=1,LN(-LN($E66)),0)</f>
        <v>0.443495766020465</v>
      </c>
      <c r="I66" s="36" t="n">
        <f aca="false">IF($B66=1,IFERROR($C66-($N$10+$N$9*$G66),""),"")</f>
        <v>-0.0824299665939776</v>
      </c>
      <c r="J66" s="36" t="n">
        <f aca="false">IF($B66=1,IFERROR($C66-($N$21-$N$26*EXP(-$G66/$N$24)),""),"")</f>
        <v>-0.0579522357477487</v>
      </c>
      <c r="T66" s="38" t="n">
        <f aca="false">IFERROR($R$6+($A66-1)*$R$5,"")</f>
        <v>68.95</v>
      </c>
      <c r="U66" s="38" t="n">
        <f aca="false">IFERROR(SUMPRODUCT($B$7:$B$206,LN($T66-$C$7:$C$206)),"")</f>
        <v>263.999753526077</v>
      </c>
      <c r="V66" s="38" t="n">
        <f aca="false">IFERROR(SUMPRODUCT($B$7:$B$206,LN($T66-$C$7:$C$206),LN($T66-$C$7:$C$206)),"")</f>
        <v>929.42942150725</v>
      </c>
      <c r="W66" s="38" t="n">
        <f aca="false">IFERROR(SUMPRODUCT($B$7:$B$206,LN($T66-$C$7:$C$206),$H$7:$H$206),"")</f>
        <v>-142.760086657307</v>
      </c>
      <c r="X66" s="39" t="n">
        <f aca="false">IFERROR((データ入力!$B$8*W66-U66*$N$22)/SQRT((データ入力!$B$8*V66-U66^2)*(データ入力!$B$8*$N$23-$N$22^2)),-1)</f>
        <v>0.996941283273012</v>
      </c>
      <c r="Z66" s="38" t="n">
        <f aca="false">IFERROR($R$10+($A66-1)*$R$9,"")</f>
        <v>59.2464824120603</v>
      </c>
      <c r="AA66" s="38" t="n">
        <f aca="false">IFERROR(SUMPRODUCT($B$7:$B$206,LN($Z66-$C$7:$C$206)),"")</f>
        <v>238.562402689689</v>
      </c>
      <c r="AB66" s="38" t="n">
        <f aca="false">IFERROR(SUMPRODUCT($B$7:$B$206,LN($Z66-$C$7:$C$206),LN($Z66-$C$7:$C$206)),"")</f>
        <v>759.129098906909</v>
      </c>
      <c r="AC66" s="38" t="n">
        <f aca="false">IFERROR(SUMPRODUCT($B$7:$B$206,LN($Z66-$C$7:$C$206),$H$7:$H$206),"")</f>
        <v>-126.966376655992</v>
      </c>
      <c r="AD66" s="39" t="n">
        <f aca="false">IFERROR((データ入力!$B$8*AC66-AA66*$N$22)/SQRT((データ入力!$B$8*AB66-AA66^2)*(データ入力!$B$8*$N$23-$N$22^2)),-1)</f>
        <v>0.997026975441942</v>
      </c>
    </row>
    <row r="67" customFormat="false" ht="15" hidden="false" customHeight="false" outlineLevel="0" collapsed="false">
      <c r="A67" s="32" t="n">
        <v>61</v>
      </c>
      <c r="B67" s="33" t="n">
        <f aca="false">IF($A67&lt;=データ入力!$B$8,1,0)</f>
        <v>1</v>
      </c>
      <c r="C67" s="34" t="n">
        <f aca="false">IF($B67=1,LARGE(データ入力!$B$12:$B$211,$A67),0)</f>
        <v>33.8</v>
      </c>
      <c r="D67" s="32" t="n">
        <f aca="false">IF($B67=1,IFERROR(INDEX(データ入力!$A$12:$A$211,MATCH($C67,データ入力!$B$12:$B$211,0)),""),"")</f>
        <v>1962</v>
      </c>
      <c r="E67" s="35" t="n">
        <f aca="false">IF($B67=1,1-$A67/(データ入力!$B$8+1),0)</f>
        <v>0.197368421052632</v>
      </c>
      <c r="F67" s="36" t="n">
        <f aca="false">IF($B67=1,(データ入力!$B$8+1)/$A67,"")</f>
        <v>1.24590163934426</v>
      </c>
      <c r="G67" s="37" t="n">
        <f aca="false">IF($B67=1,-LN(-LN($E67)),0)</f>
        <v>-0.484081037915991</v>
      </c>
      <c r="H67" s="37" t="n">
        <f aca="false">IF($B67=1,LN(-LN($E67)),0)</f>
        <v>0.484081037915991</v>
      </c>
      <c r="I67" s="36" t="n">
        <f aca="false">IF($B67=1,IFERROR($C67-($N$10+$N$9*$G67),""),"")</f>
        <v>-0.0316844916531451</v>
      </c>
      <c r="J67" s="36" t="n">
        <f aca="false">IF($B67=1,IFERROR($C67-($N$21-$N$26*EXP(-$G67/$N$24)),""),"")</f>
        <v>-0.0028002404971943</v>
      </c>
      <c r="T67" s="38" t="n">
        <f aca="false">IFERROR($R$6+($A67-1)*$R$5,"")</f>
        <v>69.45</v>
      </c>
      <c r="U67" s="38" t="n">
        <f aca="false">IFERROR(SUMPRODUCT($B$7:$B$206,LN($T67-$C$7:$C$206)),"")</f>
        <v>265.102700987123</v>
      </c>
      <c r="V67" s="38" t="n">
        <f aca="false">IFERROR(SUMPRODUCT($B$7:$B$206,LN($T67-$C$7:$C$206),LN($T67-$C$7:$C$206)),"")</f>
        <v>937.205930488947</v>
      </c>
      <c r="W67" s="38" t="n">
        <f aca="false">IFERROR(SUMPRODUCT($B$7:$B$206,LN($T67-$C$7:$C$206),$H$7:$H$206),"")</f>
        <v>-143.432505221226</v>
      </c>
      <c r="X67" s="39" t="n">
        <f aca="false">IFERROR((データ入力!$B$8*W67-U67*$N$22)/SQRT((データ入力!$B$8*V67-U67^2)*(データ入力!$B$8*$N$23-$N$22^2)),-1)</f>
        <v>0.996934844936886</v>
      </c>
      <c r="Z67" s="38" t="n">
        <f aca="false">IFERROR($R$10+($A67-1)*$R$9,"")</f>
        <v>59.2515075376884</v>
      </c>
      <c r="AA67" s="38" t="n">
        <f aca="false">IFERROR(SUMPRODUCT($B$7:$B$206,LN($Z67-$C$7:$C$206)),"")</f>
        <v>238.578093114964</v>
      </c>
      <c r="AB67" s="38" t="n">
        <f aca="false">IFERROR(SUMPRODUCT($B$7:$B$206,LN($Z67-$C$7:$C$206),LN($Z67-$C$7:$C$206)),"")</f>
        <v>759.228789718473</v>
      </c>
      <c r="AC67" s="38" t="n">
        <f aca="false">IFERROR(SUMPRODUCT($B$7:$B$206,LN($Z67-$C$7:$C$206),$H$7:$H$206),"")</f>
        <v>-126.976310734633</v>
      </c>
      <c r="AD67" s="39" t="n">
        <f aca="false">IFERROR((データ入力!$B$8*AC67-AA67*$N$22)/SQRT((データ入力!$B$8*AB67-AA67^2)*(データ入力!$B$8*$N$23-$N$22^2)),-1)</f>
        <v>0.997026979761601</v>
      </c>
    </row>
    <row r="68" customFormat="false" ht="15" hidden="false" customHeight="false" outlineLevel="0" collapsed="false">
      <c r="A68" s="32" t="n">
        <v>62</v>
      </c>
      <c r="B68" s="33" t="n">
        <f aca="false">IF($A68&lt;=データ入力!$B$8,1,0)</f>
        <v>1</v>
      </c>
      <c r="C68" s="34" t="n">
        <f aca="false">IF($B68=1,LARGE(データ入力!$B$12:$B$211,$A68),0)</f>
        <v>33.6</v>
      </c>
      <c r="D68" s="32" t="n">
        <f aca="false">IF($B68=1,IFERROR(INDEX(データ入力!$A$12:$A$211,MATCH($C68,データ入力!$B$12:$B$211,0)),""),"")</f>
        <v>1967</v>
      </c>
      <c r="E68" s="35" t="n">
        <f aca="false">IF($B68=1,1-$A68/(データ入力!$B$8+1),0)</f>
        <v>0.18421052631579</v>
      </c>
      <c r="F68" s="36" t="n">
        <f aca="false">IF($B68=1,(データ入力!$B$8+1)/$A68,"")</f>
        <v>1.2258064516129</v>
      </c>
      <c r="G68" s="37" t="n">
        <f aca="false">IF($B68=1,-LN(-LN($E68)),0)</f>
        <v>-0.525719759793889</v>
      </c>
      <c r="H68" s="37" t="n">
        <f aca="false">IF($B68=1,LN(-LN($E68)),0)</f>
        <v>0.525719759793889</v>
      </c>
      <c r="I68" s="36" t="n">
        <f aca="false">IF($B68=1,IFERROR($C68-($N$10+$N$9*$G68),""),"")</f>
        <v>-0.179621843827043</v>
      </c>
      <c r="J68" s="36" t="n">
        <f aca="false">IF($B68=1,IFERROR($C68-($N$21-$N$26*EXP(-$G68/$N$24)),""),"")</f>
        <v>-0.146093254615849</v>
      </c>
      <c r="T68" s="38" t="n">
        <f aca="false">IFERROR($R$6+($A68-1)*$R$5,"")</f>
        <v>69.95</v>
      </c>
      <c r="U68" s="38" t="n">
        <f aca="false">IFERROR(SUMPRODUCT($B$7:$B$206,LN($T68-$C$7:$C$206)),"")</f>
        <v>266.18963144337</v>
      </c>
      <c r="V68" s="38" t="n">
        <f aca="false">IFERROR(SUMPRODUCT($B$7:$B$206,LN($T68-$C$7:$C$206),LN($T68-$C$7:$C$206)),"")</f>
        <v>944.901375214887</v>
      </c>
      <c r="W68" s="38" t="n">
        <f aca="false">IFERROR(SUMPRODUCT($B$7:$B$206,LN($T68-$C$7:$C$206),$H$7:$H$206),"")</f>
        <v>-144.094281276413</v>
      </c>
      <c r="X68" s="39" t="n">
        <f aca="false">IFERROR((データ入力!$B$8*W68-U68*$N$22)/SQRT((データ入力!$B$8*V68-U68^2)*(データ入力!$B$8*$N$23-$N$22^2)),-1)</f>
        <v>0.996928375202399</v>
      </c>
      <c r="Z68" s="38" t="n">
        <f aca="false">IFERROR($R$10+($A68-1)*$R$9,"")</f>
        <v>59.2565326633166</v>
      </c>
      <c r="AA68" s="38" t="n">
        <f aca="false">IFERROR(SUMPRODUCT($B$7:$B$206,LN($Z68-$C$7:$C$206)),"")</f>
        <v>238.593780244463</v>
      </c>
      <c r="AB68" s="38" t="n">
        <f aca="false">IFERROR(SUMPRODUCT($B$7:$B$206,LN($Z68-$C$7:$C$206),LN($Z68-$C$7:$C$206)),"")</f>
        <v>759.328466209476</v>
      </c>
      <c r="AC68" s="38" t="n">
        <f aca="false">IFERROR(SUMPRODUCT($B$7:$B$206,LN($Z68-$C$7:$C$206),$H$7:$H$206),"")</f>
        <v>-126.986242458869</v>
      </c>
      <c r="AD68" s="39" t="n">
        <f aca="false">IFERROR((データ入力!$B$8*AC68-AA68*$N$22)/SQRT((データ入力!$B$8*AB68-AA68^2)*(データ入力!$B$8*$N$23-$N$22^2)),-1)</f>
        <v>0.997026983979913</v>
      </c>
    </row>
    <row r="69" customFormat="false" ht="15" hidden="false" customHeight="false" outlineLevel="0" collapsed="false">
      <c r="A69" s="32" t="n">
        <v>63</v>
      </c>
      <c r="B69" s="33" t="n">
        <f aca="false">IF($A69&lt;=データ入力!$B$8,1,0)</f>
        <v>1</v>
      </c>
      <c r="C69" s="34" t="n">
        <f aca="false">IF($B69=1,LARGE(データ入力!$B$12:$B$211,$A69),0)</f>
        <v>33.6</v>
      </c>
      <c r="D69" s="32" t="n">
        <f aca="false">IF($B69=1,IFERROR(INDEX(データ入力!$A$12:$A$211,MATCH($C69,データ入力!$B$12:$B$211,0)),""),"")</f>
        <v>1967</v>
      </c>
      <c r="E69" s="35" t="n">
        <f aca="false">IF($B69=1,1-$A69/(データ入力!$B$8+1),0)</f>
        <v>0.171052631578947</v>
      </c>
      <c r="F69" s="36" t="n">
        <f aca="false">IF($B69=1,(データ入力!$B$8+1)/$A69,"")</f>
        <v>1.20634920634921</v>
      </c>
      <c r="G69" s="37" t="n">
        <f aca="false">IF($B69=1,-LN(-LN($E69)),0)</f>
        <v>-0.568594774668803</v>
      </c>
      <c r="H69" s="37" t="n">
        <f aca="false">IF($B69=1,LN(-LN($E69)),0)</f>
        <v>0.568594774668803</v>
      </c>
      <c r="I69" s="36" t="n">
        <f aca="false">IF($B69=1,IFERROR($C69-($N$10+$N$9*$G69),""),"")</f>
        <v>-0.12601340679295</v>
      </c>
      <c r="J69" s="36" t="n">
        <f aca="false">IF($B69=1,IFERROR($C69-($N$21-$N$26*EXP(-$G69/$N$24)),""),"")</f>
        <v>-0.0875716509461526</v>
      </c>
      <c r="T69" s="38" t="n">
        <f aca="false">IFERROR($R$6+($A69-1)*$R$5,"")</f>
        <v>70.45</v>
      </c>
      <c r="U69" s="38" t="n">
        <f aca="false">IFERROR(SUMPRODUCT($B$7:$B$206,LN($T69-$C$7:$C$206)),"")</f>
        <v>267.261004359407</v>
      </c>
      <c r="V69" s="38" t="n">
        <f aca="false">IFERROR(SUMPRODUCT($B$7:$B$206,LN($T69-$C$7:$C$206),LN($T69-$C$7:$C$206)),"")</f>
        <v>952.517626361138</v>
      </c>
      <c r="W69" s="38" t="n">
        <f aca="false">IFERROR(SUMPRODUCT($B$7:$B$206,LN($T69-$C$7:$C$206),$H$7:$H$206),"")</f>
        <v>-144.745745752196</v>
      </c>
      <c r="X69" s="39" t="n">
        <f aca="false">IFERROR((データ入力!$B$8*W69-U69*$N$22)/SQRT((データ入力!$B$8*V69-U69^2)*(データ入力!$B$8*$N$23-$N$22^2)),-1)</f>
        <v>0.996921885055571</v>
      </c>
      <c r="Z69" s="38" t="n">
        <f aca="false">IFERROR($R$10+($A69-1)*$R$9,"")</f>
        <v>59.2615577889447</v>
      </c>
      <c r="AA69" s="38" t="n">
        <f aca="false">IFERROR(SUMPRODUCT($B$7:$B$206,LN($Z69-$C$7:$C$206)),"")</f>
        <v>238.609464079575</v>
      </c>
      <c r="AB69" s="38" t="n">
        <f aca="false">IFERROR(SUMPRODUCT($B$7:$B$206,LN($Z69-$C$7:$C$206),LN($Z69-$C$7:$C$206)),"")</f>
        <v>759.428128384558</v>
      </c>
      <c r="AC69" s="38" t="n">
        <f aca="false">IFERROR(SUMPRODUCT($B$7:$B$206,LN($Z69-$C$7:$C$206),$H$7:$H$206),"")</f>
        <v>-126.996171829811</v>
      </c>
      <c r="AD69" s="39" t="n">
        <f aca="false">IFERROR((データ入力!$B$8*AC69-AA69*$N$22)/SQRT((データ入力!$B$8*AB69-AA69^2)*(データ入力!$B$8*$N$23-$N$22^2)),-1)</f>
        <v>0.997026988096818</v>
      </c>
    </row>
    <row r="70" customFormat="false" ht="15" hidden="false" customHeight="false" outlineLevel="0" collapsed="false">
      <c r="A70" s="32" t="n">
        <v>64</v>
      </c>
      <c r="B70" s="33" t="n">
        <f aca="false">IF($A70&lt;=データ入力!$B$8,1,0)</f>
        <v>1</v>
      </c>
      <c r="C70" s="34" t="n">
        <f aca="false">IF($B70=1,LARGE(データ入力!$B$12:$B$211,$A70),0)</f>
        <v>33.5</v>
      </c>
      <c r="D70" s="32" t="n">
        <f aca="false">IF($B70=1,IFERROR(INDEX(データ入力!$A$12:$A$211,MATCH($C70,データ入力!$B$12:$B$211,0)),""),"")</f>
        <v>1965</v>
      </c>
      <c r="E70" s="35" t="n">
        <f aca="false">IF($B70=1,1-$A70/(データ入力!$B$8+1),0)</f>
        <v>0.157894736842105</v>
      </c>
      <c r="F70" s="36" t="n">
        <f aca="false">IF($B70=1,(データ入力!$B$8+1)/$A70,"")</f>
        <v>1.1875</v>
      </c>
      <c r="G70" s="37" t="n">
        <f aca="false">IF($B70=1,-LN(-LN($E70)),0)</f>
        <v>-0.612927247869579</v>
      </c>
      <c r="H70" s="37" t="n">
        <f aca="false">IF($B70=1,LN(-LN($E70)),0)</f>
        <v>0.612927247869579</v>
      </c>
      <c r="I70" s="36" t="n">
        <f aca="false">IF($B70=1,IFERROR($C70-($N$10+$N$9*$G70),""),"")</f>
        <v>-0.170582648224517</v>
      </c>
      <c r="J70" s="36" t="n">
        <f aca="false">IF($B70=1,IFERROR($C70-($N$21-$N$26*EXP(-$G70/$N$24)),""),"")</f>
        <v>-0.126920693322973</v>
      </c>
      <c r="T70" s="38" t="n">
        <f aca="false">IFERROR($R$6+($A70-1)*$R$5,"")</f>
        <v>70.95</v>
      </c>
      <c r="U70" s="38" t="n">
        <f aca="false">IFERROR(SUMPRODUCT($B$7:$B$206,LN($T70-$C$7:$C$206)),"")</f>
        <v>268.317259669602</v>
      </c>
      <c r="V70" s="38" t="n">
        <f aca="false">IFERROR(SUMPRODUCT($B$7:$B$206,LN($T70-$C$7:$C$206),LN($T70-$C$7:$C$206)),"")</f>
        <v>960.056487910658</v>
      </c>
      <c r="W70" s="38" t="n">
        <f aca="false">IFERROR(SUMPRODUCT($B$7:$B$206,LN($T70-$C$7:$C$206),$H$7:$H$206),"")</f>
        <v>-145.38721440243</v>
      </c>
      <c r="X70" s="39" t="n">
        <f aca="false">IFERROR((データ入力!$B$8*W70-U70*$N$22)/SQRT((データ入力!$B$8*V70-U70^2)*(データ入力!$B$8*$N$23-$N$22^2)),-1)</f>
        <v>0.996915384306394</v>
      </c>
      <c r="Z70" s="38" t="n">
        <f aca="false">IFERROR($R$10+($A70-1)*$R$9,"")</f>
        <v>59.2665829145729</v>
      </c>
      <c r="AA70" s="38" t="n">
        <f aca="false">IFERROR(SUMPRODUCT($B$7:$B$206,LN($Z70-$C$7:$C$206)),"")</f>
        <v>238.625144621691</v>
      </c>
      <c r="AB70" s="38" t="n">
        <f aca="false">IFERROR(SUMPRODUCT($B$7:$B$206,LN($Z70-$C$7:$C$206),LN($Z70-$C$7:$C$206)),"")</f>
        <v>759.527776248354</v>
      </c>
      <c r="AC70" s="38" t="n">
        <f aca="false">IFERROR(SUMPRODUCT($B$7:$B$206,LN($Z70-$C$7:$C$206),$H$7:$H$206),"")</f>
        <v>-127.00609884857</v>
      </c>
      <c r="AD70" s="39" t="n">
        <f aca="false">IFERROR((データ入力!$B$8*AC70-AA70*$N$22)/SQRT((データ入力!$B$8*AB70-AA70^2)*(データ入力!$B$8*$N$23-$N$22^2)),-1)</f>
        <v>0.997026992112695</v>
      </c>
    </row>
    <row r="71" customFormat="false" ht="15" hidden="false" customHeight="false" outlineLevel="0" collapsed="false">
      <c r="A71" s="32" t="n">
        <v>65</v>
      </c>
      <c r="B71" s="33" t="n">
        <f aca="false">IF($A71&lt;=データ入力!$B$8,1,0)</f>
        <v>1</v>
      </c>
      <c r="C71" s="34" t="n">
        <f aca="false">IF($B71=1,LARGE(データ入力!$B$12:$B$211,$A71),0)</f>
        <v>33.5</v>
      </c>
      <c r="D71" s="32" t="n">
        <f aca="false">IF($B71=1,IFERROR(INDEX(データ入力!$A$12:$A$211,MATCH($C71,データ入力!$B$12:$B$211,0)),""),"")</f>
        <v>1965</v>
      </c>
      <c r="E71" s="35" t="n">
        <f aca="false">IF($B71=1,1-$A71/(データ入力!$B$8+1),0)</f>
        <v>0.144736842105263</v>
      </c>
      <c r="F71" s="36" t="n">
        <f aca="false">IF($B71=1,(データ入力!$B$8+1)/$A71,"")</f>
        <v>1.16923076923077</v>
      </c>
      <c r="G71" s="37" t="n">
        <f aca="false">IF($B71=1,-LN(-LN($E71)),0)</f>
        <v>-0.658989424077629</v>
      </c>
      <c r="H71" s="37" t="n">
        <f aca="false">IF($B71=1,LN(-LN($E71)),0)</f>
        <v>0.658989424077629</v>
      </c>
      <c r="I71" s="36" t="n">
        <f aca="false">IF($B71=1,IFERROR($C71-($N$10+$N$9*$G71),""),"")</f>
        <v>-0.112989169129371</v>
      </c>
      <c r="J71" s="36" t="n">
        <f aca="false">IF($B71=1,IFERROR($C71-($N$21-$N$26*EXP(-$G71/$N$24)),""),"")</f>
        <v>-0.0637521870161208</v>
      </c>
      <c r="T71" s="38" t="n">
        <f aca="false">IFERROR($R$6+($A71-1)*$R$5,"")</f>
        <v>71.45</v>
      </c>
      <c r="U71" s="38" t="n">
        <f aca="false">IFERROR(SUMPRODUCT($B$7:$B$206,LN($T71-$C$7:$C$206)),"")</f>
        <v>269.358818871737</v>
      </c>
      <c r="V71" s="38" t="n">
        <f aca="false">IFERROR(SUMPRODUCT($B$7:$B$206,LN($T71-$C$7:$C$206),LN($T71-$C$7:$C$206)),"")</f>
        <v>967.519700351953</v>
      </c>
      <c r="W71" s="38" t="n">
        <f aca="false">IFERROR(SUMPRODUCT($B$7:$B$206,LN($T71-$C$7:$C$206),$H$7:$H$206),"")</f>
        <v>-146.018988718386</v>
      </c>
      <c r="X71" s="39" t="n">
        <f aca="false">IFERROR((データ入力!$B$8*W71-U71*$N$22)/SQRT((データ入力!$B$8*V71-U71^2)*(データ入力!$B$8*$N$23-$N$22^2)),-1)</f>
        <v>0.996908881701474</v>
      </c>
      <c r="Z71" s="38" t="n">
        <f aca="false">IFERROR($R$10+($A71-1)*$R$9,"")</f>
        <v>59.271608040201</v>
      </c>
      <c r="AA71" s="38" t="n">
        <f aca="false">IFERROR(SUMPRODUCT($B$7:$B$206,LN($Z71-$C$7:$C$206)),"")</f>
        <v>238.640821872198</v>
      </c>
      <c r="AB71" s="38" t="n">
        <f aca="false">IFERROR(SUMPRODUCT($B$7:$B$206,LN($Z71-$C$7:$C$206),LN($Z71-$C$7:$C$206)),"")</f>
        <v>759.627409805499</v>
      </c>
      <c r="AC71" s="38" t="n">
        <f aca="false">IFERROR(SUMPRODUCT($B$7:$B$206,LN($Z71-$C$7:$C$206),$H$7:$H$206),"")</f>
        <v>-127.016023516258</v>
      </c>
      <c r="AD71" s="39" t="n">
        <f aca="false">IFERROR((データ入力!$B$8*AC71-AA71*$N$22)/SQRT((データ入力!$B$8*AB71-AA71^2)*(データ入力!$B$8*$N$23-$N$22^2)),-1)</f>
        <v>0.997026996027578</v>
      </c>
    </row>
    <row r="72" customFormat="false" ht="15" hidden="false" customHeight="false" outlineLevel="0" collapsed="false">
      <c r="A72" s="32" t="n">
        <v>66</v>
      </c>
      <c r="B72" s="33" t="n">
        <f aca="false">IF($A72&lt;=データ入力!$B$8,1,0)</f>
        <v>1</v>
      </c>
      <c r="C72" s="34" t="n">
        <f aca="false">IF($B72=1,LARGE(データ入力!$B$12:$B$211,$A72),0)</f>
        <v>33.4</v>
      </c>
      <c r="D72" s="32" t="n">
        <f aca="false">IF($B72=1,IFERROR(INDEX(データ入力!$A$12:$A$211,MATCH($C72,データ入力!$B$12:$B$211,0)),""),"")</f>
        <v>1975</v>
      </c>
      <c r="E72" s="35" t="n">
        <f aca="false">IF($B72=1,1-$A72/(データ入力!$B$8+1),0)</f>
        <v>0.131578947368421</v>
      </c>
      <c r="F72" s="36" t="n">
        <f aca="false">IF($B72=1,(データ入力!$B$8+1)/$A72,"")</f>
        <v>1.15151515151515</v>
      </c>
      <c r="G72" s="37" t="n">
        <f aca="false">IF($B72=1,-LN(-LN($E72)),0)</f>
        <v>-0.707123183299989</v>
      </c>
      <c r="H72" s="37" t="n">
        <f aca="false">IF($B72=1,LN(-LN($E72)),0)</f>
        <v>0.707123183299989</v>
      </c>
      <c r="I72" s="36" t="n">
        <f aca="false">IF($B72=1,IFERROR($C72-($N$10+$N$9*$G72),""),"")</f>
        <v>-0.152805502534406</v>
      </c>
      <c r="J72" s="36" t="n">
        <f aca="false">IF($B72=1,IFERROR($C72-($N$21-$N$26*EXP(-$G72/$N$24)),""),"")</f>
        <v>-0.0975777668797448</v>
      </c>
      <c r="T72" s="38" t="n">
        <f aca="false">IFERROR($R$6+($A72-1)*$R$5,"")</f>
        <v>71.95</v>
      </c>
      <c r="U72" s="38" t="n">
        <f aca="false">IFERROR(SUMPRODUCT($B$7:$B$206,LN($T72-$C$7:$C$206)),"")</f>
        <v>270.386086044988</v>
      </c>
      <c r="V72" s="38" t="n">
        <f aca="false">IFERROR(SUMPRODUCT($B$7:$B$206,LN($T72-$C$7:$C$206),LN($T72-$C$7:$C$206)),"")</f>
        <v>974.908943685986</v>
      </c>
      <c r="W72" s="38" t="n">
        <f aca="false">IFERROR(SUMPRODUCT($B$7:$B$206,LN($T72-$C$7:$C$206),$H$7:$H$206),"")</f>
        <v>-146.641356774079</v>
      </c>
      <c r="X72" s="39" t="n">
        <f aca="false">IFERROR((データ入力!$B$8*W72-U72*$N$22)/SQRT((データ入力!$B$8*V72-U72^2)*(データ入力!$B$8*$N$23-$N$22^2)),-1)</f>
        <v>0.996902385037506</v>
      </c>
      <c r="Z72" s="38" t="n">
        <f aca="false">IFERROR($R$10+($A72-1)*$R$9,"")</f>
        <v>59.2766331658291</v>
      </c>
      <c r="AA72" s="38" t="n">
        <f aca="false">IFERROR(SUMPRODUCT($B$7:$B$206,LN($Z72-$C$7:$C$206)),"")</f>
        <v>238.656495832486</v>
      </c>
      <c r="AB72" s="38" t="n">
        <f aca="false">IFERROR(SUMPRODUCT($B$7:$B$206,LN($Z72-$C$7:$C$206),LN($Z72-$C$7:$C$206)),"")</f>
        <v>759.727029060625</v>
      </c>
      <c r="AC72" s="38" t="n">
        <f aca="false">IFERROR(SUMPRODUCT($B$7:$B$206,LN($Z72-$C$7:$C$206),$H$7:$H$206),"")</f>
        <v>-127.025945833983</v>
      </c>
      <c r="AD72" s="39" t="n">
        <f aca="false">IFERROR((データ入力!$B$8*AC72-AA72*$N$22)/SQRT((データ入力!$B$8*AB72-AA72^2)*(データ入力!$B$8*$N$23-$N$22^2)),-1)</f>
        <v>0.997026999841146</v>
      </c>
    </row>
    <row r="73" customFormat="false" ht="15" hidden="false" customHeight="false" outlineLevel="0" collapsed="false">
      <c r="A73" s="32" t="n">
        <v>67</v>
      </c>
      <c r="B73" s="33" t="n">
        <f aca="false">IF($A73&lt;=データ入力!$B$8,1,0)</f>
        <v>1</v>
      </c>
      <c r="C73" s="34" t="n">
        <f aca="false">IF($B73=1,LARGE(データ入力!$B$12:$B$211,$A73),0)</f>
        <v>33.3</v>
      </c>
      <c r="D73" s="32" t="n">
        <f aca="false">IF($B73=1,IFERROR(INDEX(データ入力!$A$12:$A$211,MATCH($C73,データ入力!$B$12:$B$211,0)),""),"")</f>
        <v>1951</v>
      </c>
      <c r="E73" s="35" t="n">
        <f aca="false">IF($B73=1,1-$A73/(データ入力!$B$8+1),0)</f>
        <v>0.118421052631579</v>
      </c>
      <c r="F73" s="36" t="n">
        <f aca="false">IF($B73=1,(データ入力!$B$8+1)/$A73,"")</f>
        <v>1.13432835820896</v>
      </c>
      <c r="G73" s="37" t="n">
        <f aca="false">IF($B73=1,-LN(-LN($E73)),0)</f>
        <v>-0.757767930949464</v>
      </c>
      <c r="H73" s="37" t="n">
        <f aca="false">IF($B73=1,LN(-LN($E73)),0)</f>
        <v>0.757767930949464</v>
      </c>
      <c r="I73" s="36" t="n">
        <f aca="false">IF($B73=1,IFERROR($C73-($N$10+$N$9*$G73),""),"")</f>
        <v>-0.189482241343825</v>
      </c>
      <c r="J73" s="36" t="n">
        <f aca="false">IF($B73=1,IFERROR($C73-($N$21-$N$26*EXP(-$G73/$N$24)),""),"")</f>
        <v>-0.1277687163971</v>
      </c>
      <c r="T73" s="38" t="n">
        <f aca="false">IFERROR($R$6+($A73-1)*$R$5,"")</f>
        <v>72.45</v>
      </c>
      <c r="U73" s="38" t="n">
        <f aca="false">IFERROR(SUMPRODUCT($B$7:$B$206,LN($T73-$C$7:$C$206)),"")</f>
        <v>271.399448798466</v>
      </c>
      <c r="V73" s="38" t="n">
        <f aca="false">IFERROR(SUMPRODUCT($B$7:$B$206,LN($T73-$C$7:$C$206),LN($T73-$C$7:$C$206)),"")</f>
        <v>982.225840255092</v>
      </c>
      <c r="W73" s="38" t="n">
        <f aca="false">IFERROR(SUMPRODUCT($B$7:$B$206,LN($T73-$C$7:$C$206),$H$7:$H$206),"")</f>
        <v>-147.254594009912</v>
      </c>
      <c r="X73" s="39" t="n">
        <f aca="false">IFERROR((データ入力!$B$8*W73-U73*$N$22)/SQRT((データ入力!$B$8*V73-U73^2)*(データ入力!$B$8*$N$23-$N$22^2)),-1)</f>
        <v>0.996895901258739</v>
      </c>
      <c r="Z73" s="38" t="n">
        <f aca="false">IFERROR($R$10+($A73-1)*$R$9,"")</f>
        <v>59.2816582914573</v>
      </c>
      <c r="AA73" s="38" t="n">
        <f aca="false">IFERROR(SUMPRODUCT($B$7:$B$206,LN($Z73-$C$7:$C$206)),"")</f>
        <v>238.672166503939</v>
      </c>
      <c r="AB73" s="38" t="n">
        <f aca="false">IFERROR(SUMPRODUCT($B$7:$B$206,LN($Z73-$C$7:$C$206),LN($Z73-$C$7:$C$206)),"")</f>
        <v>759.82663401836</v>
      </c>
      <c r="AC73" s="38" t="n">
        <f aca="false">IFERROR(SUMPRODUCT($B$7:$B$206,LN($Z73-$C$7:$C$206),$H$7:$H$206),"")</f>
        <v>-127.035865802854</v>
      </c>
      <c r="AD73" s="39" t="n">
        <f aca="false">IFERROR((データ入力!$B$8*AC73-AA73*$N$22)/SQRT((データ入力!$B$8*AB73-AA73^2)*(データ入力!$B$8*$N$23-$N$22^2)),-1)</f>
        <v>0.997027003554171</v>
      </c>
    </row>
    <row r="74" customFormat="false" ht="15" hidden="false" customHeight="false" outlineLevel="0" collapsed="false">
      <c r="A74" s="32" t="n">
        <v>68</v>
      </c>
      <c r="B74" s="33" t="n">
        <f aca="false">IF($A74&lt;=データ入力!$B$8,1,0)</f>
        <v>1</v>
      </c>
      <c r="C74" s="34" t="n">
        <f aca="false">IF($B74=1,LARGE(データ入力!$B$12:$B$211,$A74),0)</f>
        <v>33.2</v>
      </c>
      <c r="D74" s="32" t="n">
        <f aca="false">IF($B74=1,IFERROR(INDEX(データ入力!$A$12:$A$211,MATCH($C74,データ入力!$B$12:$B$211,0)),""),"")</f>
        <v>1958</v>
      </c>
      <c r="E74" s="35" t="n">
        <f aca="false">IF($B74=1,1-$A74/(データ入力!$B$8+1),0)</f>
        <v>0.105263157894737</v>
      </c>
      <c r="F74" s="36" t="n">
        <f aca="false">IF($B74=1,(データ入力!$B$8+1)/$A74,"")</f>
        <v>1.11764705882353</v>
      </c>
      <c r="G74" s="37" t="n">
        <f aca="false">IF($B74=1,-LN(-LN($E74)),0)</f>
        <v>-0.811504184179196</v>
      </c>
      <c r="H74" s="37" t="n">
        <f aca="false">IF($B74=1,LN(-LN($E74)),0)</f>
        <v>0.811504184179196</v>
      </c>
      <c r="I74" s="36" t="n">
        <f aca="false">IF($B74=1,IFERROR($C74-($N$10+$N$9*$G74),""),"")</f>
        <v>-0.222293540509114</v>
      </c>
      <c r="J74" s="36" t="n">
        <f aca="false">IF($B74=1,IFERROR($C74-($N$21-$N$26*EXP(-$G74/$N$24)),""),"")</f>
        <v>-0.153493120249394</v>
      </c>
      <c r="T74" s="38" t="n">
        <f aca="false">IFERROR($R$6+($A74-1)*$R$5,"")</f>
        <v>72.95</v>
      </c>
      <c r="U74" s="38" t="n">
        <f aca="false">IFERROR(SUMPRODUCT($B$7:$B$206,LN($T74-$C$7:$C$206)),"")</f>
        <v>272.399279155945</v>
      </c>
      <c r="V74" s="38" t="n">
        <f aca="false">IFERROR(SUMPRODUCT($B$7:$B$206,LN($T74-$C$7:$C$206),LN($T74-$C$7:$C$206)),"")</f>
        <v>989.471957406455</v>
      </c>
      <c r="W74" s="38" t="n">
        <f aca="false">IFERROR(SUMPRODUCT($B$7:$B$206,LN($T74-$C$7:$C$206),$H$7:$H$206),"")</f>
        <v>-147.858963959986</v>
      </c>
      <c r="X74" s="39" t="n">
        <f aca="false">IFERROR((データ入力!$B$8*W74-U74*$N$22)/SQRT((データ入力!$B$8*V74-U74^2)*(データ入力!$B$8*$N$23-$N$22^2)),-1)</f>
        <v>0.99688943654472</v>
      </c>
      <c r="Z74" s="38" t="n">
        <f aca="false">IFERROR($R$10+($A74-1)*$R$9,"")</f>
        <v>59.2866834170854</v>
      </c>
      <c r="AA74" s="38" t="n">
        <f aca="false">IFERROR(SUMPRODUCT($B$7:$B$206,LN($Z74-$C$7:$C$206)),"")</f>
        <v>238.687833887946</v>
      </c>
      <c r="AB74" s="38" t="n">
        <f aca="false">IFERROR(SUMPRODUCT($B$7:$B$206,LN($Z74-$C$7:$C$206),LN($Z74-$C$7:$C$206)),"")</f>
        <v>759.926224683333</v>
      </c>
      <c r="AC74" s="38" t="n">
        <f aca="false">IFERROR(SUMPRODUCT($B$7:$B$206,LN($Z74-$C$7:$C$206),$H$7:$H$206),"")</f>
        <v>-127.045783423981</v>
      </c>
      <c r="AD74" s="39" t="n">
        <f aca="false">IFERROR((データ入力!$B$8*AC74-AA74*$N$22)/SQRT((データ入力!$B$8*AB74-AA74^2)*(データ入力!$B$8*$N$23-$N$22^2)),-1)</f>
        <v>0.997027007166598</v>
      </c>
    </row>
    <row r="75" customFormat="false" ht="15" hidden="false" customHeight="false" outlineLevel="0" collapsed="false">
      <c r="A75" s="32" t="n">
        <v>69</v>
      </c>
      <c r="B75" s="33" t="n">
        <f aca="false">IF($A75&lt;=データ入力!$B$8,1,0)</f>
        <v>1</v>
      </c>
      <c r="C75" s="34" t="n">
        <f aca="false">IF($B75=1,LARGE(データ入力!$B$12:$B$211,$A75),0)</f>
        <v>33.1</v>
      </c>
      <c r="D75" s="32" t="n">
        <f aca="false">IF($B75=1,IFERROR(INDEX(データ入力!$A$12:$A$211,MATCH($C75,データ入力!$B$12:$B$211,0)),""),"")</f>
        <v>1966</v>
      </c>
      <c r="E75" s="35" t="n">
        <f aca="false">IF($B75=1,1-$A75/(データ入力!$B$8+1),0)</f>
        <v>0.0921052631578947</v>
      </c>
      <c r="F75" s="36" t="n">
        <f aca="false">IF($B75=1,(データ入力!$B$8+1)/$A75,"")</f>
        <v>1.10144927536232</v>
      </c>
      <c r="G75" s="37" t="n">
        <f aca="false">IF($B75=1,-LN(-LN($E75)),0)</f>
        <v>-0.869124987936512</v>
      </c>
      <c r="H75" s="37" t="n">
        <f aca="false">IF($B75=1,LN(-LN($E75)),0)</f>
        <v>0.869124987936512</v>
      </c>
      <c r="I75" s="36" t="n">
        <f aca="false">IF($B75=1,IFERROR($C75-($N$10+$N$9*$G75),""),"")</f>
        <v>-0.250247822528849</v>
      </c>
      <c r="J75" s="36" t="n">
        <f aca="false">IF($B75=1,IFERROR($C75-($N$21-$N$26*EXP(-$G75/$N$24)),""),"")</f>
        <v>-0.173612795575835</v>
      </c>
      <c r="T75" s="38" t="n">
        <f aca="false">IFERROR($R$6+($A75-1)*$R$5,"")</f>
        <v>73.45</v>
      </c>
      <c r="U75" s="38" t="n">
        <f aca="false">IFERROR(SUMPRODUCT($B$7:$B$206,LN($T75-$C$7:$C$206)),"")</f>
        <v>273.38593438185</v>
      </c>
      <c r="V75" s="38" t="n">
        <f aca="false">IFERROR(SUMPRODUCT($B$7:$B$206,LN($T75-$C$7:$C$206),LN($T75-$C$7:$C$206)),"")</f>
        <v>996.648810001724</v>
      </c>
      <c r="W75" s="38" t="n">
        <f aca="false">IFERROR(SUMPRODUCT($B$7:$B$206,LN($T75-$C$7:$C$206),$H$7:$H$206),"")</f>
        <v>-148.454718927848</v>
      </c>
      <c r="X75" s="39" t="n">
        <f aca="false">IFERROR((データ入力!$B$8*W75-U75*$N$22)/SQRT((データ入力!$B$8*V75-U75^2)*(データ入力!$B$8*$N$23-$N$22^2)),-1)</f>
        <v>0.996882996386203</v>
      </c>
      <c r="Z75" s="38" t="n">
        <f aca="false">IFERROR($R$10+($A75-1)*$R$9,"")</f>
        <v>59.2917085427136</v>
      </c>
      <c r="AA75" s="38" t="n">
        <f aca="false">IFERROR(SUMPRODUCT($B$7:$B$206,LN($Z75-$C$7:$C$206)),"")</f>
        <v>238.703497985891</v>
      </c>
      <c r="AB75" s="38" t="n">
        <f aca="false">IFERROR(SUMPRODUCT($B$7:$B$206,LN($Z75-$C$7:$C$206),LN($Z75-$C$7:$C$206)),"")</f>
        <v>760.025801060167</v>
      </c>
      <c r="AC75" s="38" t="n">
        <f aca="false">IFERROR(SUMPRODUCT($B$7:$B$206,LN($Z75-$C$7:$C$206),$H$7:$H$206),"")</f>
        <v>-127.055698698469</v>
      </c>
      <c r="AD75" s="39" t="n">
        <f aca="false">IFERROR((データ入力!$B$8*AC75-AA75*$N$22)/SQRT((データ入力!$B$8*AB75-AA75^2)*(データ入力!$B$8*$N$23-$N$22^2)),-1)</f>
        <v>0.997027010678654</v>
      </c>
    </row>
    <row r="76" customFormat="false" ht="15" hidden="false" customHeight="false" outlineLevel="0" collapsed="false">
      <c r="A76" s="32" t="n">
        <v>70</v>
      </c>
      <c r="B76" s="33" t="n">
        <f aca="false">IF($A76&lt;=データ入力!$B$8,1,0)</f>
        <v>1</v>
      </c>
      <c r="C76" s="34" t="n">
        <f aca="false">IF($B76=1,LARGE(データ入力!$B$12:$B$211,$A76),0)</f>
        <v>33.1</v>
      </c>
      <c r="D76" s="32" t="n">
        <f aca="false">IF($B76=1,IFERROR(INDEX(データ入力!$A$12:$A$211,MATCH($C76,データ入力!$B$12:$B$211,0)),""),"")</f>
        <v>1966</v>
      </c>
      <c r="E76" s="35" t="n">
        <f aca="false">IF($B76=1,1-$A76/(データ入力!$B$8+1),0)</f>
        <v>0.0789473684210527</v>
      </c>
      <c r="F76" s="36" t="n">
        <f aca="false">IF($B76=1,(データ入力!$B$8+1)/$A76,"")</f>
        <v>1.08571428571429</v>
      </c>
      <c r="G76" s="37" t="n">
        <f aca="false">IF($B76=1,-LN(-LN($E76)),0)</f>
        <v>-0.931760011633068</v>
      </c>
      <c r="H76" s="37" t="n">
        <f aca="false">IF($B76=1,LN(-LN($E76)),0)</f>
        <v>0.931760011633068</v>
      </c>
      <c r="I76" s="36" t="n">
        <f aca="false">IF($B76=1,IFERROR($C76-($N$10+$N$9*$G76),""),"")</f>
        <v>-0.171932614154883</v>
      </c>
      <c r="J76" s="36" t="n">
        <f aca="false">IF($B76=1,IFERROR($C76-($N$21-$N$26*EXP(-$G76/$N$24)),""),"")</f>
        <v>-0.0865040149660032</v>
      </c>
      <c r="T76" s="38" t="n">
        <f aca="false">IFERROR($R$6+($A76-1)*$R$5,"")</f>
        <v>73.95</v>
      </c>
      <c r="U76" s="38" t="n">
        <f aca="false">IFERROR(SUMPRODUCT($B$7:$B$206,LN($T76-$C$7:$C$206)),"")</f>
        <v>274.359757753152</v>
      </c>
      <c r="V76" s="38" t="n">
        <f aca="false">IFERROR(SUMPRODUCT($B$7:$B$206,LN($T76-$C$7:$C$206),LN($T76-$C$7:$C$206)),"")</f>
        <v>1003.75786278337</v>
      </c>
      <c r="W76" s="38" t="n">
        <f aca="false">IFERROR(SUMPRODUCT($B$7:$B$206,LN($T76-$C$7:$C$206),$H$7:$H$206),"")</f>
        <v>-149.042100615004</v>
      </c>
      <c r="X76" s="39" t="n">
        <f aca="false">IFERROR((データ入力!$B$8*W76-U76*$N$22)/SQRT((データ入力!$B$8*V76-U76^2)*(データ入力!$B$8*$N$23-$N$22^2)),-1)</f>
        <v>0.996876585652183</v>
      </c>
      <c r="Z76" s="38" t="n">
        <f aca="false">IFERROR($R$10+($A76-1)*$R$9,"")</f>
        <v>59.2967336683417</v>
      </c>
      <c r="AA76" s="38" t="n">
        <f aca="false">IFERROR(SUMPRODUCT($B$7:$B$206,LN($Z76-$C$7:$C$206)),"")</f>
        <v>238.719158799157</v>
      </c>
      <c r="AB76" s="38" t="n">
        <f aca="false">IFERROR(SUMPRODUCT($B$7:$B$206,LN($Z76-$C$7:$C$206),LN($Z76-$C$7:$C$206)),"")</f>
        <v>760.125363153486</v>
      </c>
      <c r="AC76" s="38" t="n">
        <f aca="false">IFERROR(SUMPRODUCT($B$7:$B$206,LN($Z76-$C$7:$C$206),$H$7:$H$206),"")</f>
        <v>-127.065611627426</v>
      </c>
      <c r="AD76" s="39" t="n">
        <f aca="false">IFERROR((データ入力!$B$8*AC76-AA76*$N$22)/SQRT((データ入力!$B$8*AB76-AA76^2)*(データ入力!$B$8*$N$23-$N$22^2)),-1)</f>
        <v>0.997027014089721</v>
      </c>
    </row>
    <row r="77" customFormat="false" ht="15" hidden="false" customHeight="false" outlineLevel="0" collapsed="false">
      <c r="A77" s="32" t="n">
        <v>71</v>
      </c>
      <c r="B77" s="33" t="n">
        <f aca="false">IF($A77&lt;=データ入力!$B$8,1,0)</f>
        <v>1</v>
      </c>
      <c r="C77" s="34" t="n">
        <f aca="false">IF($B77=1,LARGE(データ入力!$B$12:$B$211,$A77),0)</f>
        <v>33</v>
      </c>
      <c r="D77" s="32" t="n">
        <f aca="false">IF($B77=1,IFERROR(INDEX(データ入力!$A$12:$A$211,MATCH($C77,データ入力!$B$12:$B$211,0)),""),"")</f>
        <v>1952</v>
      </c>
      <c r="E77" s="35" t="n">
        <f aca="false">IF($B77=1,1-$A77/(データ入力!$B$8+1),0)</f>
        <v>0.0657894736842105</v>
      </c>
      <c r="F77" s="36" t="n">
        <f aca="false">IF($B77=1,(データ入力!$B$8+1)/$A77,"")</f>
        <v>1.07042253521127</v>
      </c>
      <c r="G77" s="37" t="n">
        <f aca="false">IF($B77=1,-LN(-LN($E77)),0)</f>
        <v>-1.00110802717179</v>
      </c>
      <c r="H77" s="37" t="n">
        <f aca="false">IF($B77=1,LN(-LN($E77)),0)</f>
        <v>1.00110802717179</v>
      </c>
      <c r="I77" s="36" t="n">
        <f aca="false">IF($B77=1,IFERROR($C77-($N$10+$N$9*$G77),""),"")</f>
        <v>-0.185223869323131</v>
      </c>
      <c r="J77" s="36" t="n">
        <f aca="false">IF($B77=1,IFERROR($C77-($N$21-$N$26*EXP(-$G77/$N$24)),""),"")</f>
        <v>-0.0897212779283763</v>
      </c>
      <c r="T77" s="38" t="n">
        <f aca="false">IFERROR($R$6+($A77-1)*$R$5,"")</f>
        <v>74.45</v>
      </c>
      <c r="U77" s="38" t="n">
        <f aca="false">IFERROR(SUMPRODUCT($B$7:$B$206,LN($T77-$C$7:$C$206)),"")</f>
        <v>275.321079281363</v>
      </c>
      <c r="V77" s="38" t="n">
        <f aca="false">IFERROR(SUMPRODUCT($B$7:$B$206,LN($T77-$C$7:$C$206),LN($T77-$C$7:$C$206)),"")</f>
        <v>1010.80053260757</v>
      </c>
      <c r="W77" s="38" t="n">
        <f aca="false">IFERROR(SUMPRODUCT($B$7:$B$206,LN($T77-$C$7:$C$206),$H$7:$H$206),"")</f>
        <v>-149.621340706108</v>
      </c>
      <c r="X77" s="39" t="n">
        <f aca="false">IFERROR((データ入力!$B$8*W77-U77*$N$22)/SQRT((データ入力!$B$8*V77-U77^2)*(データ入力!$B$8*$N$23-$N$22^2)),-1)</f>
        <v>0.996870208655225</v>
      </c>
      <c r="Z77" s="38" t="n">
        <f aca="false">IFERROR($R$10+($A77-1)*$R$9,"")</f>
        <v>59.3017587939698</v>
      </c>
      <c r="AA77" s="38" t="n">
        <f aca="false">IFERROR(SUMPRODUCT($B$7:$B$206,LN($Z77-$C$7:$C$206)),"")</f>
        <v>238.734816329129</v>
      </c>
      <c r="AB77" s="38" t="n">
        <f aca="false">IFERROR(SUMPRODUCT($B$7:$B$206,LN($Z77-$C$7:$C$206),LN($Z77-$C$7:$C$206)),"")</f>
        <v>760.224910967909</v>
      </c>
      <c r="AC77" s="38" t="n">
        <f aca="false">IFERROR(SUMPRODUCT($B$7:$B$206,LN($Z77-$C$7:$C$206),$H$7:$H$206),"")</f>
        <v>-127.075522211956</v>
      </c>
      <c r="AD77" s="39" t="n">
        <f aca="false">IFERROR((データ入力!$B$8*AC77-AA77*$N$22)/SQRT((データ入力!$B$8*AB77-AA77^2)*(データ入力!$B$8*$N$23-$N$22^2)),-1)</f>
        <v>0.997027017401105</v>
      </c>
    </row>
    <row r="78" customFormat="false" ht="15" hidden="false" customHeight="false" outlineLevel="0" collapsed="false">
      <c r="A78" s="32" t="n">
        <v>72</v>
      </c>
      <c r="B78" s="33" t="n">
        <f aca="false">IF($A78&lt;=データ入力!$B$8,1,0)</f>
        <v>1</v>
      </c>
      <c r="C78" s="34" t="n">
        <f aca="false">IF($B78=1,LARGE(データ入力!$B$12:$B$211,$A78),0)</f>
        <v>33</v>
      </c>
      <c r="D78" s="32" t="n">
        <f aca="false">IF($B78=1,IFERROR(INDEX(データ入力!$A$12:$A$211,MATCH($C78,データ入力!$B$12:$B$211,0)),""),"")</f>
        <v>1952</v>
      </c>
      <c r="E78" s="35" t="n">
        <f aca="false">IF($B78=1,1-$A78/(データ入力!$B$8+1),0)</f>
        <v>0.0526315789473685</v>
      </c>
      <c r="F78" s="36" t="n">
        <f aca="false">IF($B78=1,(データ入力!$B$8+1)/$A78,"")</f>
        <v>1.05555555555556</v>
      </c>
      <c r="G78" s="37" t="n">
        <f aca="false">IF($B78=1,-LN(-LN($E78)),0)</f>
        <v>-1.07991829952208</v>
      </c>
      <c r="H78" s="37" t="n">
        <f aca="false">IF($B78=1,LN(-LN($E78)),0)</f>
        <v>1.07991829952208</v>
      </c>
      <c r="I78" s="36" t="n">
        <f aca="false">IF($B78=1,IFERROR($C78-($N$10+$N$9*$G78),""),"")</f>
        <v>-0.0866840662406929</v>
      </c>
      <c r="J78" s="36" t="n">
        <f aca="false">IF($B78=1,IFERROR($C78-($N$21-$N$26*EXP(-$G78/$N$24)),""),"")</f>
        <v>0.0206998217738743</v>
      </c>
      <c r="T78" s="38" t="n">
        <f aca="false">IFERROR($R$6+($A78-1)*$R$5,"")</f>
        <v>74.95</v>
      </c>
      <c r="U78" s="38" t="n">
        <f aca="false">IFERROR(SUMPRODUCT($B$7:$B$206,LN($T78-$C$7:$C$206)),"")</f>
        <v>276.270216388461</v>
      </c>
      <c r="V78" s="38" t="n">
        <f aca="false">IFERROR(SUMPRODUCT($B$7:$B$206,LN($T78-$C$7:$C$206),LN($T78-$C$7:$C$206)),"")</f>
        <v>1017.7781905526</v>
      </c>
      <c r="W78" s="38" t="n">
        <f aca="false">IFERROR(SUMPRODUCT($B$7:$B$206,LN($T78-$C$7:$C$206),$H$7:$H$206),"")</f>
        <v>-150.192661414348</v>
      </c>
      <c r="X78" s="39" t="n">
        <f aca="false">IFERROR((データ入力!$B$8*W78-U78*$N$22)/SQRT((データ入力!$B$8*V78-U78^2)*(データ入力!$B$8*$N$23-$N$22^2)),-1)</f>
        <v>0.9968638692041</v>
      </c>
      <c r="Z78" s="38" t="n">
        <f aca="false">IFERROR($R$10+($A78-1)*$R$9,"")</f>
        <v>59.306783919598</v>
      </c>
      <c r="AA78" s="38" t="n">
        <f aca="false">IFERROR(SUMPRODUCT($B$7:$B$206,LN($Z78-$C$7:$C$206)),"")</f>
        <v>238.75047057719</v>
      </c>
      <c r="AB78" s="38" t="n">
        <f aca="false">IFERROR(SUMPRODUCT($B$7:$B$206,LN($Z78-$C$7:$C$206),LN($Z78-$C$7:$C$206)),"")</f>
        <v>760.324444508054</v>
      </c>
      <c r="AC78" s="38" t="n">
        <f aca="false">IFERROR(SUMPRODUCT($B$7:$B$206,LN($Z78-$C$7:$C$206),$H$7:$H$206),"")</f>
        <v>-127.085430453166</v>
      </c>
      <c r="AD78" s="39" t="n">
        <f aca="false">IFERROR((データ入力!$B$8*AC78-AA78*$N$22)/SQRT((データ入力!$B$8*AB78-AA78^2)*(データ入力!$B$8*$N$23-$N$22^2)),-1)</f>
        <v>0.997027020612116</v>
      </c>
    </row>
    <row r="79" customFormat="false" ht="15" hidden="false" customHeight="false" outlineLevel="0" collapsed="false">
      <c r="A79" s="32" t="n">
        <v>73</v>
      </c>
      <c r="B79" s="33" t="n">
        <f aca="false">IF($A79&lt;=データ入力!$B$8,1,0)</f>
        <v>1</v>
      </c>
      <c r="C79" s="34" t="n">
        <f aca="false">IF($B79=1,LARGE(データ入力!$B$12:$B$211,$A79),0)</f>
        <v>32.9</v>
      </c>
      <c r="D79" s="32" t="n">
        <f aca="false">IF($B79=1,IFERROR(INDEX(データ入力!$A$12:$A$211,MATCH($C79,データ入力!$B$12:$B$211,0)),""),"")</f>
        <v>1963</v>
      </c>
      <c r="E79" s="35" t="n">
        <f aca="false">IF($B79=1,1-$A79/(データ入力!$B$8+1),0)</f>
        <v>0.0394736842105263</v>
      </c>
      <c r="F79" s="36" t="n">
        <f aca="false">IF($B79=1,(データ入力!$B$8+1)/$A79,"")</f>
        <v>1.04109589041096</v>
      </c>
      <c r="G79" s="37" t="n">
        <f aca="false">IF($B79=1,-LN(-LN($E79)),0)</f>
        <v>-1.17313859404726</v>
      </c>
      <c r="H79" s="37" t="n">
        <f aca="false">IF($B79=1,LN(-LN($E79)),0)</f>
        <v>1.17313859404726</v>
      </c>
      <c r="I79" s="36" t="n">
        <f aca="false">IF($B79=1,IFERROR($C79-($N$10+$N$9*$G79),""),"")</f>
        <v>-0.0701268054693074</v>
      </c>
      <c r="J79" s="36" t="n">
        <f aca="false">IF($B79=1,IFERROR($C79-($N$21-$N$26*EXP(-$G79/$N$24)),""),"")</f>
        <v>0.0519077002880906</v>
      </c>
      <c r="T79" s="38" t="n">
        <f aca="false">IFERROR($R$6+($A79-1)*$R$5,"")</f>
        <v>75.45</v>
      </c>
      <c r="U79" s="38" t="n">
        <f aca="false">IFERROR(SUMPRODUCT($B$7:$B$206,LN($T79-$C$7:$C$206)),"")</f>
        <v>277.207474540235</v>
      </c>
      <c r="V79" s="38" t="n">
        <f aca="false">IFERROR(SUMPRODUCT($B$7:$B$206,LN($T79-$C$7:$C$206),LN($T79-$C$7:$C$206)),"")</f>
        <v>1024.69216391107</v>
      </c>
      <c r="W79" s="38" t="n">
        <f aca="false">IFERROR(SUMPRODUCT($B$7:$B$206,LN($T79-$C$7:$C$206),$H$7:$H$206),"")</f>
        <v>-150.756275990244</v>
      </c>
      <c r="X79" s="39" t="n">
        <f aca="false">IFERROR((データ入力!$B$8*W79-U79*$N$22)/SQRT((データ入力!$B$8*V79-U79^2)*(データ入力!$B$8*$N$23-$N$22^2)),-1)</f>
        <v>0.996857570656639</v>
      </c>
      <c r="Z79" s="38" t="n">
        <f aca="false">IFERROR($R$10+($A79-1)*$R$9,"")</f>
        <v>59.3118090452261</v>
      </c>
      <c r="AA79" s="38" t="n">
        <f aca="false">IFERROR(SUMPRODUCT($B$7:$B$206,LN($Z79-$C$7:$C$206)),"")</f>
        <v>238.76612154472</v>
      </c>
      <c r="AB79" s="38" t="n">
        <f aca="false">IFERROR(SUMPRODUCT($B$7:$B$206,LN($Z79-$C$7:$C$206),LN($Z79-$C$7:$C$206)),"")</f>
        <v>760.423963778536</v>
      </c>
      <c r="AC79" s="38" t="n">
        <f aca="false">IFERROR(SUMPRODUCT($B$7:$B$206,LN($Z79-$C$7:$C$206),$H$7:$H$206),"")</f>
        <v>-127.095336352159</v>
      </c>
      <c r="AD79" s="39" t="n">
        <f aca="false">IFERROR((データ入力!$B$8*AC79-AA79*$N$22)/SQRT((データ入力!$B$8*AB79-AA79^2)*(データ入力!$B$8*$N$23-$N$22^2)),-1)</f>
        <v>0.997027023723024</v>
      </c>
    </row>
    <row r="80" customFormat="false" ht="15" hidden="false" customHeight="false" outlineLevel="0" collapsed="false">
      <c r="A80" s="32" t="n">
        <v>74</v>
      </c>
      <c r="B80" s="33" t="n">
        <f aca="false">IF($A80&lt;=データ入力!$B$8,1,0)</f>
        <v>1</v>
      </c>
      <c r="C80" s="34" t="n">
        <f aca="false">IF($B80=1,LARGE(データ入力!$B$12:$B$211,$A80),0)</f>
        <v>32.7</v>
      </c>
      <c r="D80" s="32" t="n">
        <f aca="false">IF($B80=1,IFERROR(INDEX(データ入力!$A$12:$A$211,MATCH($C80,データ入力!$B$12:$B$211,0)),""),"")</f>
        <v>1957</v>
      </c>
      <c r="E80" s="35" t="n">
        <f aca="false">IF($B80=1,1-$A80/(データ入力!$B$8+1),0)</f>
        <v>0.0263157894736842</v>
      </c>
      <c r="F80" s="36" t="n">
        <f aca="false">IF($B80=1,(データ入力!$B$8+1)/$A80,"")</f>
        <v>1.02702702702703</v>
      </c>
      <c r="G80" s="37" t="n">
        <f aca="false">IF($B80=1,-LN(-LN($E80)),0)</f>
        <v>-1.29132031873981</v>
      </c>
      <c r="H80" s="37" t="n">
        <f aca="false">IF($B80=1,LN(-LN($E80)),0)</f>
        <v>1.29132031873981</v>
      </c>
      <c r="I80" s="36" t="n">
        <f aca="false">IF($B80=1,IFERROR($C80-($N$10+$N$9*$G80),""),"")</f>
        <v>-0.122359217160714</v>
      </c>
      <c r="J80" s="36" t="n">
        <f aca="false">IF($B80=1,IFERROR($C80-($N$21-$N$26*EXP(-$G80/$N$24)),""),"")</f>
        <v>0.0191835629462176</v>
      </c>
      <c r="T80" s="38" t="n">
        <f aca="false">IFERROR($R$6+($A80-1)*$R$5,"")</f>
        <v>75.95</v>
      </c>
      <c r="U80" s="38" t="n">
        <f aca="false">IFERROR(SUMPRODUCT($B$7:$B$206,LN($T80-$C$7:$C$206)),"")</f>
        <v>278.133147840236</v>
      </c>
      <c r="V80" s="38" t="n">
        <f aca="false">IFERROR(SUMPRODUCT($B$7:$B$206,LN($T80-$C$7:$C$206),LN($T80-$C$7:$C$206)),"")</f>
        <v>1031.54373807361</v>
      </c>
      <c r="W80" s="38" t="n">
        <f aca="false">IFERROR(SUMPRODUCT($B$7:$B$206,LN($T80-$C$7:$C$206),$H$7:$H$206),"")</f>
        <v>-151.312389196764</v>
      </c>
      <c r="X80" s="39" t="n">
        <f aca="false">IFERROR((データ入力!$B$8*W80-U80*$N$22)/SQRT((データ入力!$B$8*V80-U80^2)*(データ入力!$B$8*$N$23-$N$22^2)),-1)</f>
        <v>0.996851315968428</v>
      </c>
      <c r="Z80" s="38" t="n">
        <f aca="false">IFERROR($R$10+($A80-1)*$R$9,"")</f>
        <v>59.3168341708543</v>
      </c>
      <c r="AA80" s="38" t="n">
        <f aca="false">IFERROR(SUMPRODUCT($B$7:$B$206,LN($Z80-$C$7:$C$206)),"")</f>
        <v>238.7817692331</v>
      </c>
      <c r="AB80" s="38" t="n">
        <f aca="false">IFERROR(SUMPRODUCT($B$7:$B$206,LN($Z80-$C$7:$C$206),LN($Z80-$C$7:$C$206)),"")</f>
        <v>760.523468783969</v>
      </c>
      <c r="AC80" s="38" t="n">
        <f aca="false">IFERROR(SUMPRODUCT($B$7:$B$206,LN($Z80-$C$7:$C$206),$H$7:$H$206),"")</f>
        <v>-127.105239910039</v>
      </c>
      <c r="AD80" s="39" t="n">
        <f aca="false">IFERROR((データ入力!$B$8*AC80-AA80*$N$22)/SQRT((データ入力!$B$8*AB80-AA80^2)*(データ入力!$B$8*$N$23-$N$22^2)),-1)</f>
        <v>0.997027026734222</v>
      </c>
    </row>
    <row r="81" customFormat="false" ht="15" hidden="false" customHeight="false" outlineLevel="0" collapsed="false">
      <c r="A81" s="32" t="n">
        <v>75</v>
      </c>
      <c r="B81" s="33" t="n">
        <f aca="false">IF($A81&lt;=データ入力!$B$8,1,0)</f>
        <v>1</v>
      </c>
      <c r="C81" s="34" t="n">
        <f aca="false">IF($B81=1,LARGE(データ入力!$B$12:$B$211,$A81),0)</f>
        <v>32.4</v>
      </c>
      <c r="D81" s="32" t="n">
        <f aca="false">IF($B81=1,IFERROR(INDEX(データ入力!$A$12:$A$211,MATCH($C81,データ入力!$B$12:$B$211,0)),""),"")</f>
        <v>1979</v>
      </c>
      <c r="E81" s="35" t="n">
        <f aca="false">IF($B81=1,1-$A81/(データ入力!$B$8+1),0)</f>
        <v>0.0131578947368421</v>
      </c>
      <c r="F81" s="36" t="n">
        <f aca="false">IF($B81=1,(データ入力!$B$8+1)/$A81,"")</f>
        <v>1.01333333333333</v>
      </c>
      <c r="G81" s="37" t="n">
        <f aca="false">IF($B81=1,-LN(-LN($E81)),0)</f>
        <v>-1.4657368903269</v>
      </c>
      <c r="H81" s="37" t="n">
        <f aca="false">IF($B81=1,LN(-LN($E81)),0)</f>
        <v>1.4657368903269</v>
      </c>
      <c r="I81" s="36" t="n">
        <f aca="false">IF($B81=1,IFERROR($C81-($N$10+$N$9*$G81),""),"")</f>
        <v>-0.204278831115204</v>
      </c>
      <c r="J81" s="36" t="n">
        <f aca="false">IF($B81=1,IFERROR($C81-($N$21-$N$26*EXP(-$G81/$N$24)),""),"")</f>
        <v>-0.0320227524587082</v>
      </c>
      <c r="T81" s="38" t="n">
        <f aca="false">IFERROR($R$6+($A81-1)*$R$5,"")</f>
        <v>76.45</v>
      </c>
      <c r="U81" s="38" t="n">
        <f aca="false">IFERROR(SUMPRODUCT($B$7:$B$206,LN($T81-$C$7:$C$206)),"")</f>
        <v>279.04751958724</v>
      </c>
      <c r="V81" s="38" t="n">
        <f aca="false">IFERROR(SUMPRODUCT($B$7:$B$206,LN($T81-$C$7:$C$206),LN($T81-$C$7:$C$206)),"")</f>
        <v>1038.33415831109</v>
      </c>
      <c r="W81" s="38" t="n">
        <f aca="false">IFERROR(SUMPRODUCT($B$7:$B$206,LN($T81-$C$7:$C$206),$H$7:$H$206),"")</f>
        <v>-151.861197753379</v>
      </c>
      <c r="X81" s="39" t="n">
        <f aca="false">IFERROR((データ入力!$B$8*W81-U81*$N$22)/SQRT((データ入力!$B$8*V81-U81^2)*(データ入力!$B$8*$N$23-$N$22^2)),-1)</f>
        <v>0.99684510771262</v>
      </c>
      <c r="Z81" s="38" t="n">
        <f aca="false">IFERROR($R$10+($A81-1)*$R$9,"")</f>
        <v>59.3218592964824</v>
      </c>
      <c r="AA81" s="38" t="n">
        <f aca="false">IFERROR(SUMPRODUCT($B$7:$B$206,LN($Z81-$C$7:$C$206)),"")</f>
        <v>238.797413643711</v>
      </c>
      <c r="AB81" s="38" t="n">
        <f aca="false">IFERROR(SUMPRODUCT($B$7:$B$206,LN($Z81-$C$7:$C$206),LN($Z81-$C$7:$C$206)),"")</f>
        <v>760.622959528962</v>
      </c>
      <c r="AC81" s="38" t="n">
        <f aca="false">IFERROR(SUMPRODUCT($B$7:$B$206,LN($Z81-$C$7:$C$206),$H$7:$H$206),"")</f>
        <v>-127.115141127908</v>
      </c>
      <c r="AD81" s="39" t="n">
        <f aca="false">IFERROR((データ入力!$B$8*AC81-AA81*$N$22)/SQRT((データ入力!$B$8*AB81-AA81^2)*(データ入力!$B$8*$N$23-$N$22^2)),-1)</f>
        <v>0.997027029645891</v>
      </c>
    </row>
    <row r="82" customFormat="false" ht="15" hidden="false" customHeight="false" outlineLevel="0" collapsed="false">
      <c r="A82" s="32" t="n">
        <v>76</v>
      </c>
      <c r="B82" s="33" t="n">
        <f aca="false">IF($A82&lt;=データ入力!$B$8,1,0)</f>
        <v>0</v>
      </c>
      <c r="C82" s="34" t="n">
        <f aca="false">IF($B82=1,LARGE(データ入力!$B$12:$B$211,$A82),0)</f>
        <v>0</v>
      </c>
      <c r="D82" s="32" t="str">
        <f aca="false">IF($B82=1,IFERROR(INDEX(データ入力!$A$12:$A$211,MATCH($C82,データ入力!$B$12:$B$211,0)),""),"")</f>
        <v/>
      </c>
      <c r="E82" s="35" t="n">
        <f aca="false">IF($B82=1,1-$A82/(データ入力!$B$8+1),0)</f>
        <v>0</v>
      </c>
      <c r="F82" s="36" t="str">
        <f aca="false">IF($B82=1,(データ入力!$B$8+1)/$A82,"")</f>
        <v/>
      </c>
      <c r="G82" s="37" t="n">
        <f aca="false">IF($B82=1,-LN(-LN($E82)),0)</f>
        <v>0</v>
      </c>
      <c r="H82" s="37" t="n">
        <f aca="false">IF($B82=1,LN(-LN($E82)),0)</f>
        <v>0</v>
      </c>
      <c r="I82" s="36" t="str">
        <f aca="false">IF($B82=1,IFERROR($C82-($N$10+$N$9*$G82),""),"")</f>
        <v/>
      </c>
      <c r="J82" s="36" t="str">
        <f aca="false">IF($B82=1,IFERROR($C82-($N$21-$N$26*EXP(-$G82/$N$24)),""),"")</f>
        <v/>
      </c>
      <c r="T82" s="38" t="n">
        <f aca="false">IFERROR($R$6+($A82-1)*$R$5,"")</f>
        <v>76.95</v>
      </c>
      <c r="U82" s="38" t="n">
        <f aca="false">IFERROR(SUMPRODUCT($B$7:$B$206,LN($T82-$C$7:$C$206)),"")</f>
        <v>279.950862798881</v>
      </c>
      <c r="V82" s="38" t="n">
        <f aca="false">IFERROR(SUMPRODUCT($B$7:$B$206,LN($T82-$C$7:$C$206),LN($T82-$C$7:$C$206)),"")</f>
        <v>1045.06463146194</v>
      </c>
      <c r="W82" s="38" t="n">
        <f aca="false">IFERROR(SUMPRODUCT($B$7:$B$206,LN($T82-$C$7:$C$206),$H$7:$H$206),"")</f>
        <v>-152.402890751492</v>
      </c>
      <c r="X82" s="39" t="n">
        <f aca="false">IFERROR((データ入力!$B$8*W82-U82*$N$22)/SQRT((データ入力!$B$8*V82-U82^2)*(データ入力!$B$8*$N$23-$N$22^2)),-1)</f>
        <v>0.996838948141736</v>
      </c>
      <c r="Z82" s="38" t="n">
        <f aca="false">IFERROR($R$10+($A82-1)*$R$9,"")</f>
        <v>59.3268844221105</v>
      </c>
      <c r="AA82" s="38" t="n">
        <f aca="false">IFERROR(SUMPRODUCT($B$7:$B$206,LN($Z82-$C$7:$C$206)),"")</f>
        <v>238.813054777931</v>
      </c>
      <c r="AB82" s="38" t="n">
        <f aca="false">IFERROR(SUMPRODUCT($B$7:$B$206,LN($Z82-$C$7:$C$206),LN($Z82-$C$7:$C$206)),"")</f>
        <v>760.722436018125</v>
      </c>
      <c r="AC82" s="38" t="n">
        <f aca="false">IFERROR(SUMPRODUCT($B$7:$B$206,LN($Z82-$C$7:$C$206),$H$7:$H$206),"")</f>
        <v>-127.125040006868</v>
      </c>
      <c r="AD82" s="39" t="n">
        <f aca="false">IFERROR((データ入力!$B$8*AC82-AA82*$N$22)/SQRT((データ入力!$B$8*AB82-AA82^2)*(データ入力!$B$8*$N$23-$N$22^2)),-1)</f>
        <v>0.997027032457562</v>
      </c>
    </row>
    <row r="83" customFormat="false" ht="15" hidden="false" customHeight="false" outlineLevel="0" collapsed="false">
      <c r="A83" s="32" t="n">
        <v>77</v>
      </c>
      <c r="B83" s="33" t="n">
        <f aca="false">IF($A83&lt;=データ入力!$B$8,1,0)</f>
        <v>0</v>
      </c>
      <c r="C83" s="34" t="n">
        <f aca="false">IF($B83=1,LARGE(データ入力!$B$12:$B$211,$A83),0)</f>
        <v>0</v>
      </c>
      <c r="D83" s="32" t="str">
        <f aca="false">IF($B83=1,IFERROR(INDEX(データ入力!$A$12:$A$211,MATCH($C83,データ入力!$B$12:$B$211,0)),""),"")</f>
        <v/>
      </c>
      <c r="E83" s="35" t="n">
        <f aca="false">IF($B83=1,1-$A83/(データ入力!$B$8+1),0)</f>
        <v>0</v>
      </c>
      <c r="F83" s="36" t="str">
        <f aca="false">IF($B83=1,(データ入力!$B$8+1)/$A83,"")</f>
        <v/>
      </c>
      <c r="G83" s="37" t="n">
        <f aca="false">IF($B83=1,-LN(-LN($E83)),0)</f>
        <v>0</v>
      </c>
      <c r="H83" s="37" t="n">
        <f aca="false">IF($B83=1,LN(-LN($E83)),0)</f>
        <v>0</v>
      </c>
      <c r="I83" s="36" t="str">
        <f aca="false">IF($B83=1,IFERROR($C83-($N$10+$N$9*$G83),""),"")</f>
        <v/>
      </c>
      <c r="J83" s="36" t="str">
        <f aca="false">IF($B83=1,IFERROR($C83-($N$21-$N$26*EXP(-$G83/$N$24)),""),"")</f>
        <v/>
      </c>
      <c r="T83" s="38" t="n">
        <f aca="false">IFERROR($R$6+($A83-1)*$R$5,"")</f>
        <v>77.45</v>
      </c>
      <c r="U83" s="38" t="n">
        <f aca="false">IFERROR(SUMPRODUCT($B$7:$B$206,LN($T83-$C$7:$C$206)),"")</f>
        <v>280.843440703903</v>
      </c>
      <c r="V83" s="38" t="n">
        <f aca="false">IFERROR(SUMPRODUCT($B$7:$B$206,LN($T83-$C$7:$C$206),LN($T83-$C$7:$C$206)),"")</f>
        <v>1051.73632753061</v>
      </c>
      <c r="W83" s="38" t="n">
        <f aca="false">IFERROR(SUMPRODUCT($B$7:$B$206,LN($T83-$C$7:$C$206),$H$7:$H$206),"")</f>
        <v>-152.93765004339</v>
      </c>
      <c r="X83" s="39" t="n">
        <f aca="false">IFERROR((データ入力!$B$8*W83-U83*$N$22)/SQRT((データ入力!$B$8*V83-U83^2)*(データ入力!$B$8*$N$23-$N$22^2)),-1)</f>
        <v>0.996832839208109</v>
      </c>
      <c r="Z83" s="38" t="n">
        <f aca="false">IFERROR($R$10+($A83-1)*$R$9,"")</f>
        <v>59.3319095477387</v>
      </c>
      <c r="AA83" s="38" t="n">
        <f aca="false">IFERROR(SUMPRODUCT($B$7:$B$206,LN($Z83-$C$7:$C$206)),"")</f>
        <v>238.828692637139</v>
      </c>
      <c r="AB83" s="38" t="n">
        <f aca="false">IFERROR(SUMPRODUCT($B$7:$B$206,LN($Z83-$C$7:$C$206),LN($Z83-$C$7:$C$206)),"")</f>
        <v>760.821898256063</v>
      </c>
      <c r="AC83" s="38" t="n">
        <f aca="false">IFERROR(SUMPRODUCT($B$7:$B$206,LN($Z83-$C$7:$C$206),$H$7:$H$206),"")</f>
        <v>-127.134936548021</v>
      </c>
      <c r="AD83" s="39" t="n">
        <f aca="false">IFERROR((データ入力!$B$8*AC83-AA83*$N$22)/SQRT((データ入力!$B$8*AB83-AA83^2)*(データ入力!$B$8*$N$23-$N$22^2)),-1)</f>
        <v>0.997027035169679</v>
      </c>
    </row>
    <row r="84" customFormat="false" ht="15" hidden="false" customHeight="false" outlineLevel="0" collapsed="false">
      <c r="A84" s="32" t="n">
        <v>78</v>
      </c>
      <c r="B84" s="33" t="n">
        <f aca="false">IF($A84&lt;=データ入力!$B$8,1,0)</f>
        <v>0</v>
      </c>
      <c r="C84" s="34" t="n">
        <f aca="false">IF($B84=1,LARGE(データ入力!$B$12:$B$211,$A84),0)</f>
        <v>0</v>
      </c>
      <c r="D84" s="32" t="str">
        <f aca="false">IF($B84=1,IFERROR(INDEX(データ入力!$A$12:$A$211,MATCH($C84,データ入力!$B$12:$B$211,0)),""),"")</f>
        <v/>
      </c>
      <c r="E84" s="35" t="n">
        <f aca="false">IF($B84=1,1-$A84/(データ入力!$B$8+1),0)</f>
        <v>0</v>
      </c>
      <c r="F84" s="36" t="str">
        <f aca="false">IF($B84=1,(データ入力!$B$8+1)/$A84,"")</f>
        <v/>
      </c>
      <c r="G84" s="37" t="n">
        <f aca="false">IF($B84=1,-LN(-LN($E84)),0)</f>
        <v>0</v>
      </c>
      <c r="H84" s="37" t="n">
        <f aca="false">IF($B84=1,LN(-LN($E84)),0)</f>
        <v>0</v>
      </c>
      <c r="I84" s="36" t="str">
        <f aca="false">IF($B84=1,IFERROR($C84-($N$10+$N$9*$G84),""),"")</f>
        <v/>
      </c>
      <c r="J84" s="36" t="str">
        <f aca="false">IF($B84=1,IFERROR($C84-($N$21-$N$26*EXP(-$G84/$N$24)),""),"")</f>
        <v/>
      </c>
      <c r="T84" s="38" t="n">
        <f aca="false">IFERROR($R$6+($A84-1)*$R$5,"")</f>
        <v>77.95</v>
      </c>
      <c r="U84" s="38" t="n">
        <f aca="false">IFERROR(SUMPRODUCT($B$7:$B$206,LN($T84-$C$7:$C$206)),"")</f>
        <v>281.725507205253</v>
      </c>
      <c r="V84" s="38" t="n">
        <f aca="false">IFERROR(SUMPRODUCT($B$7:$B$206,LN($T84-$C$7:$C$206),LN($T84-$C$7:$C$206)),"")</f>
        <v>1058.35038120272</v>
      </c>
      <c r="W84" s="38" t="n">
        <f aca="false">IFERROR(SUMPRODUCT($B$7:$B$206,LN($T84-$C$7:$C$206),$H$7:$H$206),"")</f>
        <v>-153.465650606752</v>
      </c>
      <c r="X84" s="39" t="n">
        <f aca="false">IFERROR((データ入力!$B$8*W84-U84*$N$22)/SQRT((データ入力!$B$8*V84-U84^2)*(データ入力!$B$8*$N$23-$N$22^2)),-1)</f>
        <v>0.996826782592809</v>
      </c>
      <c r="Z84" s="38" t="n">
        <f aca="false">IFERROR($R$10+($A84-1)*$R$9,"")</f>
        <v>59.3369346733668</v>
      </c>
      <c r="AA84" s="38" t="n">
        <f aca="false">IFERROR(SUMPRODUCT($B$7:$B$206,LN($Z84-$C$7:$C$206)),"")</f>
        <v>238.844327222711</v>
      </c>
      <c r="AB84" s="38" t="n">
        <f aca="false">IFERROR(SUMPRODUCT($B$7:$B$206,LN($Z84-$C$7:$C$206),LN($Z84-$C$7:$C$206)),"")</f>
        <v>760.921346247381</v>
      </c>
      <c r="AC84" s="38" t="n">
        <f aca="false">IFERROR(SUMPRODUCT($B$7:$B$206,LN($Z84-$C$7:$C$206),$H$7:$H$206),"")</f>
        <v>-127.144830752465</v>
      </c>
      <c r="AD84" s="39" t="n">
        <f aca="false">IFERROR((データ入力!$B$8*AC84-AA84*$N$22)/SQRT((データ入力!$B$8*AB84-AA84^2)*(データ入力!$B$8*$N$23-$N$22^2)),-1)</f>
        <v>0.997027037782827</v>
      </c>
    </row>
    <row r="85" customFormat="false" ht="15" hidden="false" customHeight="false" outlineLevel="0" collapsed="false">
      <c r="A85" s="32" t="n">
        <v>79</v>
      </c>
      <c r="B85" s="33" t="n">
        <f aca="false">IF($A85&lt;=データ入力!$B$8,1,0)</f>
        <v>0</v>
      </c>
      <c r="C85" s="34" t="n">
        <f aca="false">IF($B85=1,LARGE(データ入力!$B$12:$B$211,$A85),0)</f>
        <v>0</v>
      </c>
      <c r="D85" s="32" t="str">
        <f aca="false">IF($B85=1,IFERROR(INDEX(データ入力!$A$12:$A$211,MATCH($C85,データ入力!$B$12:$B$211,0)),""),"")</f>
        <v/>
      </c>
      <c r="E85" s="35" t="n">
        <f aca="false">IF($B85=1,1-$A85/(データ入力!$B$8+1),0)</f>
        <v>0</v>
      </c>
      <c r="F85" s="36" t="str">
        <f aca="false">IF($B85=1,(データ入力!$B$8+1)/$A85,"")</f>
        <v/>
      </c>
      <c r="G85" s="37" t="n">
        <f aca="false">IF($B85=1,-LN(-LN($E85)),0)</f>
        <v>0</v>
      </c>
      <c r="H85" s="37" t="n">
        <f aca="false">IF($B85=1,LN(-LN($E85)),0)</f>
        <v>0</v>
      </c>
      <c r="I85" s="36" t="str">
        <f aca="false">IF($B85=1,IFERROR($C85-($N$10+$N$9*$G85),""),"")</f>
        <v/>
      </c>
      <c r="J85" s="36" t="str">
        <f aca="false">IF($B85=1,IFERROR($C85-($N$21-$N$26*EXP(-$G85/$N$24)),""),"")</f>
        <v/>
      </c>
      <c r="T85" s="38" t="n">
        <f aca="false">IFERROR($R$6+($A85-1)*$R$5,"")</f>
        <v>78.45</v>
      </c>
      <c r="U85" s="38" t="n">
        <f aca="false">IFERROR(SUMPRODUCT($B$7:$B$206,LN($T85-$C$7:$C$206)),"")</f>
        <v>282.597307316072</v>
      </c>
      <c r="V85" s="38" t="n">
        <f aca="false">IFERROR(SUMPRODUCT($B$7:$B$206,LN($T85-$C$7:$C$206),LN($T85-$C$7:$C$206)),"")</f>
        <v>1064.90789328218</v>
      </c>
      <c r="W85" s="38" t="n">
        <f aca="false">IFERROR(SUMPRODUCT($B$7:$B$206,LN($T85-$C$7:$C$206),$H$7:$H$206),"")</f>
        <v>-153.987060886505</v>
      </c>
      <c r="X85" s="39" t="n">
        <f aca="false">IFERROR((データ入力!$B$8*W85-U85*$N$22)/SQRT((データ入力!$B$8*V85-U85^2)*(データ入力!$B$8*$N$23-$N$22^2)),-1)</f>
        <v>0.996820779734406</v>
      </c>
      <c r="Z85" s="38" t="n">
        <f aca="false">IFERROR($R$10+($A85-1)*$R$9,"")</f>
        <v>59.341959798995</v>
      </c>
      <c r="AA85" s="38" t="n">
        <f aca="false">IFERROR(SUMPRODUCT($B$7:$B$206,LN($Z85-$C$7:$C$206)),"")</f>
        <v>238.859958536025</v>
      </c>
      <c r="AB85" s="38" t="n">
        <f aca="false">IFERROR(SUMPRODUCT($B$7:$B$206,LN($Z85-$C$7:$C$206),LN($Z85-$C$7:$C$206)),"")</f>
        <v>761.020779996679</v>
      </c>
      <c r="AC85" s="38" t="n">
        <f aca="false">IFERROR(SUMPRODUCT($B$7:$B$206,LN($Z85-$C$7:$C$206),$H$7:$H$206),"")</f>
        <v>-127.154722621302</v>
      </c>
      <c r="AD85" s="39" t="n">
        <f aca="false">IFERROR((データ入力!$B$8*AC85-AA85*$N$22)/SQRT((データ入力!$B$8*AB85-AA85^2)*(データ入力!$B$8*$N$23-$N$22^2)),-1)</f>
        <v>0.997027040296256</v>
      </c>
    </row>
    <row r="86" customFormat="false" ht="15" hidden="false" customHeight="false" outlineLevel="0" collapsed="false">
      <c r="A86" s="32" t="n">
        <v>80</v>
      </c>
      <c r="B86" s="33" t="n">
        <f aca="false">IF($A86&lt;=データ入力!$B$8,1,0)</f>
        <v>0</v>
      </c>
      <c r="C86" s="34" t="n">
        <f aca="false">IF($B86=1,LARGE(データ入力!$B$12:$B$211,$A86),0)</f>
        <v>0</v>
      </c>
      <c r="D86" s="32" t="str">
        <f aca="false">IF($B86=1,IFERROR(INDEX(データ入力!$A$12:$A$211,MATCH($C86,データ入力!$B$12:$B$211,0)),""),"")</f>
        <v/>
      </c>
      <c r="E86" s="35" t="n">
        <f aca="false">IF($B86=1,1-$A86/(データ入力!$B$8+1),0)</f>
        <v>0</v>
      </c>
      <c r="F86" s="36" t="str">
        <f aca="false">IF($B86=1,(データ入力!$B$8+1)/$A86,"")</f>
        <v/>
      </c>
      <c r="G86" s="37" t="n">
        <f aca="false">IF($B86=1,-LN(-LN($E86)),0)</f>
        <v>0</v>
      </c>
      <c r="H86" s="37" t="n">
        <f aca="false">IF($B86=1,LN(-LN($E86)),0)</f>
        <v>0</v>
      </c>
      <c r="I86" s="36" t="str">
        <f aca="false">IF($B86=1,IFERROR($C86-($N$10+$N$9*$G86),""),"")</f>
        <v/>
      </c>
      <c r="J86" s="36" t="str">
        <f aca="false">IF($B86=1,IFERROR($C86-($N$21-$N$26*EXP(-$G86/$N$24)),""),"")</f>
        <v/>
      </c>
      <c r="T86" s="38" t="n">
        <f aca="false">IFERROR($R$6+($A86-1)*$R$5,"")</f>
        <v>78.95</v>
      </c>
      <c r="U86" s="38" t="n">
        <f aca="false">IFERROR(SUMPRODUCT($B$7:$B$206,LN($T86-$C$7:$C$206)),"")</f>
        <v>283.459077570466</v>
      </c>
      <c r="V86" s="38" t="n">
        <f aca="false">IFERROR(SUMPRODUCT($B$7:$B$206,LN($T86-$C$7:$C$206),LN($T86-$C$7:$C$206)),"")</f>
        <v>1071.40993205501</v>
      </c>
      <c r="W86" s="38" t="n">
        <f aca="false">IFERROR(SUMPRODUCT($B$7:$B$206,LN($T86-$C$7:$C$206),$H$7:$H$206),"")</f>
        <v>-154.502043115712</v>
      </c>
      <c r="X86" s="39" t="n">
        <f aca="false">IFERROR((データ入力!$B$8*W86-U86*$N$22)/SQRT((データ入力!$B$8*V86-U86^2)*(データ入力!$B$8*$N$23-$N$22^2)),-1)</f>
        <v>0.996814831842852</v>
      </c>
      <c r="Z86" s="38" t="n">
        <f aca="false">IFERROR($R$10+($A86-1)*$R$9,"")</f>
        <v>59.3469849246231</v>
      </c>
      <c r="AA86" s="38" t="n">
        <f aca="false">IFERROR(SUMPRODUCT($B$7:$B$206,LN($Z86-$C$7:$C$206)),"")</f>
        <v>238.875586578455</v>
      </c>
      <c r="AB86" s="38" t="n">
        <f aca="false">IFERROR(SUMPRODUCT($B$7:$B$206,LN($Z86-$C$7:$C$206),LN($Z86-$C$7:$C$206)),"")</f>
        <v>761.120199508556</v>
      </c>
      <c r="AC86" s="38" t="n">
        <f aca="false">IFERROR(SUMPRODUCT($B$7:$B$206,LN($Z86-$C$7:$C$206),$H$7:$H$206),"")</f>
        <v>-127.16461215563</v>
      </c>
      <c r="AD86" s="39" t="n">
        <f aca="false">IFERROR((データ入力!$B$8*AC86-AA86*$N$22)/SQRT((データ入力!$B$8*AB86-AA86^2)*(データ入力!$B$8*$N$23-$N$22^2)),-1)</f>
        <v>0.997027042711123</v>
      </c>
    </row>
    <row r="87" customFormat="false" ht="15" hidden="false" customHeight="false" outlineLevel="0" collapsed="false">
      <c r="A87" s="32" t="n">
        <v>81</v>
      </c>
      <c r="B87" s="33" t="n">
        <f aca="false">IF($A87&lt;=データ入力!$B$8,1,0)</f>
        <v>0</v>
      </c>
      <c r="C87" s="34" t="n">
        <f aca="false">IF($B87=1,LARGE(データ入力!$B$12:$B$211,$A87),0)</f>
        <v>0</v>
      </c>
      <c r="D87" s="32" t="str">
        <f aca="false">IF($B87=1,IFERROR(INDEX(データ入力!$A$12:$A$211,MATCH($C87,データ入力!$B$12:$B$211,0)),""),"")</f>
        <v/>
      </c>
      <c r="E87" s="35" t="n">
        <f aca="false">IF($B87=1,1-$A87/(データ入力!$B$8+1),0)</f>
        <v>0</v>
      </c>
      <c r="F87" s="36" t="str">
        <f aca="false">IF($B87=1,(データ入力!$B$8+1)/$A87,"")</f>
        <v/>
      </c>
      <c r="G87" s="37" t="n">
        <f aca="false">IF($B87=1,-LN(-LN($E87)),0)</f>
        <v>0</v>
      </c>
      <c r="H87" s="37" t="n">
        <f aca="false">IF($B87=1,LN(-LN($E87)),0)</f>
        <v>0</v>
      </c>
      <c r="I87" s="36" t="str">
        <f aca="false">IF($B87=1,IFERROR($C87-($N$10+$N$9*$G87),""),"")</f>
        <v/>
      </c>
      <c r="J87" s="36" t="str">
        <f aca="false">IF($B87=1,IFERROR($C87-($N$21-$N$26*EXP(-$G87/$N$24)),""),"")</f>
        <v/>
      </c>
      <c r="T87" s="38" t="n">
        <f aca="false">IFERROR($R$6+($A87-1)*$R$5,"")</f>
        <v>79.45</v>
      </c>
      <c r="U87" s="38" t="n">
        <f aca="false">IFERROR(SUMPRODUCT($B$7:$B$206,LN($T87-$C$7:$C$206)),"")</f>
        <v>284.311046410792</v>
      </c>
      <c r="V87" s="38" t="n">
        <f aca="false">IFERROR(SUMPRODUCT($B$7:$B$206,LN($T87-$C$7:$C$206),LN($T87-$C$7:$C$206)),"")</f>
        <v>1077.85753458438</v>
      </c>
      <c r="W87" s="38" t="n">
        <f aca="false">IFERROR(SUMPRODUCT($B$7:$B$206,LN($T87-$C$7:$C$206),$H$7:$H$206),"")</f>
        <v>-155.010753617013</v>
      </c>
      <c r="X87" s="39" t="n">
        <f aca="false">IFERROR((データ入力!$B$8*W87-U87*$N$22)/SQRT((データ入力!$B$8*V87-U87^2)*(データ入力!$B$8*$N$23-$N$22^2)),-1)</f>
        <v>0.996808939945547</v>
      </c>
      <c r="Z87" s="38" t="n">
        <f aca="false">IFERROR($R$10+($A87-1)*$R$9,"")</f>
        <v>59.3520100502513</v>
      </c>
      <c r="AA87" s="38" t="n">
        <f aca="false">IFERROR(SUMPRODUCT($B$7:$B$206,LN($Z87-$C$7:$C$206)),"")</f>
        <v>238.891211351377</v>
      </c>
      <c r="AB87" s="38" t="n">
        <f aca="false">IFERROR(SUMPRODUCT($B$7:$B$206,LN($Z87-$C$7:$C$206),LN($Z87-$C$7:$C$206)),"")</f>
        <v>761.219604787611</v>
      </c>
      <c r="AC87" s="38" t="n">
        <f aca="false">IFERROR(SUMPRODUCT($B$7:$B$206,LN($Z87-$C$7:$C$206),$H$7:$H$206),"")</f>
        <v>-127.174499356546</v>
      </c>
      <c r="AD87" s="39" t="n">
        <f aca="false">IFERROR((データ入力!$B$8*AC87-AA87*$N$22)/SQRT((データ入力!$B$8*AB87-AA87^2)*(データ入力!$B$8*$N$23-$N$22^2)),-1)</f>
        <v>0.997027045026616</v>
      </c>
    </row>
    <row r="88" customFormat="false" ht="15" hidden="false" customHeight="false" outlineLevel="0" collapsed="false">
      <c r="A88" s="32" t="n">
        <v>82</v>
      </c>
      <c r="B88" s="33" t="n">
        <f aca="false">IF($A88&lt;=データ入力!$B$8,1,0)</f>
        <v>0</v>
      </c>
      <c r="C88" s="34" t="n">
        <f aca="false">IF($B88=1,LARGE(データ入力!$B$12:$B$211,$A88),0)</f>
        <v>0</v>
      </c>
      <c r="D88" s="32" t="str">
        <f aca="false">IF($B88=1,IFERROR(INDEX(データ入力!$A$12:$A$211,MATCH($C88,データ入力!$B$12:$B$211,0)),""),"")</f>
        <v/>
      </c>
      <c r="E88" s="35" t="n">
        <f aca="false">IF($B88=1,1-$A88/(データ入力!$B$8+1),0)</f>
        <v>0</v>
      </c>
      <c r="F88" s="36" t="str">
        <f aca="false">IF($B88=1,(データ入力!$B$8+1)/$A88,"")</f>
        <v/>
      </c>
      <c r="G88" s="37" t="n">
        <f aca="false">IF($B88=1,-LN(-LN($E88)),0)</f>
        <v>0</v>
      </c>
      <c r="H88" s="37" t="n">
        <f aca="false">IF($B88=1,LN(-LN($E88)),0)</f>
        <v>0</v>
      </c>
      <c r="I88" s="36" t="str">
        <f aca="false">IF($B88=1,IFERROR($C88-($N$10+$N$9*$G88),""),"")</f>
        <v/>
      </c>
      <c r="J88" s="36" t="str">
        <f aca="false">IF($B88=1,IFERROR($C88-($N$21-$N$26*EXP(-$G88/$N$24)),""),"")</f>
        <v/>
      </c>
      <c r="T88" s="38" t="n">
        <f aca="false">IFERROR($R$6+($A88-1)*$R$5,"")</f>
        <v>79.95</v>
      </c>
      <c r="U88" s="38" t="n">
        <f aca="false">IFERROR(SUMPRODUCT($B$7:$B$206,LN($T88-$C$7:$C$206)),"")</f>
        <v>285.15343455305</v>
      </c>
      <c r="V88" s="38" t="n">
        <f aca="false">IFERROR(SUMPRODUCT($B$7:$B$206,LN($T88-$C$7:$C$206),LN($T88-$C$7:$C$206)),"")</f>
        <v>1084.25170794103</v>
      </c>
      <c r="W88" s="38" t="n">
        <f aca="false">IFERROR(SUMPRODUCT($B$7:$B$206,LN($T88-$C$7:$C$206),$H$7:$H$206),"")</f>
        <v>-155.513343086009</v>
      </c>
      <c r="X88" s="39" t="n">
        <f aca="false">IFERROR((データ入力!$B$8*W88-U88*$N$22)/SQRT((データ入力!$B$8*V88-U88^2)*(データ入力!$B$8*$N$23-$N$22^2)),-1)</f>
        <v>0.996803104876001</v>
      </c>
      <c r="Z88" s="38" t="n">
        <f aca="false">IFERROR($R$10+($A88-1)*$R$9,"")</f>
        <v>59.3570351758794</v>
      </c>
      <c r="AA88" s="38" t="n">
        <f aca="false">IFERROR(SUMPRODUCT($B$7:$B$206,LN($Z88-$C$7:$C$206)),"")</f>
        <v>238.906832856164</v>
      </c>
      <c r="AB88" s="38" t="n">
        <f aca="false">IFERROR(SUMPRODUCT($B$7:$B$206,LN($Z88-$C$7:$C$206),LN($Z88-$C$7:$C$206)),"")</f>
        <v>761.318995838435</v>
      </c>
      <c r="AC88" s="38" t="n">
        <f aca="false">IFERROR(SUMPRODUCT($B$7:$B$206,LN($Z88-$C$7:$C$206),$H$7:$H$206),"")</f>
        <v>-127.184384225148</v>
      </c>
      <c r="AD88" s="39" t="n">
        <f aca="false">IFERROR((データ入力!$B$8*AC88-AA88*$N$22)/SQRT((データ入力!$B$8*AB88-AA88^2)*(データ入力!$B$8*$N$23-$N$22^2)),-1)</f>
        <v>0.997027047243347</v>
      </c>
    </row>
    <row r="89" customFormat="false" ht="15" hidden="false" customHeight="false" outlineLevel="0" collapsed="false">
      <c r="A89" s="32" t="n">
        <v>83</v>
      </c>
      <c r="B89" s="33" t="n">
        <f aca="false">IF($A89&lt;=データ入力!$B$8,1,0)</f>
        <v>0</v>
      </c>
      <c r="C89" s="34" t="n">
        <f aca="false">IF($B89=1,LARGE(データ入力!$B$12:$B$211,$A89),0)</f>
        <v>0</v>
      </c>
      <c r="D89" s="32" t="str">
        <f aca="false">IF($B89=1,IFERROR(INDEX(データ入力!$A$12:$A$211,MATCH($C89,データ入力!$B$12:$B$211,0)),""),"")</f>
        <v/>
      </c>
      <c r="E89" s="35" t="n">
        <f aca="false">IF($B89=1,1-$A89/(データ入力!$B$8+1),0)</f>
        <v>0</v>
      </c>
      <c r="F89" s="36" t="str">
        <f aca="false">IF($B89=1,(データ入力!$B$8+1)/$A89,"")</f>
        <v/>
      </c>
      <c r="G89" s="37" t="n">
        <f aca="false">IF($B89=1,-LN(-LN($E89)),0)</f>
        <v>0</v>
      </c>
      <c r="H89" s="37" t="n">
        <f aca="false">IF($B89=1,LN(-LN($E89)),0)</f>
        <v>0</v>
      </c>
      <c r="I89" s="36" t="str">
        <f aca="false">IF($B89=1,IFERROR($C89-($N$10+$N$9*$G89),""),"")</f>
        <v/>
      </c>
      <c r="J89" s="36" t="str">
        <f aca="false">IF($B89=1,IFERROR($C89-($N$21-$N$26*EXP(-$G89/$N$24)),""),"")</f>
        <v/>
      </c>
      <c r="T89" s="38" t="n">
        <f aca="false">IFERROR($R$6+($A89-1)*$R$5,"")</f>
        <v>80.45</v>
      </c>
      <c r="U89" s="38" t="n">
        <f aca="false">IFERROR(SUMPRODUCT($B$7:$B$206,LN($T89-$C$7:$C$206)),"")</f>
        <v>285.986455331861</v>
      </c>
      <c r="V89" s="38" t="n">
        <f aca="false">IFERROR(SUMPRODUCT($B$7:$B$206,LN($T89-$C$7:$C$206),LN($T89-$C$7:$C$206)),"")</f>
        <v>1090.59343037291</v>
      </c>
      <c r="W89" s="38" t="n">
        <f aca="false">IFERROR(SUMPRODUCT($B$7:$B$206,LN($T89-$C$7:$C$206),$H$7:$H$206),"")</f>
        <v>-156.009956857877</v>
      </c>
      <c r="X89" s="39" t="n">
        <f aca="false">IFERROR((データ入力!$B$8*W89-U89*$N$22)/SQRT((データ入力!$B$8*V89-U89^2)*(データ入力!$B$8*$N$23-$N$22^2)),-1)</f>
        <v>0.996797327316233</v>
      </c>
      <c r="Z89" s="38" t="n">
        <f aca="false">IFERROR($R$10+($A89-1)*$R$9,"")</f>
        <v>59.3620603015075</v>
      </c>
      <c r="AA89" s="38" t="n">
        <f aca="false">IFERROR(SUMPRODUCT($B$7:$B$206,LN($Z89-$C$7:$C$206)),"")</f>
        <v>238.922451094189</v>
      </c>
      <c r="AB89" s="38" t="n">
        <f aca="false">IFERROR(SUMPRODUCT($B$7:$B$206,LN($Z89-$C$7:$C$206),LN($Z89-$C$7:$C$206)),"")</f>
        <v>761.418372665623</v>
      </c>
      <c r="AC89" s="38" t="n">
        <f aca="false">IFERROR(SUMPRODUCT($B$7:$B$206,LN($Z89-$C$7:$C$206),$H$7:$H$206),"")</f>
        <v>-127.194266762532</v>
      </c>
      <c r="AD89" s="39" t="n">
        <f aca="false">IFERROR((データ入力!$B$8*AC89-AA89*$N$22)/SQRT((データ入力!$B$8*AB89-AA89^2)*(データ入力!$B$8*$N$23-$N$22^2)),-1)</f>
        <v>0.997027049361725</v>
      </c>
    </row>
    <row r="90" customFormat="false" ht="15" hidden="false" customHeight="false" outlineLevel="0" collapsed="false">
      <c r="A90" s="32" t="n">
        <v>84</v>
      </c>
      <c r="B90" s="33" t="n">
        <f aca="false">IF($A90&lt;=データ入力!$B$8,1,0)</f>
        <v>0</v>
      </c>
      <c r="C90" s="34" t="n">
        <f aca="false">IF($B90=1,LARGE(データ入力!$B$12:$B$211,$A90),0)</f>
        <v>0</v>
      </c>
      <c r="D90" s="32" t="str">
        <f aca="false">IF($B90=1,IFERROR(INDEX(データ入力!$A$12:$A$211,MATCH($C90,データ入力!$B$12:$B$211,0)),""),"")</f>
        <v/>
      </c>
      <c r="E90" s="35" t="n">
        <f aca="false">IF($B90=1,1-$A90/(データ入力!$B$8+1),0)</f>
        <v>0</v>
      </c>
      <c r="F90" s="36" t="str">
        <f aca="false">IF($B90=1,(データ入力!$B$8+1)/$A90,"")</f>
        <v/>
      </c>
      <c r="G90" s="37" t="n">
        <f aca="false">IF($B90=1,-LN(-LN($E90)),0)</f>
        <v>0</v>
      </c>
      <c r="H90" s="37" t="n">
        <f aca="false">IF($B90=1,LN(-LN($E90)),0)</f>
        <v>0</v>
      </c>
      <c r="I90" s="36" t="str">
        <f aca="false">IF($B90=1,IFERROR($C90-($N$10+$N$9*$G90),""),"")</f>
        <v/>
      </c>
      <c r="J90" s="36" t="str">
        <f aca="false">IF($B90=1,IFERROR($C90-($N$21-$N$26*EXP(-$G90/$N$24)),""),"")</f>
        <v/>
      </c>
      <c r="T90" s="38" t="n">
        <f aca="false">IFERROR($R$6+($A90-1)*$R$5,"")</f>
        <v>80.95</v>
      </c>
      <c r="U90" s="38" t="n">
        <f aca="false">IFERROR(SUMPRODUCT($B$7:$B$206,LN($T90-$C$7:$C$206)),"")</f>
        <v>286.810315026373</v>
      </c>
      <c r="V90" s="38" t="n">
        <f aca="false">IFERROR(SUMPRODUCT($B$7:$B$206,LN($T90-$C$7:$C$206),LN($T90-$C$7:$C$206)),"")</f>
        <v>1096.88365241763</v>
      </c>
      <c r="W90" s="38" t="n">
        <f aca="false">IFERROR(SUMPRODUCT($B$7:$B$206,LN($T90-$C$7:$C$206),$H$7:$H$206),"")</f>
        <v>-156.500735158391</v>
      </c>
      <c r="X90" s="39" t="n">
        <f aca="false">IFERROR((データ入力!$B$8*W90-U90*$N$22)/SQRT((データ入力!$B$8*V90-U90^2)*(データ入力!$B$8*$N$23-$N$22^2)),-1)</f>
        <v>0.996791607797332</v>
      </c>
      <c r="Z90" s="38" t="n">
        <f aca="false">IFERROR($R$10+($A90-1)*$R$9,"")</f>
        <v>59.3670854271357</v>
      </c>
      <c r="AA90" s="38" t="n">
        <f aca="false">IFERROR(SUMPRODUCT($B$7:$B$206,LN($Z90-$C$7:$C$206)),"")</f>
        <v>238.938066066824</v>
      </c>
      <c r="AB90" s="38" t="n">
        <f aca="false">IFERROR(SUMPRODUCT($B$7:$B$206,LN($Z90-$C$7:$C$206),LN($Z90-$C$7:$C$206)),"")</f>
        <v>761.517735273763</v>
      </c>
      <c r="AC90" s="38" t="n">
        <f aca="false">IFERROR(SUMPRODUCT($B$7:$B$206,LN($Z90-$C$7:$C$206),$H$7:$H$206),"")</f>
        <v>-127.204146969794</v>
      </c>
      <c r="AD90" s="39" t="n">
        <f aca="false">IFERROR((データ入力!$B$8*AC90-AA90*$N$22)/SQRT((データ入力!$B$8*AB90-AA90^2)*(データ入力!$B$8*$N$23-$N$22^2)),-1)</f>
        <v>0.997027051380987</v>
      </c>
    </row>
    <row r="91" customFormat="false" ht="15" hidden="false" customHeight="false" outlineLevel="0" collapsed="false">
      <c r="A91" s="32" t="n">
        <v>85</v>
      </c>
      <c r="B91" s="33" t="n">
        <f aca="false">IF($A91&lt;=データ入力!$B$8,1,0)</f>
        <v>0</v>
      </c>
      <c r="C91" s="34" t="n">
        <f aca="false">IF($B91=1,LARGE(データ入力!$B$12:$B$211,$A91),0)</f>
        <v>0</v>
      </c>
      <c r="D91" s="32" t="str">
        <f aca="false">IF($B91=1,IFERROR(INDEX(データ入力!$A$12:$A$211,MATCH($C91,データ入力!$B$12:$B$211,0)),""),"")</f>
        <v/>
      </c>
      <c r="E91" s="35" t="n">
        <f aca="false">IF($B91=1,1-$A91/(データ入力!$B$8+1),0)</f>
        <v>0</v>
      </c>
      <c r="F91" s="36" t="str">
        <f aca="false">IF($B91=1,(データ入力!$B$8+1)/$A91,"")</f>
        <v/>
      </c>
      <c r="G91" s="37" t="n">
        <f aca="false">IF($B91=1,-LN(-LN($E91)),0)</f>
        <v>0</v>
      </c>
      <c r="H91" s="37" t="n">
        <f aca="false">IF($B91=1,LN(-LN($E91)),0)</f>
        <v>0</v>
      </c>
      <c r="I91" s="36" t="str">
        <f aca="false">IF($B91=1,IFERROR($C91-($N$10+$N$9*$G91),""),"")</f>
        <v/>
      </c>
      <c r="J91" s="36" t="str">
        <f aca="false">IF($B91=1,IFERROR($C91-($N$21-$N$26*EXP(-$G91/$N$24)),""),"")</f>
        <v/>
      </c>
      <c r="T91" s="38" t="n">
        <f aca="false">IFERROR($R$6+($A91-1)*$R$5,"")</f>
        <v>81.45</v>
      </c>
      <c r="U91" s="38" t="n">
        <f aca="false">IFERROR(SUMPRODUCT($B$7:$B$206,LN($T91-$C$7:$C$206)),"")</f>
        <v>287.625213168355</v>
      </c>
      <c r="V91" s="38" t="n">
        <f aca="false">IFERROR(SUMPRODUCT($B$7:$B$206,LN($T91-$C$7:$C$206),LN($T91-$C$7:$C$206)),"")</f>
        <v>1103.12329796108</v>
      </c>
      <c r="W91" s="38" t="n">
        <f aca="false">IFERROR(SUMPRODUCT($B$7:$B$206,LN($T91-$C$7:$C$206),$H$7:$H$206),"")</f>
        <v>-156.985813340429</v>
      </c>
      <c r="X91" s="39" t="n">
        <f aca="false">IFERROR((データ入力!$B$8*W91-U91*$N$22)/SQRT((データ入力!$B$8*V91-U91^2)*(データ入力!$B$8*$N$23-$N$22^2)),-1)</f>
        <v>0.996785946720862</v>
      </c>
      <c r="Z91" s="38" t="n">
        <f aca="false">IFERROR($R$10+($A91-1)*$R$9,"")</f>
        <v>59.3721105527638</v>
      </c>
      <c r="AA91" s="38" t="n">
        <f aca="false">IFERROR(SUMPRODUCT($B$7:$B$206,LN($Z91-$C$7:$C$206)),"")</f>
        <v>238.953677775441</v>
      </c>
      <c r="AB91" s="38" t="n">
        <f aca="false">IFERROR(SUMPRODUCT($B$7:$B$206,LN($Z91-$C$7:$C$206),LN($Z91-$C$7:$C$206)),"")</f>
        <v>761.617083667443</v>
      </c>
      <c r="AC91" s="38" t="n">
        <f aca="false">IFERROR(SUMPRODUCT($B$7:$B$206,LN($Z91-$C$7:$C$206),$H$7:$H$206),"")</f>
        <v>-127.214024848029</v>
      </c>
      <c r="AD91" s="39" t="n">
        <f aca="false">IFERROR((データ入力!$B$8*AC91-AA91*$N$22)/SQRT((データ入力!$B$8*AB91-AA91^2)*(データ入力!$B$8*$N$23-$N$22^2)),-1)</f>
        <v>0.997027053302457</v>
      </c>
    </row>
    <row r="92" customFormat="false" ht="15" hidden="false" customHeight="false" outlineLevel="0" collapsed="false">
      <c r="A92" s="32" t="n">
        <v>86</v>
      </c>
      <c r="B92" s="33" t="n">
        <f aca="false">IF($A92&lt;=データ入力!$B$8,1,0)</f>
        <v>0</v>
      </c>
      <c r="C92" s="34" t="n">
        <f aca="false">IF($B92=1,LARGE(データ入力!$B$12:$B$211,$A92),0)</f>
        <v>0</v>
      </c>
      <c r="D92" s="32" t="str">
        <f aca="false">IF($B92=1,IFERROR(INDEX(データ入力!$A$12:$A$211,MATCH($C92,データ入力!$B$12:$B$211,0)),""),"")</f>
        <v/>
      </c>
      <c r="E92" s="35" t="n">
        <f aca="false">IF($B92=1,1-$A92/(データ入力!$B$8+1),0)</f>
        <v>0</v>
      </c>
      <c r="F92" s="36" t="str">
        <f aca="false">IF($B92=1,(データ入力!$B$8+1)/$A92,"")</f>
        <v/>
      </c>
      <c r="G92" s="37" t="n">
        <f aca="false">IF($B92=1,-LN(-LN($E92)),0)</f>
        <v>0</v>
      </c>
      <c r="H92" s="37" t="n">
        <f aca="false">IF($B92=1,LN(-LN($E92)),0)</f>
        <v>0</v>
      </c>
      <c r="I92" s="36" t="str">
        <f aca="false">IF($B92=1,IFERROR($C92-($N$10+$N$9*$G92),""),"")</f>
        <v/>
      </c>
      <c r="J92" s="36" t="str">
        <f aca="false">IF($B92=1,IFERROR($C92-($N$21-$N$26*EXP(-$G92/$N$24)),""),"")</f>
        <v/>
      </c>
      <c r="T92" s="38" t="n">
        <f aca="false">IFERROR($R$6+($A92-1)*$R$5,"")</f>
        <v>81.95</v>
      </c>
      <c r="U92" s="38" t="n">
        <f aca="false">IFERROR(SUMPRODUCT($B$7:$B$206,LN($T92-$C$7:$C$206)),"")</f>
        <v>288.431342833643</v>
      </c>
      <c r="V92" s="38" t="n">
        <f aca="false">IFERROR(SUMPRODUCT($B$7:$B$206,LN($T92-$C$7:$C$206),LN($T92-$C$7:$C$206)),"")</f>
        <v>1109.3132652454</v>
      </c>
      <c r="W92" s="38" t="n">
        <f aca="false">IFERROR(SUMPRODUCT($B$7:$B$206,LN($T92-$C$7:$C$206),$H$7:$H$206),"")</f>
        <v>-157.465322106966</v>
      </c>
      <c r="X92" s="39" t="n">
        <f aca="false">IFERROR((データ入力!$B$8*W92-U92*$N$22)/SQRT((データ入力!$B$8*V92-U92^2)*(データ入力!$B$8*$N$23-$N$22^2)),-1)</f>
        <v>0.996780344368871</v>
      </c>
      <c r="Z92" s="38" t="n">
        <f aca="false">IFERROR($R$10+($A92-1)*$R$9,"")</f>
        <v>59.377135678392</v>
      </c>
      <c r="AA92" s="38" t="n">
        <f aca="false">IFERROR(SUMPRODUCT($B$7:$B$206,LN($Z92-$C$7:$C$206)),"")</f>
        <v>238.969286221408</v>
      </c>
      <c r="AB92" s="38" t="n">
        <f aca="false">IFERROR(SUMPRODUCT($B$7:$B$206,LN($Z92-$C$7:$C$206),LN($Z92-$C$7:$C$206)),"")</f>
        <v>761.716417851248</v>
      </c>
      <c r="AC92" s="38" t="n">
        <f aca="false">IFERROR(SUMPRODUCT($B$7:$B$206,LN($Z92-$C$7:$C$206),$H$7:$H$206),"")</f>
        <v>-127.22390039833</v>
      </c>
      <c r="AD92" s="39" t="n">
        <f aca="false">IFERROR((データ入力!$B$8*AC92-AA92*$N$22)/SQRT((データ入力!$B$8*AB92-AA92^2)*(データ入力!$B$8*$N$23-$N$22^2)),-1)</f>
        <v>0.997027055125136</v>
      </c>
    </row>
    <row r="93" customFormat="false" ht="15" hidden="false" customHeight="false" outlineLevel="0" collapsed="false">
      <c r="A93" s="32" t="n">
        <v>87</v>
      </c>
      <c r="B93" s="33" t="n">
        <f aca="false">IF($A93&lt;=データ入力!$B$8,1,0)</f>
        <v>0</v>
      </c>
      <c r="C93" s="34" t="n">
        <f aca="false">IF($B93=1,LARGE(データ入力!$B$12:$B$211,$A93),0)</f>
        <v>0</v>
      </c>
      <c r="D93" s="32" t="str">
        <f aca="false">IF($B93=1,IFERROR(INDEX(データ入力!$A$12:$A$211,MATCH($C93,データ入力!$B$12:$B$211,0)),""),"")</f>
        <v/>
      </c>
      <c r="E93" s="35" t="n">
        <f aca="false">IF($B93=1,1-$A93/(データ入力!$B$8+1),0)</f>
        <v>0</v>
      </c>
      <c r="F93" s="36" t="str">
        <f aca="false">IF($B93=1,(データ入力!$B$8+1)/$A93,"")</f>
        <v/>
      </c>
      <c r="G93" s="37" t="n">
        <f aca="false">IF($B93=1,-LN(-LN($E93)),0)</f>
        <v>0</v>
      </c>
      <c r="H93" s="37" t="n">
        <f aca="false">IF($B93=1,LN(-LN($E93)),0)</f>
        <v>0</v>
      </c>
      <c r="I93" s="36" t="str">
        <f aca="false">IF($B93=1,IFERROR($C93-($N$10+$N$9*$G93),""),"")</f>
        <v/>
      </c>
      <c r="J93" s="36" t="str">
        <f aca="false">IF($B93=1,IFERROR($C93-($N$21-$N$26*EXP(-$G93/$N$24)),""),"")</f>
        <v/>
      </c>
      <c r="T93" s="38" t="n">
        <f aca="false">IFERROR($R$6+($A93-1)*$R$5,"")</f>
        <v>82.45</v>
      </c>
      <c r="U93" s="38" t="n">
        <f aca="false">IFERROR(SUMPRODUCT($B$7:$B$206,LN($T93-$C$7:$C$206)),"")</f>
        <v>289.228890917992</v>
      </c>
      <c r="V93" s="38" t="n">
        <f aca="false">IFERROR(SUMPRODUCT($B$7:$B$206,LN($T93-$C$7:$C$206),LN($T93-$C$7:$C$206)),"")</f>
        <v>1115.45442782907</v>
      </c>
      <c r="W93" s="38" t="n">
        <f aca="false">IFERROR(SUMPRODUCT($B$7:$B$206,LN($T93-$C$7:$C$206),$H$7:$H$206),"")</f>
        <v>-157.939387721456</v>
      </c>
      <c r="X93" s="39" t="n">
        <f aca="false">IFERROR((データ入力!$B$8*W93-U93*$N$22)/SQRT((データ入力!$B$8*V93-U93^2)*(データ入力!$B$8*$N$23-$N$22^2)),-1)</f>
        <v>0.996774800918885</v>
      </c>
      <c r="Z93" s="38" t="n">
        <f aca="false">IFERROR($R$10+($A93-1)*$R$9,"")</f>
        <v>59.3821608040201</v>
      </c>
      <c r="AA93" s="38" t="n">
        <f aca="false">IFERROR(SUMPRODUCT($B$7:$B$206,LN($Z93-$C$7:$C$206)),"")</f>
        <v>238.984891406097</v>
      </c>
      <c r="AB93" s="38" t="n">
        <f aca="false">IFERROR(SUMPRODUCT($B$7:$B$206,LN($Z93-$C$7:$C$206),LN($Z93-$C$7:$C$206)),"")</f>
        <v>761.815737829762</v>
      </c>
      <c r="AC93" s="38" t="n">
        <f aca="false">IFERROR(SUMPRODUCT($B$7:$B$206,LN($Z93-$C$7:$C$206),$H$7:$H$206),"")</f>
        <v>-127.233773621792</v>
      </c>
      <c r="AD93" s="39" t="n">
        <f aca="false">IFERROR((データ入力!$B$8*AC93-AA93*$N$22)/SQRT((データ入力!$B$8*AB93-AA93^2)*(データ入力!$B$8*$N$23-$N$22^2)),-1)</f>
        <v>0.997027056849625</v>
      </c>
    </row>
    <row r="94" customFormat="false" ht="15" hidden="false" customHeight="false" outlineLevel="0" collapsed="false">
      <c r="A94" s="32" t="n">
        <v>88</v>
      </c>
      <c r="B94" s="33" t="n">
        <f aca="false">IF($A94&lt;=データ入力!$B$8,1,0)</f>
        <v>0</v>
      </c>
      <c r="C94" s="34" t="n">
        <f aca="false">IF($B94=1,LARGE(データ入力!$B$12:$B$211,$A94),0)</f>
        <v>0</v>
      </c>
      <c r="D94" s="32" t="str">
        <f aca="false">IF($B94=1,IFERROR(INDEX(データ入力!$A$12:$A$211,MATCH($C94,データ入力!$B$12:$B$211,0)),""),"")</f>
        <v/>
      </c>
      <c r="E94" s="35" t="n">
        <f aca="false">IF($B94=1,1-$A94/(データ入力!$B$8+1),0)</f>
        <v>0</v>
      </c>
      <c r="F94" s="36" t="str">
        <f aca="false">IF($B94=1,(データ入力!$B$8+1)/$A94,"")</f>
        <v/>
      </c>
      <c r="G94" s="37" t="n">
        <f aca="false">IF($B94=1,-LN(-LN($E94)),0)</f>
        <v>0</v>
      </c>
      <c r="H94" s="37" t="n">
        <f aca="false">IF($B94=1,LN(-LN($E94)),0)</f>
        <v>0</v>
      </c>
      <c r="I94" s="36" t="str">
        <f aca="false">IF($B94=1,IFERROR($C94-($N$10+$N$9*$G94),""),"")</f>
        <v/>
      </c>
      <c r="J94" s="36" t="str">
        <f aca="false">IF($B94=1,IFERROR($C94-($N$21-$N$26*EXP(-$G94/$N$24)),""),"")</f>
        <v/>
      </c>
      <c r="T94" s="38" t="n">
        <f aca="false">IFERROR($R$6+($A94-1)*$R$5,"")</f>
        <v>82.95</v>
      </c>
      <c r="U94" s="38" t="n">
        <f aca="false">IFERROR(SUMPRODUCT($B$7:$B$206,LN($T94-$C$7:$C$206)),"")</f>
        <v>290.018038398335</v>
      </c>
      <c r="V94" s="38" t="n">
        <f aca="false">IFERROR(SUMPRODUCT($B$7:$B$206,LN($T94-$C$7:$C$206),LN($T94-$C$7:$C$206)),"")</f>
        <v>1121.54763550195</v>
      </c>
      <c r="W94" s="38" t="n">
        <f aca="false">IFERROR(SUMPRODUCT($B$7:$B$206,LN($T94-$C$7:$C$206),$H$7:$H$206),"")</f>
        <v>-158.408132206464</v>
      </c>
      <c r="X94" s="39" t="n">
        <f aca="false">IFERROR((データ入力!$B$8*W94-U94*$N$22)/SQRT((データ入力!$B$8*V94-U94^2)*(データ入力!$B$8*$N$23-$N$22^2)),-1)</f>
        <v>0.996769316455014</v>
      </c>
      <c r="Z94" s="38" t="n">
        <f aca="false">IFERROR($R$10+($A94-1)*$R$9,"")</f>
        <v>59.3871859296482</v>
      </c>
      <c r="AA94" s="38" t="n">
        <f aca="false">IFERROR(SUMPRODUCT($B$7:$B$206,LN($Z94-$C$7:$C$206)),"")</f>
        <v>239.000493330876</v>
      </c>
      <c r="AB94" s="38" t="n">
        <f aca="false">IFERROR(SUMPRODUCT($B$7:$B$206,LN($Z94-$C$7:$C$206),LN($Z94-$C$7:$C$206)),"")</f>
        <v>761.915043607564</v>
      </c>
      <c r="AC94" s="38" t="n">
        <f aca="false">IFERROR(SUMPRODUCT($B$7:$B$206,LN($Z94-$C$7:$C$206),$H$7:$H$206),"")</f>
        <v>-127.243644519507</v>
      </c>
      <c r="AD94" s="39" t="n">
        <f aca="false">IFERROR((データ入力!$B$8*AC94-AA94*$N$22)/SQRT((データ入力!$B$8*AB94-AA94^2)*(データ入力!$B$8*$N$23-$N$22^2)),-1)</f>
        <v>0.997027058476328</v>
      </c>
    </row>
    <row r="95" customFormat="false" ht="15" hidden="false" customHeight="false" outlineLevel="0" collapsed="false">
      <c r="A95" s="32" t="n">
        <v>89</v>
      </c>
      <c r="B95" s="33" t="n">
        <f aca="false">IF($A95&lt;=データ入力!$B$8,1,0)</f>
        <v>0</v>
      </c>
      <c r="C95" s="34" t="n">
        <f aca="false">IF($B95=1,LARGE(データ入力!$B$12:$B$211,$A95),0)</f>
        <v>0</v>
      </c>
      <c r="D95" s="32" t="str">
        <f aca="false">IF($B95=1,IFERROR(INDEX(データ入力!$A$12:$A$211,MATCH($C95,データ入力!$B$12:$B$211,0)),""),"")</f>
        <v/>
      </c>
      <c r="E95" s="35" t="n">
        <f aca="false">IF($B95=1,1-$A95/(データ入力!$B$8+1),0)</f>
        <v>0</v>
      </c>
      <c r="F95" s="36" t="str">
        <f aca="false">IF($B95=1,(データ入力!$B$8+1)/$A95,"")</f>
        <v/>
      </c>
      <c r="G95" s="37" t="n">
        <f aca="false">IF($B95=1,-LN(-LN($E95)),0)</f>
        <v>0</v>
      </c>
      <c r="H95" s="37" t="n">
        <f aca="false">IF($B95=1,LN(-LN($E95)),0)</f>
        <v>0</v>
      </c>
      <c r="I95" s="36" t="str">
        <f aca="false">IF($B95=1,IFERROR($C95-($N$10+$N$9*$G95),""),"")</f>
        <v/>
      </c>
      <c r="J95" s="36" t="str">
        <f aca="false">IF($B95=1,IFERROR($C95-($N$21-$N$26*EXP(-$G95/$N$24)),""),"")</f>
        <v/>
      </c>
      <c r="T95" s="38" t="n">
        <f aca="false">IFERROR($R$6+($A95-1)*$R$5,"")</f>
        <v>83.45</v>
      </c>
      <c r="U95" s="38" t="n">
        <f aca="false">IFERROR(SUMPRODUCT($B$7:$B$206,LN($T95-$C$7:$C$206)),"")</f>
        <v>290.798960580372</v>
      </c>
      <c r="V95" s="38" t="n">
        <f aca="false">IFERROR(SUMPRODUCT($B$7:$B$206,LN($T95-$C$7:$C$206),LN($T95-$C$7:$C$206)),"")</f>
        <v>1127.5937151578</v>
      </c>
      <c r="W95" s="38" t="n">
        <f aca="false">IFERROR(SUMPRODUCT($B$7:$B$206,LN($T95-$C$7:$C$206),$H$7:$H$206),"")</f>
        <v>-158.87167353132</v>
      </c>
      <c r="X95" s="39" t="n">
        <f aca="false">IFERROR((データ入力!$B$8*W95-U95*$N$22)/SQRT((データ入力!$B$8*V95-U95^2)*(データ入力!$B$8*$N$23-$N$22^2)),-1)</f>
        <v>0.996763890967623</v>
      </c>
      <c r="Z95" s="38" t="n">
        <f aca="false">IFERROR($R$10+($A95-1)*$R$9,"")</f>
        <v>59.3922110552764</v>
      </c>
      <c r="AA95" s="38" t="n">
        <f aca="false">IFERROR(SUMPRODUCT($B$7:$B$206,LN($Z95-$C$7:$C$206)),"")</f>
        <v>239.016091997112</v>
      </c>
      <c r="AB95" s="38" t="n">
        <f aca="false">IFERROR(SUMPRODUCT($B$7:$B$206,LN($Z95-$C$7:$C$206),LN($Z95-$C$7:$C$206)),"")</f>
        <v>762.014335189232</v>
      </c>
      <c r="AC95" s="38" t="n">
        <f aca="false">IFERROR(SUMPRODUCT($B$7:$B$206,LN($Z95-$C$7:$C$206),$H$7:$H$206),"")</f>
        <v>-127.253513092566</v>
      </c>
      <c r="AD95" s="39" t="n">
        <f aca="false">IFERROR((データ入力!$B$8*AC95-AA95*$N$22)/SQRT((データ入力!$B$8*AB95-AA95^2)*(データ入力!$B$8*$N$23-$N$22^2)),-1)</f>
        <v>0.997027060004795</v>
      </c>
    </row>
    <row r="96" customFormat="false" ht="15" hidden="false" customHeight="false" outlineLevel="0" collapsed="false">
      <c r="A96" s="32" t="n">
        <v>90</v>
      </c>
      <c r="B96" s="33" t="n">
        <f aca="false">IF($A96&lt;=データ入力!$B$8,1,0)</f>
        <v>0</v>
      </c>
      <c r="C96" s="34" t="n">
        <f aca="false">IF($B96=1,LARGE(データ入力!$B$12:$B$211,$A96),0)</f>
        <v>0</v>
      </c>
      <c r="D96" s="32" t="str">
        <f aca="false">IF($B96=1,IFERROR(INDEX(データ入力!$A$12:$A$211,MATCH($C96,データ入力!$B$12:$B$211,0)),""),"")</f>
        <v/>
      </c>
      <c r="E96" s="35" t="n">
        <f aca="false">IF($B96=1,1-$A96/(データ入力!$B$8+1),0)</f>
        <v>0</v>
      </c>
      <c r="F96" s="36" t="str">
        <f aca="false">IF($B96=1,(データ入力!$B$8+1)/$A96,"")</f>
        <v/>
      </c>
      <c r="G96" s="37" t="n">
        <f aca="false">IF($B96=1,-LN(-LN($E96)),0)</f>
        <v>0</v>
      </c>
      <c r="H96" s="37" t="n">
        <f aca="false">IF($B96=1,LN(-LN($E96)),0)</f>
        <v>0</v>
      </c>
      <c r="I96" s="36" t="str">
        <f aca="false">IF($B96=1,IFERROR($C96-($N$10+$N$9*$G96),""),"")</f>
        <v/>
      </c>
      <c r="J96" s="36" t="str">
        <f aca="false">IF($B96=1,IFERROR($C96-($N$21-$N$26*EXP(-$G96/$N$24)),""),"")</f>
        <v/>
      </c>
      <c r="T96" s="38" t="n">
        <f aca="false">IFERROR($R$6+($A96-1)*$R$5,"")</f>
        <v>83.95</v>
      </c>
      <c r="U96" s="38" t="n">
        <f aca="false">IFERROR(SUMPRODUCT($B$7:$B$206,LN($T96-$C$7:$C$206)),"")</f>
        <v>291.571827333323</v>
      </c>
      <c r="V96" s="38" t="n">
        <f aca="false">IFERROR(SUMPRODUCT($B$7:$B$206,LN($T96-$C$7:$C$206),LN($T96-$C$7:$C$206)),"")</f>
        <v>1133.59347162663</v>
      </c>
      <c r="W96" s="38" t="n">
        <f aca="false">IFERROR(SUMPRODUCT($B$7:$B$206,LN($T96-$C$7:$C$206),$H$7:$H$206),"")</f>
        <v>-159.330125789509</v>
      </c>
      <c r="X96" s="39" t="n">
        <f aca="false">IFERROR((データ入力!$B$8*W96-U96*$N$22)/SQRT((データ入力!$B$8*V96-U96^2)*(データ入力!$B$8*$N$23-$N$22^2)),-1)</f>
        <v>0.996758524379099</v>
      </c>
      <c r="Z96" s="38" t="n">
        <f aca="false">IFERROR($R$10+($A96-1)*$R$9,"")</f>
        <v>59.3972361809045</v>
      </c>
      <c r="AA96" s="38" t="n">
        <f aca="false">IFERROR(SUMPRODUCT($B$7:$B$206,LN($Z96-$C$7:$C$206)),"")</f>
        <v>239.031687406172</v>
      </c>
      <c r="AB96" s="38" t="n">
        <f aca="false">IFERROR(SUMPRODUCT($B$7:$B$206,LN($Z96-$C$7:$C$206),LN($Z96-$C$7:$C$206)),"")</f>
        <v>762.113612579344</v>
      </c>
      <c r="AC96" s="38" t="n">
        <f aca="false">IFERROR(SUMPRODUCT($B$7:$B$206,LN($Z96-$C$7:$C$206),$H$7:$H$206),"")</f>
        <v>-127.263379342061</v>
      </c>
      <c r="AD96" s="39" t="n">
        <f aca="false">IFERROR((データ入力!$B$8*AC96-AA96*$N$22)/SQRT((データ入力!$B$8*AB96-AA96^2)*(データ入力!$B$8*$N$23-$N$22^2)),-1)</f>
        <v>0.997027061435514</v>
      </c>
    </row>
    <row r="97" customFormat="false" ht="15" hidden="false" customHeight="false" outlineLevel="0" collapsed="false">
      <c r="A97" s="32" t="n">
        <v>91</v>
      </c>
      <c r="B97" s="33" t="n">
        <f aca="false">IF($A97&lt;=データ入力!$B$8,1,0)</f>
        <v>0</v>
      </c>
      <c r="C97" s="34" t="n">
        <f aca="false">IF($B97=1,LARGE(データ入力!$B$12:$B$211,$A97),0)</f>
        <v>0</v>
      </c>
      <c r="D97" s="32" t="str">
        <f aca="false">IF($B97=1,IFERROR(INDEX(データ入力!$A$12:$A$211,MATCH($C97,データ入力!$B$12:$B$211,0)),""),"")</f>
        <v/>
      </c>
      <c r="E97" s="35" t="n">
        <f aca="false">IF($B97=1,1-$A97/(データ入力!$B$8+1),0)</f>
        <v>0</v>
      </c>
      <c r="F97" s="36" t="str">
        <f aca="false">IF($B97=1,(データ入力!$B$8+1)/$A97,"")</f>
        <v/>
      </c>
      <c r="G97" s="37" t="n">
        <f aca="false">IF($B97=1,-LN(-LN($E97)),0)</f>
        <v>0</v>
      </c>
      <c r="H97" s="37" t="n">
        <f aca="false">IF($B97=1,LN(-LN($E97)),0)</f>
        <v>0</v>
      </c>
      <c r="I97" s="36" t="str">
        <f aca="false">IF($B97=1,IFERROR($C97-($N$10+$N$9*$G97),""),"")</f>
        <v/>
      </c>
      <c r="J97" s="36" t="str">
        <f aca="false">IF($B97=1,IFERROR($C97-($N$21-$N$26*EXP(-$G97/$N$24)),""),"")</f>
        <v/>
      </c>
      <c r="T97" s="38" t="n">
        <f aca="false">IFERROR($R$6+($A97-1)*$R$5,"")</f>
        <v>84.45</v>
      </c>
      <c r="U97" s="38" t="n">
        <f aca="false">IFERROR(SUMPRODUCT($B$7:$B$206,LN($T97-$C$7:$C$206)),"")</f>
        <v>292.336803312654</v>
      </c>
      <c r="V97" s="38" t="n">
        <f aca="false">IFERROR(SUMPRODUCT($B$7:$B$206,LN($T97-$C$7:$C$206),LN($T97-$C$7:$C$206)),"")</f>
        <v>1139.54768846902</v>
      </c>
      <c r="W97" s="38" t="n">
        <f aca="false">IFERROR(SUMPRODUCT($B$7:$B$206,LN($T97-$C$7:$C$206),$H$7:$H$206),"")</f>
        <v>-159.783599366475</v>
      </c>
      <c r="X97" s="39" t="n">
        <f aca="false">IFERROR((データ入力!$B$8*W97-U97*$N$22)/SQRT((データ入力!$B$8*V97-U97^2)*(データ入力!$B$8*$N$23-$N$22^2)),-1)</f>
        <v>0.996753216536326</v>
      </c>
      <c r="Z97" s="38" t="n">
        <f aca="false">IFERROR($R$10+($A97-1)*$R$9,"")</f>
        <v>59.4022613065327</v>
      </c>
      <c r="AA97" s="38" t="n">
        <f aca="false">IFERROR(SUMPRODUCT($B$7:$B$206,LN($Z97-$C$7:$C$206)),"")</f>
        <v>239.047279559422</v>
      </c>
      <c r="AB97" s="38" t="n">
        <f aca="false">IFERROR(SUMPRODUCT($B$7:$B$206,LN($Z97-$C$7:$C$206),LN($Z97-$C$7:$C$206)),"")</f>
        <v>762.212875782471</v>
      </c>
      <c r="AC97" s="38" t="n">
        <f aca="false">IFERROR(SUMPRODUCT($B$7:$B$206,LN($Z97-$C$7:$C$206),$H$7:$H$206),"")</f>
        <v>-127.273243269082</v>
      </c>
      <c r="AD97" s="39" t="n">
        <f aca="false">IFERROR((データ入力!$B$8*AC97-AA97*$N$22)/SQRT((データ入力!$B$8*AB97-AA97^2)*(データ入力!$B$8*$N$23-$N$22^2)),-1)</f>
        <v>0.997027062768454</v>
      </c>
    </row>
    <row r="98" customFormat="false" ht="15" hidden="false" customHeight="false" outlineLevel="0" collapsed="false">
      <c r="A98" s="32" t="n">
        <v>92</v>
      </c>
      <c r="B98" s="33" t="n">
        <f aca="false">IF($A98&lt;=データ入力!$B$8,1,0)</f>
        <v>0</v>
      </c>
      <c r="C98" s="34" t="n">
        <f aca="false">IF($B98=1,LARGE(データ入力!$B$12:$B$211,$A98),0)</f>
        <v>0</v>
      </c>
      <c r="D98" s="32" t="str">
        <f aca="false">IF($B98=1,IFERROR(INDEX(データ入力!$A$12:$A$211,MATCH($C98,データ入力!$B$12:$B$211,0)),""),"")</f>
        <v/>
      </c>
      <c r="E98" s="35" t="n">
        <f aca="false">IF($B98=1,1-$A98/(データ入力!$B$8+1),0)</f>
        <v>0</v>
      </c>
      <c r="F98" s="36" t="str">
        <f aca="false">IF($B98=1,(データ入力!$B$8+1)/$A98,"")</f>
        <v/>
      </c>
      <c r="G98" s="37" t="n">
        <f aca="false">IF($B98=1,-LN(-LN($E98)),0)</f>
        <v>0</v>
      </c>
      <c r="H98" s="37" t="n">
        <f aca="false">IF($B98=1,LN(-LN($E98)),0)</f>
        <v>0</v>
      </c>
      <c r="I98" s="36" t="str">
        <f aca="false">IF($B98=1,IFERROR($C98-($N$10+$N$9*$G98),""),"")</f>
        <v/>
      </c>
      <c r="J98" s="36" t="str">
        <f aca="false">IF($B98=1,IFERROR($C98-($N$21-$N$26*EXP(-$G98/$N$24)),""),"")</f>
        <v/>
      </c>
      <c r="T98" s="38" t="n">
        <f aca="false">IFERROR($R$6+($A98-1)*$R$5,"")</f>
        <v>84.95</v>
      </c>
      <c r="U98" s="38" t="n">
        <f aca="false">IFERROR(SUMPRODUCT($B$7:$B$206,LN($T98-$C$7:$C$206)),"")</f>
        <v>293.094048171498</v>
      </c>
      <c r="V98" s="38" t="n">
        <f aca="false">IFERROR(SUMPRODUCT($B$7:$B$206,LN($T98-$C$7:$C$206),LN($T98-$C$7:$C$206)),"")</f>
        <v>1145.45712873465</v>
      </c>
      <c r="W98" s="38" t="n">
        <f aca="false">IFERROR(SUMPRODUCT($B$7:$B$206,LN($T98-$C$7:$C$206),$H$7:$H$206),"")</f>
        <v>-160.232201098439</v>
      </c>
      <c r="X98" s="39" t="n">
        <f aca="false">IFERROR((データ入力!$B$8*W98-U98*$N$22)/SQRT((データ入力!$B$8*V98-U98^2)*(データ入力!$B$8*$N$23-$N$22^2)),-1)</f>
        <v>0.996747967225272</v>
      </c>
      <c r="Z98" s="38" t="n">
        <f aca="false">IFERROR($R$10+($A98-1)*$R$9,"")</f>
        <v>59.4072864321608</v>
      </c>
      <c r="AA98" s="38" t="n">
        <f aca="false">IFERROR(SUMPRODUCT($B$7:$B$206,LN($Z98-$C$7:$C$206)),"")</f>
        <v>239.062868458227</v>
      </c>
      <c r="AB98" s="38" t="n">
        <f aca="false">IFERROR(SUMPRODUCT($B$7:$B$206,LN($Z98-$C$7:$C$206),LN($Z98-$C$7:$C$206)),"")</f>
        <v>762.312124803186</v>
      </c>
      <c r="AC98" s="38" t="n">
        <f aca="false">IFERROR(SUMPRODUCT($B$7:$B$206,LN($Z98-$C$7:$C$206),$H$7:$H$206),"")</f>
        <v>-127.283104874718</v>
      </c>
      <c r="AD98" s="39" t="n">
        <f aca="false">IFERROR((データ入力!$B$8*AC98-AA98*$N$22)/SQRT((データ入力!$B$8*AB98-AA98^2)*(データ入力!$B$8*$N$23-$N$22^2)),-1)</f>
        <v>0.997027064004198</v>
      </c>
    </row>
    <row r="99" customFormat="false" ht="15" hidden="false" customHeight="false" outlineLevel="0" collapsed="false">
      <c r="A99" s="32" t="n">
        <v>93</v>
      </c>
      <c r="B99" s="33" t="n">
        <f aca="false">IF($A99&lt;=データ入力!$B$8,1,0)</f>
        <v>0</v>
      </c>
      <c r="C99" s="34" t="n">
        <f aca="false">IF($B99=1,LARGE(データ入力!$B$12:$B$211,$A99),0)</f>
        <v>0</v>
      </c>
      <c r="D99" s="32" t="str">
        <f aca="false">IF($B99=1,IFERROR(INDEX(データ入力!$A$12:$A$211,MATCH($C99,データ入力!$B$12:$B$211,0)),""),"")</f>
        <v/>
      </c>
      <c r="E99" s="35" t="n">
        <f aca="false">IF($B99=1,1-$A99/(データ入力!$B$8+1),0)</f>
        <v>0</v>
      </c>
      <c r="F99" s="36" t="str">
        <f aca="false">IF($B99=1,(データ入力!$B$8+1)/$A99,"")</f>
        <v/>
      </c>
      <c r="G99" s="37" t="n">
        <f aca="false">IF($B99=1,-LN(-LN($E99)),0)</f>
        <v>0</v>
      </c>
      <c r="H99" s="37" t="n">
        <f aca="false">IF($B99=1,LN(-LN($E99)),0)</f>
        <v>0</v>
      </c>
      <c r="I99" s="36" t="str">
        <f aca="false">IF($B99=1,IFERROR($C99-($N$10+$N$9*$G99),""),"")</f>
        <v/>
      </c>
      <c r="J99" s="36" t="str">
        <f aca="false">IF($B99=1,IFERROR($C99-($N$21-$N$26*EXP(-$G99/$N$24)),""),"")</f>
        <v/>
      </c>
      <c r="T99" s="38" t="n">
        <f aca="false">IFERROR($R$6+($A99-1)*$R$5,"")</f>
        <v>85.45</v>
      </c>
      <c r="U99" s="38" t="n">
        <f aca="false">IFERROR(SUMPRODUCT($B$7:$B$206,LN($T99-$C$7:$C$206)),"")</f>
        <v>293.843716761452</v>
      </c>
      <c r="V99" s="38" t="n">
        <f aca="false">IFERROR(SUMPRODUCT($B$7:$B$206,LN($T99-$C$7:$C$206),LN($T99-$C$7:$C$206)),"")</f>
        <v>1151.32253568686</v>
      </c>
      <c r="W99" s="38" t="n">
        <f aca="false">IFERROR(SUMPRODUCT($B$7:$B$206,LN($T99-$C$7:$C$206),$H$7:$H$206),"")</f>
        <v>-160.67603442282</v>
      </c>
      <c r="X99" s="39" t="n">
        <f aca="false">IFERROR((データ入力!$B$8*W99-U99*$N$22)/SQRT((データ入力!$B$8*V99-U99^2)*(データ入力!$B$8*$N$23-$N$22^2)),-1)</f>
        <v>0.996742776178194</v>
      </c>
      <c r="Z99" s="38" t="n">
        <f aca="false">IFERROR($R$10+($A99-1)*$R$9,"")</f>
        <v>59.4123115577889</v>
      </c>
      <c r="AA99" s="38" t="n">
        <f aca="false">IFERROR(SUMPRODUCT($B$7:$B$206,LN($Z99-$C$7:$C$206)),"")</f>
        <v>239.078454103952</v>
      </c>
      <c r="AB99" s="38" t="n">
        <f aca="false">IFERROR(SUMPRODUCT($B$7:$B$206,LN($Z99-$C$7:$C$206),LN($Z99-$C$7:$C$206)),"")</f>
        <v>762.411359646057</v>
      </c>
      <c r="AC99" s="38" t="n">
        <f aca="false">IFERROR(SUMPRODUCT($B$7:$B$206,LN($Z99-$C$7:$C$206),$H$7:$H$206),"")</f>
        <v>-127.292964160058</v>
      </c>
      <c r="AD99" s="39" t="n">
        <f aca="false">IFERROR((データ入力!$B$8*AC99-AA99*$N$22)/SQRT((データ入力!$B$8*AB99-AA99^2)*(データ入力!$B$8*$N$23-$N$22^2)),-1)</f>
        <v>0.997027065142161</v>
      </c>
    </row>
    <row r="100" customFormat="false" ht="15" hidden="false" customHeight="false" outlineLevel="0" collapsed="false">
      <c r="A100" s="32" t="n">
        <v>94</v>
      </c>
      <c r="B100" s="33" t="n">
        <f aca="false">IF($A100&lt;=データ入力!$B$8,1,0)</f>
        <v>0</v>
      </c>
      <c r="C100" s="34" t="n">
        <f aca="false">IF($B100=1,LARGE(データ入力!$B$12:$B$211,$A100),0)</f>
        <v>0</v>
      </c>
      <c r="D100" s="32" t="str">
        <f aca="false">IF($B100=1,IFERROR(INDEX(データ入力!$A$12:$A$211,MATCH($C100,データ入力!$B$12:$B$211,0)),""),"")</f>
        <v/>
      </c>
      <c r="E100" s="35" t="n">
        <f aca="false">IF($B100=1,1-$A100/(データ入力!$B$8+1),0)</f>
        <v>0</v>
      </c>
      <c r="F100" s="36" t="str">
        <f aca="false">IF($B100=1,(データ入力!$B$8+1)/$A100,"")</f>
        <v/>
      </c>
      <c r="G100" s="37" t="n">
        <f aca="false">IF($B100=1,-LN(-LN($E100)),0)</f>
        <v>0</v>
      </c>
      <c r="H100" s="37" t="n">
        <f aca="false">IF($B100=1,LN(-LN($E100)),0)</f>
        <v>0</v>
      </c>
      <c r="I100" s="36" t="str">
        <f aca="false">IF($B100=1,IFERROR($C100-($N$10+$N$9*$G100),""),"")</f>
        <v/>
      </c>
      <c r="J100" s="36" t="str">
        <f aca="false">IF($B100=1,IFERROR($C100-($N$21-$N$26*EXP(-$G100/$N$24)),""),"")</f>
        <v/>
      </c>
      <c r="T100" s="38" t="n">
        <f aca="false">IFERROR($R$6+($A100-1)*$R$5,"")</f>
        <v>85.95</v>
      </c>
      <c r="U100" s="38" t="n">
        <f aca="false">IFERROR(SUMPRODUCT($B$7:$B$206,LN($T100-$C$7:$C$206)),"")</f>
        <v>294.585959323401</v>
      </c>
      <c r="V100" s="38" t="n">
        <f aca="false">IFERROR(SUMPRODUCT($B$7:$B$206,LN($T100-$C$7:$C$206),LN($T100-$C$7:$C$206)),"")</f>
        <v>1157.14463349506</v>
      </c>
      <c r="W100" s="38" t="n">
        <f aca="false">IFERROR(SUMPRODUCT($B$7:$B$206,LN($T100-$C$7:$C$206),$H$7:$H$206),"")</f>
        <v>-161.115199520768</v>
      </c>
      <c r="X100" s="39" t="n">
        <f aca="false">IFERROR((データ入力!$B$8*W100-U100*$N$22)/SQRT((データ入力!$B$8*V100-U100^2)*(データ入力!$B$8*$N$23-$N$22^2)),-1)</f>
        <v>0.996737643071765</v>
      </c>
      <c r="Z100" s="38" t="n">
        <f aca="false">IFERROR($R$10+($A100-1)*$R$9,"")</f>
        <v>59.4173366834171</v>
      </c>
      <c r="AA100" s="38" t="n">
        <f aca="false">IFERROR(SUMPRODUCT($B$7:$B$206,LN($Z100-$C$7:$C$206)),"")</f>
        <v>239.09403649796</v>
      </c>
      <c r="AB100" s="38" t="n">
        <f aca="false">IFERROR(SUMPRODUCT($B$7:$B$206,LN($Z100-$C$7:$C$206),LN($Z100-$C$7:$C$206)),"")</f>
        <v>762.510580315652</v>
      </c>
      <c r="AC100" s="38" t="n">
        <f aca="false">IFERROR(SUMPRODUCT($B$7:$B$206,LN($Z100-$C$7:$C$206),$H$7:$H$206),"")</f>
        <v>-127.302821126191</v>
      </c>
      <c r="AD100" s="39" t="n">
        <f aca="false">IFERROR((データ入力!$B$8*AC100-AA100*$N$22)/SQRT((データ入力!$B$8*AB100-AA100^2)*(データ入力!$B$8*$N$23-$N$22^2)),-1)</f>
        <v>0.997027066183167</v>
      </c>
    </row>
    <row r="101" customFormat="false" ht="15" hidden="false" customHeight="false" outlineLevel="0" collapsed="false">
      <c r="A101" s="32" t="n">
        <v>95</v>
      </c>
      <c r="B101" s="33" t="n">
        <f aca="false">IF($A101&lt;=データ入力!$B$8,1,0)</f>
        <v>0</v>
      </c>
      <c r="C101" s="34" t="n">
        <f aca="false">IF($B101=1,LARGE(データ入力!$B$12:$B$211,$A101),0)</f>
        <v>0</v>
      </c>
      <c r="D101" s="32" t="str">
        <f aca="false">IF($B101=1,IFERROR(INDEX(データ入力!$A$12:$A$211,MATCH($C101,データ入力!$B$12:$B$211,0)),""),"")</f>
        <v/>
      </c>
      <c r="E101" s="35" t="n">
        <f aca="false">IF($B101=1,1-$A101/(データ入力!$B$8+1),0)</f>
        <v>0</v>
      </c>
      <c r="F101" s="36" t="str">
        <f aca="false">IF($B101=1,(データ入力!$B$8+1)/$A101,"")</f>
        <v/>
      </c>
      <c r="G101" s="37" t="n">
        <f aca="false">IF($B101=1,-LN(-LN($E101)),0)</f>
        <v>0</v>
      </c>
      <c r="H101" s="37" t="n">
        <f aca="false">IF($B101=1,LN(-LN($E101)),0)</f>
        <v>0</v>
      </c>
      <c r="I101" s="36" t="str">
        <f aca="false">IF($B101=1,IFERROR($C101-($N$10+$N$9*$G101),""),"")</f>
        <v/>
      </c>
      <c r="J101" s="36" t="str">
        <f aca="false">IF($B101=1,IFERROR($C101-($N$21-$N$26*EXP(-$G101/$N$24)),""),"")</f>
        <v/>
      </c>
      <c r="T101" s="38" t="n">
        <f aca="false">IFERROR($R$6+($A101-1)*$R$5,"")</f>
        <v>86.45</v>
      </c>
      <c r="U101" s="38" t="n">
        <f aca="false">IFERROR(SUMPRODUCT($B$7:$B$206,LN($T101-$C$7:$C$206)),"")</f>
        <v>295.320921668928</v>
      </c>
      <c r="V101" s="38" t="n">
        <f aca="false">IFERROR(SUMPRODUCT($B$7:$B$206,LN($T101-$C$7:$C$206),LN($T101-$C$7:$C$206)),"")</f>
        <v>1162.9241278968</v>
      </c>
      <c r="W101" s="38" t="n">
        <f aca="false">IFERROR(SUMPRODUCT($B$7:$B$206,LN($T101-$C$7:$C$206),$H$7:$H$206),"")</f>
        <v>-161.549793452311</v>
      </c>
      <c r="X101" s="39" t="n">
        <f aca="false">IFERROR((データ入力!$B$8*W101-U101*$N$22)/SQRT((データ入力!$B$8*V101-U101^2)*(データ入力!$B$8*$N$23-$N$22^2)),-1)</f>
        <v>0.996732567550924</v>
      </c>
      <c r="Z101" s="38" t="n">
        <f aca="false">IFERROR($R$10+($A101-1)*$R$9,"")</f>
        <v>59.4223618090452</v>
      </c>
      <c r="AA101" s="38" t="n">
        <f aca="false">IFERROR(SUMPRODUCT($B$7:$B$206,LN($Z101-$C$7:$C$206)),"")</f>
        <v>239.109615641613</v>
      </c>
      <c r="AB101" s="38" t="n">
        <f aca="false">IFERROR(SUMPRODUCT($B$7:$B$206,LN($Z101-$C$7:$C$206),LN($Z101-$C$7:$C$206)),"")</f>
        <v>762.609786816534</v>
      </c>
      <c r="AC101" s="38" t="n">
        <f aca="false">IFERROR(SUMPRODUCT($B$7:$B$206,LN($Z101-$C$7:$C$206),$H$7:$H$206),"")</f>
        <v>-127.312675774202</v>
      </c>
      <c r="AD101" s="39" t="n">
        <f aca="false">IFERROR((データ入力!$B$8*AC101-AA101*$N$22)/SQRT((データ入力!$B$8*AB101-AA101^2)*(データ入力!$B$8*$N$23-$N$22^2)),-1)</f>
        <v>0.997027067126882</v>
      </c>
    </row>
    <row r="102" customFormat="false" ht="15" hidden="false" customHeight="false" outlineLevel="0" collapsed="false">
      <c r="A102" s="32" t="n">
        <v>96</v>
      </c>
      <c r="B102" s="33" t="n">
        <f aca="false">IF($A102&lt;=データ入力!$B$8,1,0)</f>
        <v>0</v>
      </c>
      <c r="C102" s="34" t="n">
        <f aca="false">IF($B102=1,LARGE(データ入力!$B$12:$B$211,$A102),0)</f>
        <v>0</v>
      </c>
      <c r="D102" s="32" t="str">
        <f aca="false">IF($B102=1,IFERROR(INDEX(データ入力!$A$12:$A$211,MATCH($C102,データ入力!$B$12:$B$211,0)),""),"")</f>
        <v/>
      </c>
      <c r="E102" s="35" t="n">
        <f aca="false">IF($B102=1,1-$A102/(データ入力!$B$8+1),0)</f>
        <v>0</v>
      </c>
      <c r="F102" s="36" t="str">
        <f aca="false">IF($B102=1,(データ入力!$B$8+1)/$A102,"")</f>
        <v/>
      </c>
      <c r="G102" s="37" t="n">
        <f aca="false">IF($B102=1,-LN(-LN($E102)),0)</f>
        <v>0</v>
      </c>
      <c r="H102" s="37" t="n">
        <f aca="false">IF($B102=1,LN(-LN($E102)),0)</f>
        <v>0</v>
      </c>
      <c r="I102" s="36" t="str">
        <f aca="false">IF($B102=1,IFERROR($C102-($N$10+$N$9*$G102),""),"")</f>
        <v/>
      </c>
      <c r="J102" s="36" t="str">
        <f aca="false">IF($B102=1,IFERROR($C102-($N$21-$N$26*EXP(-$G102/$N$24)),""),"")</f>
        <v/>
      </c>
      <c r="T102" s="38" t="n">
        <f aca="false">IFERROR($R$6+($A102-1)*$R$5,"")</f>
        <v>86.95</v>
      </c>
      <c r="U102" s="38" t="n">
        <f aca="false">IFERROR(SUMPRODUCT($B$7:$B$206,LN($T102-$C$7:$C$206)),"")</f>
        <v>296.0487453529</v>
      </c>
      <c r="V102" s="38" t="n">
        <f aca="false">IFERROR(SUMPRODUCT($B$7:$B$206,LN($T102-$C$7:$C$206),LN($T102-$C$7:$C$206)),"")</f>
        <v>1168.66170683095</v>
      </c>
      <c r="W102" s="38" t="n">
        <f aca="false">IFERROR(SUMPRODUCT($B$7:$B$206,LN($T102-$C$7:$C$206),$H$7:$H$206),"")</f>
        <v>-161.979910284566</v>
      </c>
      <c r="X102" s="39" t="n">
        <f aca="false">IFERROR((データ入力!$B$8*W102-U102*$N$22)/SQRT((データ入力!$B$8*V102-U102^2)*(データ入力!$B$8*$N$23-$N$22^2)),-1)</f>
        <v>0.996727549211776</v>
      </c>
      <c r="Z102" s="38" t="n">
        <f aca="false">IFERROR($R$10+($A102-1)*$R$9,"")</f>
        <v>59.4273869346734</v>
      </c>
      <c r="AA102" s="38" t="n">
        <f aca="false">IFERROR(SUMPRODUCT($B$7:$B$206,LN($Z102-$C$7:$C$206)),"")</f>
        <v>239.125191536274</v>
      </c>
      <c r="AB102" s="38" t="n">
        <f aca="false">IFERROR(SUMPRODUCT($B$7:$B$206,LN($Z102-$C$7:$C$206),LN($Z102-$C$7:$C$206)),"")</f>
        <v>762.708979153265</v>
      </c>
      <c r="AC102" s="38" t="n">
        <f aca="false">IFERROR(SUMPRODUCT($B$7:$B$206,LN($Z102-$C$7:$C$206),$H$7:$H$206),"")</f>
        <v>-127.32252810518</v>
      </c>
      <c r="AD102" s="39" t="n">
        <f aca="false">IFERROR((データ入力!$B$8*AC102-AA102*$N$22)/SQRT((データ入力!$B$8*AB102-AA102^2)*(データ入力!$B$8*$N$23-$N$22^2)),-1)</f>
        <v>0.997027067973103</v>
      </c>
    </row>
    <row r="103" customFormat="false" ht="15" hidden="false" customHeight="false" outlineLevel="0" collapsed="false">
      <c r="A103" s="32" t="n">
        <v>97</v>
      </c>
      <c r="B103" s="33" t="n">
        <f aca="false">IF($A103&lt;=データ入力!$B$8,1,0)</f>
        <v>0</v>
      </c>
      <c r="C103" s="34" t="n">
        <f aca="false">IF($B103=1,LARGE(データ入力!$B$12:$B$211,$A103),0)</f>
        <v>0</v>
      </c>
      <c r="D103" s="32" t="str">
        <f aca="false">IF($B103=1,IFERROR(INDEX(データ入力!$A$12:$A$211,MATCH($C103,データ入力!$B$12:$B$211,0)),""),"")</f>
        <v/>
      </c>
      <c r="E103" s="35" t="n">
        <f aca="false">IF($B103=1,1-$A103/(データ入力!$B$8+1),0)</f>
        <v>0</v>
      </c>
      <c r="F103" s="36" t="str">
        <f aca="false">IF($B103=1,(データ入力!$B$8+1)/$A103,"")</f>
        <v/>
      </c>
      <c r="G103" s="37" t="n">
        <f aca="false">IF($B103=1,-LN(-LN($E103)),0)</f>
        <v>0</v>
      </c>
      <c r="H103" s="37" t="n">
        <f aca="false">IF($B103=1,LN(-LN($E103)),0)</f>
        <v>0</v>
      </c>
      <c r="I103" s="36" t="str">
        <f aca="false">IF($B103=1,IFERROR($C103-($N$10+$N$9*$G103),""),"")</f>
        <v/>
      </c>
      <c r="J103" s="36" t="str">
        <f aca="false">IF($B103=1,IFERROR($C103-($N$21-$N$26*EXP(-$G103/$N$24)),""),"")</f>
        <v/>
      </c>
      <c r="T103" s="38" t="n">
        <f aca="false">IFERROR($R$6+($A103-1)*$R$5,"")</f>
        <v>87.45</v>
      </c>
      <c r="U103" s="38" t="n">
        <f aca="false">IFERROR(SUMPRODUCT($B$7:$B$206,LN($T103-$C$7:$C$206)),"")</f>
        <v>296.769567837706</v>
      </c>
      <c r="V103" s="38" t="n">
        <f aca="false">IFERROR(SUMPRODUCT($B$7:$B$206,LN($T103-$C$7:$C$206),LN($T103-$C$7:$C$206)),"")</f>
        <v>1174.35804104365</v>
      </c>
      <c r="W103" s="38" t="n">
        <f aca="false">IFERROR(SUMPRODUCT($B$7:$B$206,LN($T103-$C$7:$C$206),$H$7:$H$206),"")</f>
        <v>-162.405641213442</v>
      </c>
      <c r="X103" s="39" t="n">
        <f aca="false">IFERROR((データ入力!$B$8*W103-U103*$N$22)/SQRT((データ入力!$B$8*V103-U103^2)*(データ入力!$B$8*$N$23-$N$22^2)),-1)</f>
        <v>0.996722587619707</v>
      </c>
      <c r="Z103" s="38" t="n">
        <f aca="false">IFERROR($R$10+($A103-1)*$R$9,"")</f>
        <v>59.4324120603015</v>
      </c>
      <c r="AA103" s="38" t="n">
        <f aca="false">IFERROR(SUMPRODUCT($B$7:$B$206,LN($Z103-$C$7:$C$206)),"")</f>
        <v>239.140764183302</v>
      </c>
      <c r="AB103" s="38" t="n">
        <f aca="false">IFERROR(SUMPRODUCT($B$7:$B$206,LN($Z103-$C$7:$C$206),LN($Z103-$C$7:$C$206)),"")</f>
        <v>762.808157330406</v>
      </c>
      <c r="AC103" s="38" t="n">
        <f aca="false">IFERROR(SUMPRODUCT($B$7:$B$206,LN($Z103-$C$7:$C$206),$H$7:$H$206),"")</f>
        <v>-127.332378120209</v>
      </c>
      <c r="AD103" s="39" t="n">
        <f aca="false">IFERROR((データ入力!$B$8*AC103-AA103*$N$22)/SQRT((データ入力!$B$8*AB103-AA103^2)*(データ入力!$B$8*$N$23-$N$22^2)),-1)</f>
        <v>0.997027068723026</v>
      </c>
    </row>
    <row r="104" customFormat="false" ht="15" hidden="false" customHeight="false" outlineLevel="0" collapsed="false">
      <c r="A104" s="32" t="n">
        <v>98</v>
      </c>
      <c r="B104" s="33" t="n">
        <f aca="false">IF($A104&lt;=データ入力!$B$8,1,0)</f>
        <v>0</v>
      </c>
      <c r="C104" s="34" t="n">
        <f aca="false">IF($B104=1,LARGE(データ入力!$B$12:$B$211,$A104),0)</f>
        <v>0</v>
      </c>
      <c r="D104" s="32" t="str">
        <f aca="false">IF($B104=1,IFERROR(INDEX(データ入力!$A$12:$A$211,MATCH($C104,データ入力!$B$12:$B$211,0)),""),"")</f>
        <v/>
      </c>
      <c r="E104" s="35" t="n">
        <f aca="false">IF($B104=1,1-$A104/(データ入力!$B$8+1),0)</f>
        <v>0</v>
      </c>
      <c r="F104" s="36" t="str">
        <f aca="false">IF($B104=1,(データ入力!$B$8+1)/$A104,"")</f>
        <v/>
      </c>
      <c r="G104" s="37" t="n">
        <f aca="false">IF($B104=1,-LN(-LN($E104)),0)</f>
        <v>0</v>
      </c>
      <c r="H104" s="37" t="n">
        <f aca="false">IF($B104=1,LN(-LN($E104)),0)</f>
        <v>0</v>
      </c>
      <c r="I104" s="36" t="str">
        <f aca="false">IF($B104=1,IFERROR($C104-($N$10+$N$9*$G104),""),"")</f>
        <v/>
      </c>
      <c r="J104" s="36" t="str">
        <f aca="false">IF($B104=1,IFERROR($C104-($N$21-$N$26*EXP(-$G104/$N$24)),""),"")</f>
        <v/>
      </c>
      <c r="T104" s="38" t="n">
        <f aca="false">IFERROR($R$6+($A104-1)*$R$5,"")</f>
        <v>87.95</v>
      </c>
      <c r="U104" s="38" t="n">
        <f aca="false">IFERROR(SUMPRODUCT($B$7:$B$206,LN($T104-$C$7:$C$206)),"")</f>
        <v>297.483522649651</v>
      </c>
      <c r="V104" s="38" t="n">
        <f aca="false">IFERROR(SUMPRODUCT($B$7:$B$206,LN($T104-$C$7:$C$206),LN($T104-$C$7:$C$206)),"")</f>
        <v>1180.01378466833</v>
      </c>
      <c r="W104" s="38" t="n">
        <f aca="false">IFERROR(SUMPRODUCT($B$7:$B$206,LN($T104-$C$7:$C$206),$H$7:$H$206),"")</f>
        <v>-162.827074679217</v>
      </c>
      <c r="X104" s="39" t="n">
        <f aca="false">IFERROR((データ入力!$B$8*W104-U104*$N$22)/SQRT((データ入力!$B$8*V104-U104^2)*(データ入力!$B$8*$N$23-$N$22^2)),-1)</f>
        <v>0.996717682305111</v>
      </c>
      <c r="Z104" s="38" t="n">
        <f aca="false">IFERROR($R$10+($A104-1)*$R$9,"")</f>
        <v>59.4374371859296</v>
      </c>
      <c r="AA104" s="38" t="n">
        <f aca="false">IFERROR(SUMPRODUCT($B$7:$B$206,LN($Z104-$C$7:$C$206)),"")</f>
        <v>239.156333584058</v>
      </c>
      <c r="AB104" s="38" t="n">
        <f aca="false">IFERROR(SUMPRODUCT($B$7:$B$206,LN($Z104-$C$7:$C$206),LN($Z104-$C$7:$C$206)),"")</f>
        <v>762.907321352514</v>
      </c>
      <c r="AC104" s="38" t="n">
        <f aca="false">IFERROR(SUMPRODUCT($B$7:$B$206,LN($Z104-$C$7:$C$206),$H$7:$H$206),"")</f>
        <v>-127.342225820374</v>
      </c>
      <c r="AD104" s="39" t="n">
        <f aca="false">IFERROR((データ入力!$B$8*AC104-AA104*$N$22)/SQRT((データ入力!$B$8*AB104-AA104^2)*(データ入力!$B$8*$N$23-$N$22^2)),-1)</f>
        <v>0.997027069375886</v>
      </c>
    </row>
    <row r="105" customFormat="false" ht="15" hidden="false" customHeight="false" outlineLevel="0" collapsed="false">
      <c r="A105" s="32" t="n">
        <v>99</v>
      </c>
      <c r="B105" s="33" t="n">
        <f aca="false">IF($A105&lt;=データ入力!$B$8,1,0)</f>
        <v>0</v>
      </c>
      <c r="C105" s="34" t="n">
        <f aca="false">IF($B105=1,LARGE(データ入力!$B$12:$B$211,$A105),0)</f>
        <v>0</v>
      </c>
      <c r="D105" s="32" t="str">
        <f aca="false">IF($B105=1,IFERROR(INDEX(データ入力!$A$12:$A$211,MATCH($C105,データ入力!$B$12:$B$211,0)),""),"")</f>
        <v/>
      </c>
      <c r="E105" s="35" t="n">
        <f aca="false">IF($B105=1,1-$A105/(データ入力!$B$8+1),0)</f>
        <v>0</v>
      </c>
      <c r="F105" s="36" t="str">
        <f aca="false">IF($B105=1,(データ入力!$B$8+1)/$A105,"")</f>
        <v/>
      </c>
      <c r="G105" s="37" t="n">
        <f aca="false">IF($B105=1,-LN(-LN($E105)),0)</f>
        <v>0</v>
      </c>
      <c r="H105" s="37" t="n">
        <f aca="false">IF($B105=1,LN(-LN($E105)),0)</f>
        <v>0</v>
      </c>
      <c r="I105" s="36" t="str">
        <f aca="false">IF($B105=1,IFERROR($C105-($N$10+$N$9*$G105),""),"")</f>
        <v/>
      </c>
      <c r="J105" s="36" t="str">
        <f aca="false">IF($B105=1,IFERROR($C105-($N$21-$N$26*EXP(-$G105/$N$24)),""),"")</f>
        <v/>
      </c>
      <c r="T105" s="38" t="n">
        <f aca="false">IFERROR($R$6+($A105-1)*$R$5,"")</f>
        <v>88.45</v>
      </c>
      <c r="U105" s="38" t="n">
        <f aca="false">IFERROR(SUMPRODUCT($B$7:$B$206,LN($T105-$C$7:$C$206)),"")</f>
        <v>298.190739527942</v>
      </c>
      <c r="V105" s="38" t="n">
        <f aca="false">IFERROR(SUMPRODUCT($B$7:$B$206,LN($T105-$C$7:$C$206),LN($T105-$C$7:$C$206)),"")</f>
        <v>1185.6295757812</v>
      </c>
      <c r="W105" s="38" t="n">
        <f aca="false">IFERROR(SUMPRODUCT($B$7:$B$206,LN($T105-$C$7:$C$206),$H$7:$H$206),"")</f>
        <v>-163.244296476365</v>
      </c>
      <c r="X105" s="39" t="n">
        <f aca="false">IFERROR((データ入力!$B$8*W105-U105*$N$22)/SQRT((データ入力!$B$8*V105-U105^2)*(データ入力!$B$8*$N$23-$N$22^2)),-1)</f>
        <v>0.996712832778516</v>
      </c>
      <c r="Z105" s="38" t="n">
        <f aca="false">IFERROR($R$10+($A105-1)*$R$9,"")</f>
        <v>59.4424623115578</v>
      </c>
      <c r="AA105" s="38" t="n">
        <f aca="false">IFERROR(SUMPRODUCT($B$7:$B$206,LN($Z105-$C$7:$C$206)),"")</f>
        <v>239.171899739901</v>
      </c>
      <c r="AB105" s="38" t="n">
        <f aca="false">IFERROR(SUMPRODUCT($B$7:$B$206,LN($Z105-$C$7:$C$206),LN($Z105-$C$7:$C$206)),"")</f>
        <v>763.006471224143</v>
      </c>
      <c r="AC105" s="38" t="n">
        <f aca="false">IFERROR(SUMPRODUCT($B$7:$B$206,LN($Z105-$C$7:$C$206),$H$7:$H$206),"")</f>
        <v>-127.352071206759</v>
      </c>
      <c r="AD105" s="39" t="n">
        <f aca="false">IFERROR((データ入力!$B$8*AC105-AA105*$N$22)/SQRT((データ入力!$B$8*AB105-AA105^2)*(データ入力!$B$8*$N$23-$N$22^2)),-1)</f>
        <v>0.99702706993217</v>
      </c>
    </row>
    <row r="106" customFormat="false" ht="15" hidden="false" customHeight="false" outlineLevel="0" collapsed="false">
      <c r="A106" s="32" t="n">
        <v>100</v>
      </c>
      <c r="B106" s="33" t="n">
        <f aca="false">IF($A106&lt;=データ入力!$B$8,1,0)</f>
        <v>0</v>
      </c>
      <c r="C106" s="34" t="n">
        <f aca="false">IF($B106=1,LARGE(データ入力!$B$12:$B$211,$A106),0)</f>
        <v>0</v>
      </c>
      <c r="D106" s="32" t="str">
        <f aca="false">IF($B106=1,IFERROR(INDEX(データ入力!$A$12:$A$211,MATCH($C106,データ入力!$B$12:$B$211,0)),""),"")</f>
        <v/>
      </c>
      <c r="E106" s="35" t="n">
        <f aca="false">IF($B106=1,1-$A106/(データ入力!$B$8+1),0)</f>
        <v>0</v>
      </c>
      <c r="F106" s="36" t="str">
        <f aca="false">IF($B106=1,(データ入力!$B$8+1)/$A106,"")</f>
        <v/>
      </c>
      <c r="G106" s="37" t="n">
        <f aca="false">IF($B106=1,-LN(-LN($E106)),0)</f>
        <v>0</v>
      </c>
      <c r="H106" s="37" t="n">
        <f aca="false">IF($B106=1,LN(-LN($E106)),0)</f>
        <v>0</v>
      </c>
      <c r="I106" s="36" t="str">
        <f aca="false">IF($B106=1,IFERROR($C106-($N$10+$N$9*$G106),""),"")</f>
        <v/>
      </c>
      <c r="J106" s="36" t="str">
        <f aca="false">IF($B106=1,IFERROR($C106-($N$21-$N$26*EXP(-$G106/$N$24)),""),"")</f>
        <v/>
      </c>
      <c r="T106" s="38" t="n">
        <f aca="false">IFERROR($R$6+($A106-1)*$R$5,"")</f>
        <v>88.95</v>
      </c>
      <c r="U106" s="38" t="n">
        <f aca="false">IFERROR(SUMPRODUCT($B$7:$B$206,LN($T106-$C$7:$C$206)),"")</f>
        <v>298.891344566678</v>
      </c>
      <c r="V106" s="38" t="n">
        <f aca="false">IFERROR(SUMPRODUCT($B$7:$B$206,LN($T106-$C$7:$C$206),LN($T106-$C$7:$C$206)),"")</f>
        <v>1191.20603693335</v>
      </c>
      <c r="W106" s="38" t="n">
        <f aca="false">IFERROR(SUMPRODUCT($B$7:$B$206,LN($T106-$C$7:$C$206),$H$7:$H$206),"")</f>
        <v>-163.657389857969</v>
      </c>
      <c r="X106" s="39" t="n">
        <f aca="false">IFERROR((データ入力!$B$8*W106-U106*$N$22)/SQRT((データ入力!$B$8*V106-U106^2)*(データ入力!$B$8*$N$23-$N$22^2)),-1)</f>
        <v>0.996708038516315</v>
      </c>
      <c r="Z106" s="38" t="n">
        <f aca="false">IFERROR($R$10+($A106-1)*$R$9,"")</f>
        <v>59.4474874371859</v>
      </c>
      <c r="AA106" s="38" t="n">
        <f aca="false">IFERROR(SUMPRODUCT($B$7:$B$206,LN($Z106-$C$7:$C$206)),"")</f>
        <v>239.18746265219</v>
      </c>
      <c r="AB106" s="38" t="n">
        <f aca="false">IFERROR(SUMPRODUCT($B$7:$B$206,LN($Z106-$C$7:$C$206),LN($Z106-$C$7:$C$206)),"")</f>
        <v>763.105606949848</v>
      </c>
      <c r="AC106" s="38" t="n">
        <f aca="false">IFERROR(SUMPRODUCT($B$7:$B$206,LN($Z106-$C$7:$C$206),$H$7:$H$206),"")</f>
        <v>-127.361914280449</v>
      </c>
      <c r="AD106" s="39" t="n">
        <f aca="false">IFERROR((データ入力!$B$8*AC106-AA106*$N$22)/SQRT((データ入力!$B$8*AB106-AA106^2)*(データ入力!$B$8*$N$23-$N$22^2)),-1)</f>
        <v>0.997027070392175</v>
      </c>
    </row>
    <row r="107" customFormat="false" ht="15" hidden="false" customHeight="false" outlineLevel="0" collapsed="false">
      <c r="A107" s="32" t="n">
        <v>101</v>
      </c>
      <c r="B107" s="33" t="n">
        <f aca="false">IF($A107&lt;=データ入力!$B$8,1,0)</f>
        <v>0</v>
      </c>
      <c r="C107" s="34" t="n">
        <f aca="false">IF($B107=1,LARGE(データ入力!$B$12:$B$211,$A107),0)</f>
        <v>0</v>
      </c>
      <c r="D107" s="32" t="str">
        <f aca="false">IF($B107=1,IFERROR(INDEX(データ入力!$A$12:$A$211,MATCH($C107,データ入力!$B$12:$B$211,0)),""),"")</f>
        <v/>
      </c>
      <c r="E107" s="35" t="n">
        <f aca="false">IF($B107=1,1-$A107/(データ入力!$B$8+1),0)</f>
        <v>0</v>
      </c>
      <c r="F107" s="36" t="str">
        <f aca="false">IF($B107=1,(データ入力!$B$8+1)/$A107,"")</f>
        <v/>
      </c>
      <c r="G107" s="37" t="n">
        <f aca="false">IF($B107=1,-LN(-LN($E107)),0)</f>
        <v>0</v>
      </c>
      <c r="H107" s="37" t="n">
        <f aca="false">IF($B107=1,LN(-LN($E107)),0)</f>
        <v>0</v>
      </c>
      <c r="I107" s="36" t="str">
        <f aca="false">IF($B107=1,IFERROR($C107-($N$10+$N$9*$G107),""),"")</f>
        <v/>
      </c>
      <c r="J107" s="36" t="str">
        <f aca="false">IF($B107=1,IFERROR($C107-($N$21-$N$26*EXP(-$G107/$N$24)),""),"")</f>
        <v/>
      </c>
      <c r="T107" s="38" t="n">
        <f aca="false">IFERROR($R$6+($A107-1)*$R$5,"")</f>
        <v>89.45</v>
      </c>
      <c r="U107" s="38" t="n">
        <f aca="false">IFERROR(SUMPRODUCT($B$7:$B$206,LN($T107-$C$7:$C$206)),"")</f>
        <v>299.585460350255</v>
      </c>
      <c r="V107" s="38" t="n">
        <f aca="false">IFERROR(SUMPRODUCT($B$7:$B$206,LN($T107-$C$7:$C$206),LN($T107-$C$7:$C$206)),"")</f>
        <v>1196.74377566079</v>
      </c>
      <c r="W107" s="38" t="n">
        <f aca="false">IFERROR(SUMPRODUCT($B$7:$B$206,LN($T107-$C$7:$C$206),$H$7:$H$206),"")</f>
        <v>-164.066435635036</v>
      </c>
      <c r="X107" s="39" t="n">
        <f aca="false">IFERROR((データ入力!$B$8*W107-U107*$N$22)/SQRT((データ入力!$B$8*V107-U107^2)*(データ入力!$B$8*$N$23-$N$22^2)),-1)</f>
        <v>0.996703298993231</v>
      </c>
      <c r="Z107" s="38" t="n">
        <f aca="false">IFERROR($R$10+($A107-1)*$R$9,"")</f>
        <v>59.4525125628141</v>
      </c>
      <c r="AA107" s="38" t="n">
        <f aca="false">IFERROR(SUMPRODUCT($B$7:$B$206,LN($Z107-$C$7:$C$206)),"")</f>
        <v>239.20302232228</v>
      </c>
      <c r="AB107" s="38" t="n">
        <f aca="false">IFERROR(SUMPRODUCT($B$7:$B$206,LN($Z107-$C$7:$C$206),LN($Z107-$C$7:$C$206)),"")</f>
        <v>763.204728534177</v>
      </c>
      <c r="AC107" s="38" t="n">
        <f aca="false">IFERROR(SUMPRODUCT($B$7:$B$206,LN($Z107-$C$7:$C$206),$H$7:$H$206),"")</f>
        <v>-127.371755042525</v>
      </c>
      <c r="AD107" s="39" t="n">
        <f aca="false">IFERROR((データ入力!$B$8*AC107-AA107*$N$22)/SQRT((データ入力!$B$8*AB107-AA107^2)*(データ入力!$B$8*$N$23-$N$22^2)),-1)</f>
        <v>0.997027070755324</v>
      </c>
    </row>
    <row r="108" customFormat="false" ht="15" hidden="false" customHeight="false" outlineLevel="0" collapsed="false">
      <c r="A108" s="32" t="n">
        <v>102</v>
      </c>
      <c r="B108" s="33" t="n">
        <f aca="false">IF($A108&lt;=データ入力!$B$8,1,0)</f>
        <v>0</v>
      </c>
      <c r="C108" s="34" t="n">
        <f aca="false">IF($B108=1,LARGE(データ入力!$B$12:$B$211,$A108),0)</f>
        <v>0</v>
      </c>
      <c r="D108" s="32" t="str">
        <f aca="false">IF($B108=1,IFERROR(INDEX(データ入力!$A$12:$A$211,MATCH($C108,データ入力!$B$12:$B$211,0)),""),"")</f>
        <v/>
      </c>
      <c r="E108" s="35" t="n">
        <f aca="false">IF($B108=1,1-$A108/(データ入力!$B$8+1),0)</f>
        <v>0</v>
      </c>
      <c r="F108" s="36" t="str">
        <f aca="false">IF($B108=1,(データ入力!$B$8+1)/$A108,"")</f>
        <v/>
      </c>
      <c r="G108" s="37" t="n">
        <f aca="false">IF($B108=1,-LN(-LN($E108)),0)</f>
        <v>0</v>
      </c>
      <c r="H108" s="37" t="n">
        <f aca="false">IF($B108=1,LN(-LN($E108)),0)</f>
        <v>0</v>
      </c>
      <c r="I108" s="36" t="str">
        <f aca="false">IF($B108=1,IFERROR($C108-($N$10+$N$9*$G108),""),"")</f>
        <v/>
      </c>
      <c r="J108" s="36" t="str">
        <f aca="false">IF($B108=1,IFERROR($C108-($N$21-$N$26*EXP(-$G108/$N$24)),""),"")</f>
        <v/>
      </c>
      <c r="T108" s="38" t="n">
        <f aca="false">IFERROR($R$6+($A108-1)*$R$5,"")</f>
        <v>89.95</v>
      </c>
      <c r="U108" s="38" t="n">
        <f aca="false">IFERROR(SUMPRODUCT($B$7:$B$206,LN($T108-$C$7:$C$206)),"")</f>
        <v>300.273206082521</v>
      </c>
      <c r="V108" s="38" t="n">
        <f aca="false">IFERROR(SUMPRODUCT($B$7:$B$206,LN($T108-$C$7:$C$206),LN($T108-$C$7:$C$206)),"")</f>
        <v>1202.24338497343</v>
      </c>
      <c r="W108" s="38" t="n">
        <f aca="false">IFERROR(SUMPRODUCT($B$7:$B$206,LN($T108-$C$7:$C$206),$H$7:$H$206),"")</f>
        <v>-164.47151227101</v>
      </c>
      <c r="X108" s="39" t="n">
        <f aca="false">IFERROR((データ入力!$B$8*W108-U108*$N$22)/SQRT((データ入力!$B$8*V108-U108^2)*(データ入力!$B$8*$N$23-$N$22^2)),-1)</f>
        <v>0.996698613643047</v>
      </c>
      <c r="Z108" s="38" t="n">
        <f aca="false">IFERROR($R$10+($A108-1)*$R$9,"")</f>
        <v>59.4575376884422</v>
      </c>
      <c r="AA108" s="38" t="n">
        <f aca="false">IFERROR(SUMPRODUCT($B$7:$B$206,LN($Z108-$C$7:$C$206)),"")</f>
        <v>239.218578751531</v>
      </c>
      <c r="AB108" s="38" t="n">
        <f aca="false">IFERROR(SUMPRODUCT($B$7:$B$206,LN($Z108-$C$7:$C$206),LN($Z108-$C$7:$C$206)),"")</f>
        <v>763.303835981681</v>
      </c>
      <c r="AC108" s="38" t="n">
        <f aca="false">IFERROR(SUMPRODUCT($B$7:$B$206,LN($Z108-$C$7:$C$206),$H$7:$H$206),"")</f>
        <v>-127.381593494069</v>
      </c>
      <c r="AD108" s="39" t="n">
        <f aca="false">IFERROR((データ入力!$B$8*AC108-AA108*$N$22)/SQRT((データ入力!$B$8*AB108-AA108^2)*(データ入力!$B$8*$N$23-$N$22^2)),-1)</f>
        <v>0.997027071022003</v>
      </c>
    </row>
    <row r="109" customFormat="false" ht="15" hidden="false" customHeight="false" outlineLevel="0" collapsed="false">
      <c r="A109" s="32" t="n">
        <v>103</v>
      </c>
      <c r="B109" s="33" t="n">
        <f aca="false">IF($A109&lt;=データ入力!$B$8,1,0)</f>
        <v>0</v>
      </c>
      <c r="C109" s="34" t="n">
        <f aca="false">IF($B109=1,LARGE(データ入力!$B$12:$B$211,$A109),0)</f>
        <v>0</v>
      </c>
      <c r="D109" s="32" t="str">
        <f aca="false">IF($B109=1,IFERROR(INDEX(データ入力!$A$12:$A$211,MATCH($C109,データ入力!$B$12:$B$211,0)),""),"")</f>
        <v/>
      </c>
      <c r="E109" s="35" t="n">
        <f aca="false">IF($B109=1,1-$A109/(データ入力!$B$8+1),0)</f>
        <v>0</v>
      </c>
      <c r="F109" s="36" t="str">
        <f aca="false">IF($B109=1,(データ入力!$B$8+1)/$A109,"")</f>
        <v/>
      </c>
      <c r="G109" s="37" t="n">
        <f aca="false">IF($B109=1,-LN(-LN($E109)),0)</f>
        <v>0</v>
      </c>
      <c r="H109" s="37" t="n">
        <f aca="false">IF($B109=1,LN(-LN($E109)),0)</f>
        <v>0</v>
      </c>
      <c r="I109" s="36" t="str">
        <f aca="false">IF($B109=1,IFERROR($C109-($N$10+$N$9*$G109),""),"")</f>
        <v/>
      </c>
      <c r="J109" s="36" t="str">
        <f aca="false">IF($B109=1,IFERROR($C109-($N$21-$N$26*EXP(-$G109/$N$24)),""),"")</f>
        <v/>
      </c>
      <c r="T109" s="38" t="n">
        <f aca="false">IFERROR($R$6+($A109-1)*$R$5,"")</f>
        <v>90.45</v>
      </c>
      <c r="U109" s="38" t="n">
        <f aca="false">IFERROR(SUMPRODUCT($B$7:$B$206,LN($T109-$C$7:$C$206)),"")</f>
        <v>300.954697710051</v>
      </c>
      <c r="V109" s="38" t="n">
        <f aca="false">IFERROR(SUMPRODUCT($B$7:$B$206,LN($T109-$C$7:$C$206),LN($T109-$C$7:$C$206)),"")</f>
        <v>1207.70544382404</v>
      </c>
      <c r="W109" s="38" t="n">
        <f aca="false">IFERROR(SUMPRODUCT($B$7:$B$206,LN($T109-$C$7:$C$206),$H$7:$H$206),"")</f>
        <v>-164.872695971759</v>
      </c>
      <c r="X109" s="39" t="n">
        <f aca="false">IFERROR((データ入力!$B$8*W109-U109*$N$22)/SQRT((データ入力!$B$8*V109-U109^2)*(データ入力!$B$8*$N$23-$N$22^2)),-1)</f>
        <v>0.996693981907645</v>
      </c>
      <c r="Z109" s="38" t="n">
        <f aca="false">IFERROR($R$10+($A109-1)*$R$9,"")</f>
        <v>59.4625628140703</v>
      </c>
      <c r="AA109" s="38" t="n">
        <f aca="false">IFERROR(SUMPRODUCT($B$7:$B$206,LN($Z109-$C$7:$C$206)),"")</f>
        <v>239.234131941295</v>
      </c>
      <c r="AB109" s="38" t="n">
        <f aca="false">IFERROR(SUMPRODUCT($B$7:$B$206,LN($Z109-$C$7:$C$206),LN($Z109-$C$7:$C$206)),"")</f>
        <v>763.402929296904</v>
      </c>
      <c r="AC109" s="38" t="n">
        <f aca="false">IFERROR(SUMPRODUCT($B$7:$B$206,LN($Z109-$C$7:$C$206),$H$7:$H$206),"")</f>
        <v>-127.391429636163</v>
      </c>
      <c r="AD109" s="39" t="n">
        <f aca="false">IFERROR((データ入力!$B$8*AC109-AA109*$N$22)/SQRT((データ入力!$B$8*AB109-AA109^2)*(データ入力!$B$8*$N$23-$N$22^2)),-1)</f>
        <v>0.997027071192715</v>
      </c>
    </row>
    <row r="110" customFormat="false" ht="15" hidden="false" customHeight="false" outlineLevel="0" collapsed="false">
      <c r="A110" s="32" t="n">
        <v>104</v>
      </c>
      <c r="B110" s="33" t="n">
        <f aca="false">IF($A110&lt;=データ入力!$B$8,1,0)</f>
        <v>0</v>
      </c>
      <c r="C110" s="34" t="n">
        <f aca="false">IF($B110=1,LARGE(データ入力!$B$12:$B$211,$A110),0)</f>
        <v>0</v>
      </c>
      <c r="D110" s="32" t="str">
        <f aca="false">IF($B110=1,IFERROR(INDEX(データ入力!$A$12:$A$211,MATCH($C110,データ入力!$B$12:$B$211,0)),""),"")</f>
        <v/>
      </c>
      <c r="E110" s="35" t="n">
        <f aca="false">IF($B110=1,1-$A110/(データ入力!$B$8+1),0)</f>
        <v>0</v>
      </c>
      <c r="F110" s="36" t="str">
        <f aca="false">IF($B110=1,(データ入力!$B$8+1)/$A110,"")</f>
        <v/>
      </c>
      <c r="G110" s="37" t="n">
        <f aca="false">IF($B110=1,-LN(-LN($E110)),0)</f>
        <v>0</v>
      </c>
      <c r="H110" s="37" t="n">
        <f aca="false">IF($B110=1,LN(-LN($E110)),0)</f>
        <v>0</v>
      </c>
      <c r="I110" s="36" t="str">
        <f aca="false">IF($B110=1,IFERROR($C110-($N$10+$N$9*$G110),""),"")</f>
        <v/>
      </c>
      <c r="J110" s="36" t="str">
        <f aca="false">IF($B110=1,IFERROR($C110-($N$21-$N$26*EXP(-$G110/$N$24)),""),"")</f>
        <v/>
      </c>
      <c r="T110" s="38" t="n">
        <f aca="false">IFERROR($R$6+($A110-1)*$R$5,"")</f>
        <v>90.95</v>
      </c>
      <c r="U110" s="38" t="n">
        <f aca="false">IFERROR(SUMPRODUCT($B$7:$B$206,LN($T110-$C$7:$C$206)),"")</f>
        <v>301.63004803984</v>
      </c>
      <c r="V110" s="38" t="n">
        <f aca="false">IFERROR(SUMPRODUCT($B$7:$B$206,LN($T110-$C$7:$C$206),LN($T110-$C$7:$C$206)),"")</f>
        <v>1213.13051755823</v>
      </c>
      <c r="W110" s="38" t="n">
        <f aca="false">IFERROR(SUMPRODUCT($B$7:$B$206,LN($T110-$C$7:$C$206),$H$7:$H$206),"")</f>
        <v>-165.2700607713</v>
      </c>
      <c r="X110" s="39" t="n">
        <f aca="false">IFERROR((データ入力!$B$8*W110-U110*$N$22)/SQRT((データ入力!$B$8*V110-U110^2)*(データ入力!$B$8*$N$23-$N$22^2)),-1)</f>
        <v>0.996689403195495</v>
      </c>
      <c r="Z110" s="38" t="n">
        <f aca="false">IFERROR($R$10+($A110-1)*$R$9,"")</f>
        <v>59.4675879396985</v>
      </c>
      <c r="AA110" s="38" t="n">
        <f aca="false">IFERROR(SUMPRODUCT($B$7:$B$206,LN($Z110-$C$7:$C$206)),"")</f>
        <v>239.24968189293</v>
      </c>
      <c r="AB110" s="38" t="n">
        <f aca="false">IFERROR(SUMPRODUCT($B$7:$B$206,LN($Z110-$C$7:$C$206),LN($Z110-$C$7:$C$206)),"")</f>
        <v>763.502008484391</v>
      </c>
      <c r="AC110" s="38" t="n">
        <f aca="false">IFERROR(SUMPRODUCT($B$7:$B$206,LN($Z110-$C$7:$C$206),$H$7:$H$206),"")</f>
        <v>-127.401263469887</v>
      </c>
      <c r="AD110" s="39" t="n">
        <f aca="false">IFERROR((データ入力!$B$8*AC110-AA110*$N$22)/SQRT((データ入力!$B$8*AB110-AA110^2)*(データ入力!$B$8*$N$23-$N$22^2)),-1)</f>
        <v>0.997027071267757</v>
      </c>
    </row>
    <row r="111" customFormat="false" ht="15" hidden="false" customHeight="false" outlineLevel="0" collapsed="false">
      <c r="A111" s="32" t="n">
        <v>105</v>
      </c>
      <c r="B111" s="33" t="n">
        <f aca="false">IF($A111&lt;=データ入力!$B$8,1,0)</f>
        <v>0</v>
      </c>
      <c r="C111" s="34" t="n">
        <f aca="false">IF($B111=1,LARGE(データ入力!$B$12:$B$211,$A111),0)</f>
        <v>0</v>
      </c>
      <c r="D111" s="32" t="str">
        <f aca="false">IF($B111=1,IFERROR(INDEX(データ入力!$A$12:$A$211,MATCH($C111,データ入力!$B$12:$B$211,0)),""),"")</f>
        <v/>
      </c>
      <c r="E111" s="35" t="n">
        <f aca="false">IF($B111=1,1-$A111/(データ入力!$B$8+1),0)</f>
        <v>0</v>
      </c>
      <c r="F111" s="36" t="str">
        <f aca="false">IF($B111=1,(データ入力!$B$8+1)/$A111,"")</f>
        <v/>
      </c>
      <c r="G111" s="37" t="n">
        <f aca="false">IF($B111=1,-LN(-LN($E111)),0)</f>
        <v>0</v>
      </c>
      <c r="H111" s="37" t="n">
        <f aca="false">IF($B111=1,LN(-LN($E111)),0)</f>
        <v>0</v>
      </c>
      <c r="I111" s="36" t="str">
        <f aca="false">IF($B111=1,IFERROR($C111-($N$10+$N$9*$G111),""),"")</f>
        <v/>
      </c>
      <c r="J111" s="36" t="str">
        <f aca="false">IF($B111=1,IFERROR($C111-($N$21-$N$26*EXP(-$G111/$N$24)),""),"")</f>
        <v/>
      </c>
      <c r="T111" s="38" t="n">
        <f aca="false">IFERROR($R$6+($A111-1)*$R$5,"")</f>
        <v>91.45</v>
      </c>
      <c r="U111" s="38" t="n">
        <f aca="false">IFERROR(SUMPRODUCT($B$7:$B$206,LN($T111-$C$7:$C$206)),"")</f>
        <v>302.299366851736</v>
      </c>
      <c r="V111" s="38" t="n">
        <f aca="false">IFERROR(SUMPRODUCT($B$7:$B$206,LN($T111-$C$7:$C$206),LN($T111-$C$7:$C$206)),"")</f>
        <v>1218.51915834631</v>
      </c>
      <c r="W111" s="38" t="n">
        <f aca="false">IFERROR(SUMPRODUCT($B$7:$B$206,LN($T111-$C$7:$C$206),$H$7:$H$206),"")</f>
        <v>-165.663678613483</v>
      </c>
      <c r="X111" s="39" t="n">
        <f aca="false">IFERROR((データ入力!$B$8*W111-U111*$N$22)/SQRT((データ入力!$B$8*V111-U111^2)*(データ入力!$B$8*$N$23-$N$22^2)),-1)</f>
        <v>0.996684876911398</v>
      </c>
      <c r="Z111" s="38" t="n">
        <f aca="false">IFERROR($R$10+($A111-1)*$R$9,"")</f>
        <v>59.4726130653266</v>
      </c>
      <c r="AA111" s="38" t="n">
        <f aca="false">IFERROR(SUMPRODUCT($B$7:$B$206,LN($Z111-$C$7:$C$206)),"")</f>
        <v>239.265228607788</v>
      </c>
      <c r="AB111" s="38" t="n">
        <f aca="false">IFERROR(SUMPRODUCT($B$7:$B$206,LN($Z111-$C$7:$C$206),LN($Z111-$C$7:$C$206)),"")</f>
        <v>763.601073548682</v>
      </c>
      <c r="AC111" s="38" t="n">
        <f aca="false">IFERROR(SUMPRODUCT($B$7:$B$206,LN($Z111-$C$7:$C$206),$H$7:$H$206),"")</f>
        <v>-127.411094996321</v>
      </c>
      <c r="AD111" s="39" t="n">
        <f aca="false">IFERROR((データ入力!$B$8*AC111-AA111*$N$22)/SQRT((データ入力!$B$8*AB111-AA111^2)*(データ入力!$B$8*$N$23-$N$22^2)),-1)</f>
        <v>0.997027071246587</v>
      </c>
    </row>
    <row r="112" customFormat="false" ht="15" hidden="false" customHeight="false" outlineLevel="0" collapsed="false">
      <c r="A112" s="32" t="n">
        <v>106</v>
      </c>
      <c r="B112" s="33" t="n">
        <f aca="false">IF($A112&lt;=データ入力!$B$8,1,0)</f>
        <v>0</v>
      </c>
      <c r="C112" s="34" t="n">
        <f aca="false">IF($B112=1,LARGE(データ入力!$B$12:$B$211,$A112),0)</f>
        <v>0</v>
      </c>
      <c r="D112" s="32" t="str">
        <f aca="false">IF($B112=1,IFERROR(INDEX(データ入力!$A$12:$A$211,MATCH($C112,データ入力!$B$12:$B$211,0)),""),"")</f>
        <v/>
      </c>
      <c r="E112" s="35" t="n">
        <f aca="false">IF($B112=1,1-$A112/(データ入力!$B$8+1),0)</f>
        <v>0</v>
      </c>
      <c r="F112" s="36" t="str">
        <f aca="false">IF($B112=1,(データ入力!$B$8+1)/$A112,"")</f>
        <v/>
      </c>
      <c r="G112" s="37" t="n">
        <f aca="false">IF($B112=1,-LN(-LN($E112)),0)</f>
        <v>0</v>
      </c>
      <c r="H112" s="37" t="n">
        <f aca="false">IF($B112=1,LN(-LN($E112)),0)</f>
        <v>0</v>
      </c>
      <c r="I112" s="36" t="str">
        <f aca="false">IF($B112=1,IFERROR($C112-($N$10+$N$9*$G112),""),"")</f>
        <v/>
      </c>
      <c r="J112" s="36" t="str">
        <f aca="false">IF($B112=1,IFERROR($C112-($N$21-$N$26*EXP(-$G112/$N$24)),""),"")</f>
        <v/>
      </c>
      <c r="T112" s="38" t="n">
        <f aca="false">IFERROR($R$6+($A112-1)*$R$5,"")</f>
        <v>91.95</v>
      </c>
      <c r="U112" s="38" t="n">
        <f aca="false">IFERROR(SUMPRODUCT($B$7:$B$206,LN($T112-$C$7:$C$206)),"")</f>
        <v>302.962761005863</v>
      </c>
      <c r="V112" s="38" t="n">
        <f aca="false">IFERROR(SUMPRODUCT($B$7:$B$206,LN($T112-$C$7:$C$206),LN($T112-$C$7:$C$206)),"")</f>
        <v>1223.87190559796</v>
      </c>
      <c r="W112" s="38" t="n">
        <f aca="false">IFERROR(SUMPRODUCT($B$7:$B$206,LN($T112-$C$7:$C$206),$H$7:$H$206),"")</f>
        <v>-166.053619429889</v>
      </c>
      <c r="X112" s="39" t="n">
        <f aca="false">IFERROR((データ入力!$B$8*W112-U112*$N$22)/SQRT((データ入力!$B$8*V112-U112^2)*(データ入力!$B$8*$N$23-$N$22^2)),-1)</f>
        <v>0.996680402464309</v>
      </c>
      <c r="Z112" s="38" t="n">
        <f aca="false">IFERROR($R$10+($A112-1)*$R$9,"")</f>
        <v>59.4776381909548</v>
      </c>
      <c r="AA112" s="38" t="n">
        <f aca="false">IFERROR(SUMPRODUCT($B$7:$B$206,LN($Z112-$C$7:$C$206)),"")</f>
        <v>239.280772087223</v>
      </c>
      <c r="AB112" s="38" t="n">
        <f aca="false">IFERROR(SUMPRODUCT($B$7:$B$206,LN($Z112-$C$7:$C$206),LN($Z112-$C$7:$C$206)),"")</f>
        <v>763.700124494318</v>
      </c>
      <c r="AC112" s="38" t="n">
        <f aca="false">IFERROR(SUMPRODUCT($B$7:$B$206,LN($Z112-$C$7:$C$206),$H$7:$H$206),"")</f>
        <v>-127.420924216542</v>
      </c>
      <c r="AD112" s="39" t="n">
        <f aca="false">IFERROR((データ入力!$B$8*AC112-AA112*$N$22)/SQRT((データ入力!$B$8*AB112-AA112^2)*(データ入力!$B$8*$N$23-$N$22^2)),-1)</f>
        <v>0.997027071129582</v>
      </c>
    </row>
    <row r="113" customFormat="false" ht="15" hidden="false" customHeight="false" outlineLevel="0" collapsed="false">
      <c r="A113" s="32" t="n">
        <v>107</v>
      </c>
      <c r="B113" s="33" t="n">
        <f aca="false">IF($A113&lt;=データ入力!$B$8,1,0)</f>
        <v>0</v>
      </c>
      <c r="C113" s="34" t="n">
        <f aca="false">IF($B113=1,LARGE(データ入力!$B$12:$B$211,$A113),0)</f>
        <v>0</v>
      </c>
      <c r="D113" s="32" t="str">
        <f aca="false">IF($B113=1,IFERROR(INDEX(データ入力!$A$12:$A$211,MATCH($C113,データ入力!$B$12:$B$211,0)),""),"")</f>
        <v/>
      </c>
      <c r="E113" s="35" t="n">
        <f aca="false">IF($B113=1,1-$A113/(データ入力!$B$8+1),0)</f>
        <v>0</v>
      </c>
      <c r="F113" s="36" t="str">
        <f aca="false">IF($B113=1,(データ入力!$B$8+1)/$A113,"")</f>
        <v/>
      </c>
      <c r="G113" s="37" t="n">
        <f aca="false">IF($B113=1,-LN(-LN($E113)),0)</f>
        <v>0</v>
      </c>
      <c r="H113" s="37" t="n">
        <f aca="false">IF($B113=1,LN(-LN($E113)),0)</f>
        <v>0</v>
      </c>
      <c r="I113" s="36" t="str">
        <f aca="false">IF($B113=1,IFERROR($C113-($N$10+$N$9*$G113),""),"")</f>
        <v/>
      </c>
      <c r="J113" s="36" t="str">
        <f aca="false">IF($B113=1,IFERROR($C113-($N$21-$N$26*EXP(-$G113/$N$24)),""),"")</f>
        <v/>
      </c>
      <c r="T113" s="38" t="n">
        <f aca="false">IFERROR($R$6+($A113-1)*$R$5,"")</f>
        <v>92.45</v>
      </c>
      <c r="U113" s="38" t="n">
        <f aca="false">IFERROR(SUMPRODUCT($B$7:$B$206,LN($T113-$C$7:$C$206)),"")</f>
        <v>303.620334545335</v>
      </c>
      <c r="V113" s="38" t="n">
        <f aca="false">IFERROR(SUMPRODUCT($B$7:$B$206,LN($T113-$C$7:$C$206),LN($T113-$C$7:$C$206)),"")</f>
        <v>1229.18928636053</v>
      </c>
      <c r="W113" s="38" t="n">
        <f aca="false">IFERROR(SUMPRODUCT($B$7:$B$206,LN($T113-$C$7:$C$206),$H$7:$H$206),"")</f>
        <v>-166.439951214121</v>
      </c>
      <c r="X113" s="39" t="n">
        <f aca="false">IFERROR((データ入力!$B$8*W113-U113*$N$22)/SQRT((データ入力!$B$8*V113-U113^2)*(データ入力!$B$8*$N$23-$N$22^2)),-1)</f>
        <v>0.99667597923795</v>
      </c>
      <c r="Z113" s="38" t="n">
        <f aca="false">IFERROR($R$10+($A113-1)*$R$9,"")</f>
        <v>59.4826633165829</v>
      </c>
      <c r="AA113" s="38" t="n">
        <f aca="false">IFERROR(SUMPRODUCT($B$7:$B$206,LN($Z113-$C$7:$C$206)),"")</f>
        <v>239.296312332586</v>
      </c>
      <c r="AB113" s="38" t="n">
        <f aca="false">IFERROR(SUMPRODUCT($B$7:$B$206,LN($Z113-$C$7:$C$206),LN($Z113-$C$7:$C$206)),"")</f>
        <v>763.799161325835</v>
      </c>
      <c r="AC113" s="38" t="n">
        <f aca="false">IFERROR(SUMPRODUCT($B$7:$B$206,LN($Z113-$C$7:$C$206),$H$7:$H$206),"")</f>
        <v>-127.430751131631</v>
      </c>
      <c r="AD113" s="39" t="n">
        <f aca="false">IFERROR((データ入力!$B$8*AC113-AA113*$N$22)/SQRT((データ入力!$B$8*AB113-AA113^2)*(データ入力!$B$8*$N$23-$N$22^2)),-1)</f>
        <v>0.997027070917258</v>
      </c>
    </row>
    <row r="114" customFormat="false" ht="15" hidden="false" customHeight="false" outlineLevel="0" collapsed="false">
      <c r="A114" s="32" t="n">
        <v>108</v>
      </c>
      <c r="B114" s="33" t="n">
        <f aca="false">IF($A114&lt;=データ入力!$B$8,1,0)</f>
        <v>0</v>
      </c>
      <c r="C114" s="34" t="n">
        <f aca="false">IF($B114=1,LARGE(データ入力!$B$12:$B$211,$A114),0)</f>
        <v>0</v>
      </c>
      <c r="D114" s="32" t="str">
        <f aca="false">IF($B114=1,IFERROR(INDEX(データ入力!$A$12:$A$211,MATCH($C114,データ入力!$B$12:$B$211,0)),""),"")</f>
        <v/>
      </c>
      <c r="E114" s="35" t="n">
        <f aca="false">IF($B114=1,1-$A114/(データ入力!$B$8+1),0)</f>
        <v>0</v>
      </c>
      <c r="F114" s="36" t="str">
        <f aca="false">IF($B114=1,(データ入力!$B$8+1)/$A114,"")</f>
        <v/>
      </c>
      <c r="G114" s="37" t="n">
        <f aca="false">IF($B114=1,-LN(-LN($E114)),0)</f>
        <v>0</v>
      </c>
      <c r="H114" s="37" t="n">
        <f aca="false">IF($B114=1,LN(-LN($E114)),0)</f>
        <v>0</v>
      </c>
      <c r="I114" s="36" t="str">
        <f aca="false">IF($B114=1,IFERROR($C114-($N$10+$N$9*$G114),""),"")</f>
        <v/>
      </c>
      <c r="J114" s="36" t="str">
        <f aca="false">IF($B114=1,IFERROR($C114-($N$21-$N$26*EXP(-$G114/$N$24)),""),"")</f>
        <v/>
      </c>
      <c r="T114" s="38" t="n">
        <f aca="false">IFERROR($R$6+($A114-1)*$R$5,"")</f>
        <v>92.95</v>
      </c>
      <c r="U114" s="38" t="n">
        <f aca="false">IFERROR(SUMPRODUCT($B$7:$B$206,LN($T114-$C$7:$C$206)),"")</f>
        <v>304.272188794476</v>
      </c>
      <c r="V114" s="38" t="n">
        <f aca="false">IFERROR(SUMPRODUCT($B$7:$B$206,LN($T114-$C$7:$C$206),LN($T114-$C$7:$C$206)),"")</f>
        <v>1234.47181570166</v>
      </c>
      <c r="W114" s="38" t="n">
        <f aca="false">IFERROR(SUMPRODUCT($B$7:$B$206,LN($T114-$C$7:$C$206),$H$7:$H$206),"")</f>
        <v>-166.822740092706</v>
      </c>
      <c r="X114" s="39" t="n">
        <f aca="false">IFERROR((データ入力!$B$8*W114-U114*$N$22)/SQRT((データ入力!$B$8*V114-U114^2)*(データ入力!$B$8*$N$23-$N$22^2)),-1)</f>
        <v>0.996671606619777</v>
      </c>
      <c r="Z114" s="38" t="n">
        <f aca="false">IFERROR($R$10+($A114-1)*$R$9,"")</f>
        <v>59.4876884422111</v>
      </c>
      <c r="AA114" s="38" t="n">
        <f aca="false">IFERROR(SUMPRODUCT($B$7:$B$206,LN($Z114-$C$7:$C$206)),"")</f>
        <v>239.311849345231</v>
      </c>
      <c r="AB114" s="38" t="n">
        <f aca="false">IFERROR(SUMPRODUCT($B$7:$B$206,LN($Z114-$C$7:$C$206),LN($Z114-$C$7:$C$206)),"")</f>
        <v>763.898184047767</v>
      </c>
      <c r="AC114" s="38" t="n">
        <f aca="false">IFERROR(SUMPRODUCT($B$7:$B$206,LN($Z114-$C$7:$C$206),$H$7:$H$206),"")</f>
        <v>-127.440575742663</v>
      </c>
      <c r="AD114" s="39" t="n">
        <f aca="false">IFERROR((データ入力!$B$8*AC114-AA114*$N$22)/SQRT((データ入力!$B$8*AB114-AA114^2)*(データ入力!$B$8*$N$23-$N$22^2)),-1)</f>
        <v>0.997027070609118</v>
      </c>
    </row>
    <row r="115" customFormat="false" ht="15" hidden="false" customHeight="false" outlineLevel="0" collapsed="false">
      <c r="A115" s="32" t="n">
        <v>109</v>
      </c>
      <c r="B115" s="33" t="n">
        <f aca="false">IF($A115&lt;=データ入力!$B$8,1,0)</f>
        <v>0</v>
      </c>
      <c r="C115" s="34" t="n">
        <f aca="false">IF($B115=1,LARGE(データ入力!$B$12:$B$211,$A115),0)</f>
        <v>0</v>
      </c>
      <c r="D115" s="32" t="str">
        <f aca="false">IF($B115=1,IFERROR(INDEX(データ入力!$A$12:$A$211,MATCH($C115,データ入力!$B$12:$B$211,0)),""),"")</f>
        <v/>
      </c>
      <c r="E115" s="35" t="n">
        <f aca="false">IF($B115=1,1-$A115/(データ入力!$B$8+1),0)</f>
        <v>0</v>
      </c>
      <c r="F115" s="36" t="str">
        <f aca="false">IF($B115=1,(データ入力!$B$8+1)/$A115,"")</f>
        <v/>
      </c>
      <c r="G115" s="37" t="n">
        <f aca="false">IF($B115=1,-LN(-LN($E115)),0)</f>
        <v>0</v>
      </c>
      <c r="H115" s="37" t="n">
        <f aca="false">IF($B115=1,LN(-LN($E115)),0)</f>
        <v>0</v>
      </c>
      <c r="I115" s="36" t="str">
        <f aca="false">IF($B115=1,IFERROR($C115-($N$10+$N$9*$G115),""),"")</f>
        <v/>
      </c>
      <c r="J115" s="36" t="str">
        <f aca="false">IF($B115=1,IFERROR($C115-($N$21-$N$26*EXP(-$G115/$N$24)),""),"")</f>
        <v/>
      </c>
      <c r="T115" s="38" t="n">
        <f aca="false">IFERROR($R$6+($A115-1)*$R$5,"")</f>
        <v>93.45</v>
      </c>
      <c r="U115" s="38" t="n">
        <f aca="false">IFERROR(SUMPRODUCT($B$7:$B$206,LN($T115-$C$7:$C$206)),"")</f>
        <v>304.918422452802</v>
      </c>
      <c r="V115" s="38" t="n">
        <f aca="false">IFERROR(SUMPRODUCT($B$7:$B$206,LN($T115-$C$7:$C$206),LN($T115-$C$7:$C$206)),"")</f>
        <v>1239.71999707707</v>
      </c>
      <c r="W115" s="38" t="n">
        <f aca="false">IFERROR(SUMPRODUCT($B$7:$B$206,LN($T115-$C$7:$C$206),$H$7:$H$206),"")</f>
        <v>-167.202050392787</v>
      </c>
      <c r="X115" s="39" t="n">
        <f aca="false">IFERROR((データ入力!$B$8*W115-U115*$N$22)/SQRT((データ入力!$B$8*V115-U115^2)*(データ入力!$B$8*$N$23-$N$22^2)),-1)</f>
        <v>0.996667283994264</v>
      </c>
      <c r="Z115" s="38" t="n">
        <f aca="false">IFERROR($R$10+($A115-1)*$R$9,"")</f>
        <v>59.4927135678392</v>
      </c>
      <c r="AA115" s="38" t="n">
        <f aca="false">IFERROR(SUMPRODUCT($B$7:$B$206,LN($Z115-$C$7:$C$206)),"")</f>
        <v>239.327383126506</v>
      </c>
      <c r="AB115" s="38" t="n">
        <f aca="false">IFERROR(SUMPRODUCT($B$7:$B$206,LN($Z115-$C$7:$C$206),LN($Z115-$C$7:$C$206)),"")</f>
        <v>763.997192664647</v>
      </c>
      <c r="AC115" s="38" t="n">
        <f aca="false">IFERROR(SUMPRODUCT($B$7:$B$206,LN($Z115-$C$7:$C$206),$H$7:$H$206),"")</f>
        <v>-127.450398050715</v>
      </c>
      <c r="AD115" s="39" t="n">
        <f aca="false">IFERROR((データ入力!$B$8*AC115-AA115*$N$22)/SQRT((データ入力!$B$8*AB115-AA115^2)*(データ入力!$B$8*$N$23-$N$22^2)),-1)</f>
        <v>0.997027070205586</v>
      </c>
    </row>
    <row r="116" customFormat="false" ht="15" hidden="false" customHeight="false" outlineLevel="0" collapsed="false">
      <c r="A116" s="32" t="n">
        <v>110</v>
      </c>
      <c r="B116" s="33" t="n">
        <f aca="false">IF($A116&lt;=データ入力!$B$8,1,0)</f>
        <v>0</v>
      </c>
      <c r="C116" s="34" t="n">
        <f aca="false">IF($B116=1,LARGE(データ入力!$B$12:$B$211,$A116),0)</f>
        <v>0</v>
      </c>
      <c r="D116" s="32" t="str">
        <f aca="false">IF($B116=1,IFERROR(INDEX(データ入力!$A$12:$A$211,MATCH($C116,データ入力!$B$12:$B$211,0)),""),"")</f>
        <v/>
      </c>
      <c r="E116" s="35" t="n">
        <f aca="false">IF($B116=1,1-$A116/(データ入力!$B$8+1),0)</f>
        <v>0</v>
      </c>
      <c r="F116" s="36" t="str">
        <f aca="false">IF($B116=1,(データ入力!$B$8+1)/$A116,"")</f>
        <v/>
      </c>
      <c r="G116" s="37" t="n">
        <f aca="false">IF($B116=1,-LN(-LN($E116)),0)</f>
        <v>0</v>
      </c>
      <c r="H116" s="37" t="n">
        <f aca="false">IF($B116=1,LN(-LN($E116)),0)</f>
        <v>0</v>
      </c>
      <c r="I116" s="36" t="str">
        <f aca="false">IF($B116=1,IFERROR($C116-($N$10+$N$9*$G116),""),"")</f>
        <v/>
      </c>
      <c r="J116" s="36" t="str">
        <f aca="false">IF($B116=1,IFERROR($C116-($N$21-$N$26*EXP(-$G116/$N$24)),""),"")</f>
        <v/>
      </c>
      <c r="T116" s="38" t="n">
        <f aca="false">IFERROR($R$6+($A116-1)*$R$5,"")</f>
        <v>93.95</v>
      </c>
      <c r="U116" s="38" t="n">
        <f aca="false">IFERROR(SUMPRODUCT($B$7:$B$206,LN($T116-$C$7:$C$206)),"")</f>
        <v>305.559131684968</v>
      </c>
      <c r="V116" s="38" t="n">
        <f aca="false">IFERROR(SUMPRODUCT($B$7:$B$206,LN($T116-$C$7:$C$206),LN($T116-$C$7:$C$206)),"")</f>
        <v>1244.93432268416</v>
      </c>
      <c r="W116" s="38" t="n">
        <f aca="false">IFERROR(SUMPRODUCT($B$7:$B$206,LN($T116-$C$7:$C$206),$H$7:$H$206),"")</f>
        <v>-167.577944706775</v>
      </c>
      <c r="X116" s="39" t="n">
        <f aca="false">IFERROR((データ入力!$B$8*W116-U116*$N$22)/SQRT((データ入力!$B$8*V116-U116^2)*(データ入力!$B$8*$N$23-$N$22^2)),-1)</f>
        <v>0.996663010734952</v>
      </c>
      <c r="Z116" s="38" t="n">
        <f aca="false">IFERROR($R$10+($A116-1)*$R$9,"")</f>
        <v>59.4977386934673</v>
      </c>
      <c r="AA116" s="38" t="n">
        <f aca="false">IFERROR(SUMPRODUCT($B$7:$B$206,LN($Z116-$C$7:$C$206)),"")</f>
        <v>239.342913677761</v>
      </c>
      <c r="AB116" s="38" t="n">
        <f aca="false">IFERROR(SUMPRODUCT($B$7:$B$206,LN($Z116-$C$7:$C$206),LN($Z116-$C$7:$C$206)),"")</f>
        <v>764.096187181004</v>
      </c>
      <c r="AC116" s="38" t="n">
        <f aca="false">IFERROR(SUMPRODUCT($B$7:$B$206,LN($Z116-$C$7:$C$206),$H$7:$H$206),"")</f>
        <v>-127.460218056864</v>
      </c>
      <c r="AD116" s="39" t="n">
        <f aca="false">IFERROR((データ入力!$B$8*AC116-AA116*$N$22)/SQRT((データ入力!$B$8*AB116-AA116^2)*(データ入力!$B$8*$N$23-$N$22^2)),-1)</f>
        <v>0.997027069706906</v>
      </c>
    </row>
    <row r="117" customFormat="false" ht="15" hidden="false" customHeight="false" outlineLevel="0" collapsed="false">
      <c r="A117" s="32" t="n">
        <v>111</v>
      </c>
      <c r="B117" s="33" t="n">
        <f aca="false">IF($A117&lt;=データ入力!$B$8,1,0)</f>
        <v>0</v>
      </c>
      <c r="C117" s="34" t="n">
        <f aca="false">IF($B117=1,LARGE(データ入力!$B$12:$B$211,$A117),0)</f>
        <v>0</v>
      </c>
      <c r="D117" s="32" t="str">
        <f aca="false">IF($B117=1,IFERROR(INDEX(データ入力!$A$12:$A$211,MATCH($C117,データ入力!$B$12:$B$211,0)),""),"")</f>
        <v/>
      </c>
      <c r="E117" s="35" t="n">
        <f aca="false">IF($B117=1,1-$A117/(データ入力!$B$8+1),0)</f>
        <v>0</v>
      </c>
      <c r="F117" s="36" t="str">
        <f aca="false">IF($B117=1,(データ入力!$B$8+1)/$A117,"")</f>
        <v/>
      </c>
      <c r="G117" s="37" t="n">
        <f aca="false">IF($B117=1,-LN(-LN($E117)),0)</f>
        <v>0</v>
      </c>
      <c r="H117" s="37" t="n">
        <f aca="false">IF($B117=1,LN(-LN($E117)),0)</f>
        <v>0</v>
      </c>
      <c r="I117" s="36" t="str">
        <f aca="false">IF($B117=1,IFERROR($C117-($N$10+$N$9*$G117),""),"")</f>
        <v/>
      </c>
      <c r="J117" s="36" t="str">
        <f aca="false">IF($B117=1,IFERROR($C117-($N$21-$N$26*EXP(-$G117/$N$24)),""),"")</f>
        <v/>
      </c>
      <c r="T117" s="38" t="n">
        <f aca="false">IFERROR($R$6+($A117-1)*$R$5,"")</f>
        <v>94.45</v>
      </c>
      <c r="U117" s="38" t="n">
        <f aca="false">IFERROR(SUMPRODUCT($B$7:$B$206,LN($T117-$C$7:$C$206)),"")</f>
        <v>306.194410206897</v>
      </c>
      <c r="V117" s="38" t="n">
        <f aca="false">IFERROR(SUMPRODUCT($B$7:$B$206,LN($T117-$C$7:$C$206),LN($T117-$C$7:$C$206)),"")</f>
        <v>1250.1152738021</v>
      </c>
      <c r="W117" s="38" t="n">
        <f aca="false">IFERROR(SUMPRODUCT($B$7:$B$206,LN($T117-$C$7:$C$206),$H$7:$H$206),"")</f>
        <v>-167.950483954123</v>
      </c>
      <c r="X117" s="39" t="n">
        <f aca="false">IFERROR((データ入力!$B$8*W117-U117*$N$22)/SQRT((データ入力!$B$8*V117-U117^2)*(データ入力!$B$8*$N$23-$N$22^2)),-1)</f>
        <v>0.996658786221291</v>
      </c>
      <c r="Z117" s="38" t="n">
        <f aca="false">IFERROR($R$10+($A117-1)*$R$9,"")</f>
        <v>59.5027638190955</v>
      </c>
      <c r="AA117" s="38" t="n">
        <f aca="false">IFERROR(SUMPRODUCT($B$7:$B$206,LN($Z117-$C$7:$C$206)),"")</f>
        <v>239.358441000346</v>
      </c>
      <c r="AB117" s="38" t="n">
        <f aca="false">IFERROR(SUMPRODUCT($B$7:$B$206,LN($Z117-$C$7:$C$206),LN($Z117-$C$7:$C$206)),"")</f>
        <v>764.195167601368</v>
      </c>
      <c r="AC117" s="38" t="n">
        <f aca="false">IFERROR(SUMPRODUCT($B$7:$B$206,LN($Z117-$C$7:$C$206),$H$7:$H$206),"")</f>
        <v>-127.470035762184</v>
      </c>
      <c r="AD117" s="39" t="n">
        <f aca="false">IFERROR((データ入力!$B$8*AC117-AA117*$N$22)/SQRT((データ入力!$B$8*AB117-AA117^2)*(データ入力!$B$8*$N$23-$N$22^2)),-1)</f>
        <v>0.997027069112935</v>
      </c>
    </row>
    <row r="118" customFormat="false" ht="15" hidden="false" customHeight="false" outlineLevel="0" collapsed="false">
      <c r="A118" s="32" t="n">
        <v>112</v>
      </c>
      <c r="B118" s="33" t="n">
        <f aca="false">IF($A118&lt;=データ入力!$B$8,1,0)</f>
        <v>0</v>
      </c>
      <c r="C118" s="34" t="n">
        <f aca="false">IF($B118=1,LARGE(データ入力!$B$12:$B$211,$A118),0)</f>
        <v>0</v>
      </c>
      <c r="D118" s="32" t="str">
        <f aca="false">IF($B118=1,IFERROR(INDEX(データ入力!$A$12:$A$211,MATCH($C118,データ入力!$B$12:$B$211,0)),""),"")</f>
        <v/>
      </c>
      <c r="E118" s="35" t="n">
        <f aca="false">IF($B118=1,1-$A118/(データ入力!$B$8+1),0)</f>
        <v>0</v>
      </c>
      <c r="F118" s="36" t="str">
        <f aca="false">IF($B118=1,(データ入力!$B$8+1)/$A118,"")</f>
        <v/>
      </c>
      <c r="G118" s="37" t="n">
        <f aca="false">IF($B118=1,-LN(-LN($E118)),0)</f>
        <v>0</v>
      </c>
      <c r="H118" s="37" t="n">
        <f aca="false">IF($B118=1,LN(-LN($E118)),0)</f>
        <v>0</v>
      </c>
      <c r="I118" s="36" t="str">
        <f aca="false">IF($B118=1,IFERROR($C118-($N$10+$N$9*$G118),""),"")</f>
        <v/>
      </c>
      <c r="J118" s="36" t="str">
        <f aca="false">IF($B118=1,IFERROR($C118-($N$21-$N$26*EXP(-$G118/$N$24)),""),"")</f>
        <v/>
      </c>
      <c r="T118" s="38" t="n">
        <f aca="false">IFERROR($R$6+($A118-1)*$R$5,"")</f>
        <v>94.95</v>
      </c>
      <c r="U118" s="38" t="n">
        <f aca="false">IFERROR(SUMPRODUCT($B$7:$B$206,LN($T118-$C$7:$C$206)),"")</f>
        <v>306.824349368271</v>
      </c>
      <c r="V118" s="38" t="n">
        <f aca="false">IFERROR(SUMPRODUCT($B$7:$B$206,LN($T118-$C$7:$C$206),LN($T118-$C$7:$C$206)),"")</f>
        <v>1255.26332111896</v>
      </c>
      <c r="W118" s="38" t="n">
        <f aca="false">IFERROR(SUMPRODUCT($B$7:$B$206,LN($T118-$C$7:$C$206),$H$7:$H$206),"")</f>
        <v>-168.319727440379</v>
      </c>
      <c r="X118" s="39" t="n">
        <f aca="false">IFERROR((データ入力!$B$8*W118-U118*$N$22)/SQRT((データ入力!$B$8*V118-U118^2)*(データ入力!$B$8*$N$23-$N$22^2)),-1)</f>
        <v>0.996654609826094</v>
      </c>
      <c r="Z118" s="38" t="n">
        <f aca="false">IFERROR($R$10+($A118-1)*$R$9,"")</f>
        <v>59.5077889447236</v>
      </c>
      <c r="AA118" s="38" t="n">
        <f aca="false">IFERROR(SUMPRODUCT($B$7:$B$206,LN($Z118-$C$7:$C$206)),"")</f>
        <v>239.373965095609</v>
      </c>
      <c r="AB118" s="38" t="n">
        <f aca="false">IFERROR(SUMPRODUCT($B$7:$B$206,LN($Z118-$C$7:$C$206),LN($Z118-$C$7:$C$206)),"")</f>
        <v>764.294133930262</v>
      </c>
      <c r="AC118" s="38" t="n">
        <f aca="false">IFERROR(SUMPRODUCT($B$7:$B$206,LN($Z118-$C$7:$C$206),$H$7:$H$206),"")</f>
        <v>-127.47985116775</v>
      </c>
      <c r="AD118" s="39" t="n">
        <f aca="false">IFERROR((データ入力!$B$8*AC118-AA118*$N$22)/SQRT((データ入力!$B$8*AB118-AA118^2)*(データ入力!$B$8*$N$23-$N$22^2)),-1)</f>
        <v>0.997027068424001</v>
      </c>
    </row>
    <row r="119" customFormat="false" ht="15" hidden="false" customHeight="false" outlineLevel="0" collapsed="false">
      <c r="A119" s="32" t="n">
        <v>113</v>
      </c>
      <c r="B119" s="33" t="n">
        <f aca="false">IF($A119&lt;=データ入力!$B$8,1,0)</f>
        <v>0</v>
      </c>
      <c r="C119" s="34" t="n">
        <f aca="false">IF($B119=1,LARGE(データ入力!$B$12:$B$211,$A119),0)</f>
        <v>0</v>
      </c>
      <c r="D119" s="32" t="str">
        <f aca="false">IF($B119=1,IFERROR(INDEX(データ入力!$A$12:$A$211,MATCH($C119,データ入力!$B$12:$B$211,0)),""),"")</f>
        <v/>
      </c>
      <c r="E119" s="35" t="n">
        <f aca="false">IF($B119=1,1-$A119/(データ入力!$B$8+1),0)</f>
        <v>0</v>
      </c>
      <c r="F119" s="36" t="str">
        <f aca="false">IF($B119=1,(データ入力!$B$8+1)/$A119,"")</f>
        <v/>
      </c>
      <c r="G119" s="37" t="n">
        <f aca="false">IF($B119=1,-LN(-LN($E119)),0)</f>
        <v>0</v>
      </c>
      <c r="H119" s="37" t="n">
        <f aca="false">IF($B119=1,LN(-LN($E119)),0)</f>
        <v>0</v>
      </c>
      <c r="I119" s="36" t="str">
        <f aca="false">IF($B119=1,IFERROR($C119-($N$10+$N$9*$G119),""),"")</f>
        <v/>
      </c>
      <c r="J119" s="36" t="str">
        <f aca="false">IF($B119=1,IFERROR($C119-($N$21-$N$26*EXP(-$G119/$N$24)),""),"")</f>
        <v/>
      </c>
      <c r="T119" s="38" t="n">
        <f aca="false">IFERROR($R$6+($A119-1)*$R$5,"")</f>
        <v>95.45</v>
      </c>
      <c r="U119" s="38" t="n">
        <f aca="false">IFERROR(SUMPRODUCT($B$7:$B$206,LN($T119-$C$7:$C$206)),"")</f>
        <v>307.449038231588</v>
      </c>
      <c r="V119" s="38" t="n">
        <f aca="false">IFERROR(SUMPRODUCT($B$7:$B$206,LN($T119-$C$7:$C$206),LN($T119-$C$7:$C$206)),"")</f>
        <v>1260.37892504659</v>
      </c>
      <c r="W119" s="38" t="n">
        <f aca="false">IFERROR(SUMPRODUCT($B$7:$B$206,LN($T119-$C$7:$C$206),$H$7:$H$206),"")</f>
        <v>-168.685732913657</v>
      </c>
      <c r="X119" s="39" t="n">
        <f aca="false">IFERROR((データ入力!$B$8*W119-U119*$N$22)/SQRT((データ入力!$B$8*V119-U119^2)*(データ入力!$B$8*$N$23-$N$22^2)),-1)</f>
        <v>0.996650480936295</v>
      </c>
      <c r="Z119" s="38" t="n">
        <f aca="false">IFERROR($R$10+($A119-1)*$R$9,"")</f>
        <v>59.5128140703518</v>
      </c>
      <c r="AA119" s="38" t="n">
        <f aca="false">IFERROR(SUMPRODUCT($B$7:$B$206,LN($Z119-$C$7:$C$206)),"")</f>
        <v>239.389485964896</v>
      </c>
      <c r="AB119" s="38" t="n">
        <f aca="false">IFERROR(SUMPRODUCT($B$7:$B$206,LN($Z119-$C$7:$C$206),LN($Z119-$C$7:$C$206)),"")</f>
        <v>764.393086172211</v>
      </c>
      <c r="AC119" s="38" t="n">
        <f aca="false">IFERROR(SUMPRODUCT($B$7:$B$206,LN($Z119-$C$7:$C$206),$H$7:$H$206),"")</f>
        <v>-127.489664274635</v>
      </c>
      <c r="AD119" s="39" t="n">
        <f aca="false">IFERROR((データ入力!$B$8*AC119-AA119*$N$22)/SQRT((データ入力!$B$8*AB119-AA119^2)*(データ入力!$B$8*$N$23-$N$22^2)),-1)</f>
        <v>0.997027067640049</v>
      </c>
    </row>
    <row r="120" customFormat="false" ht="15" hidden="false" customHeight="false" outlineLevel="0" collapsed="false">
      <c r="A120" s="32" t="n">
        <v>114</v>
      </c>
      <c r="B120" s="33" t="n">
        <f aca="false">IF($A120&lt;=データ入力!$B$8,1,0)</f>
        <v>0</v>
      </c>
      <c r="C120" s="34" t="n">
        <f aca="false">IF($B120=1,LARGE(データ入力!$B$12:$B$211,$A120),0)</f>
        <v>0</v>
      </c>
      <c r="D120" s="32" t="str">
        <f aca="false">IF($B120=1,IFERROR(INDEX(データ入力!$A$12:$A$211,MATCH($C120,データ入力!$B$12:$B$211,0)),""),"")</f>
        <v/>
      </c>
      <c r="E120" s="35" t="n">
        <f aca="false">IF($B120=1,1-$A120/(データ入力!$B$8+1),0)</f>
        <v>0</v>
      </c>
      <c r="F120" s="36" t="str">
        <f aca="false">IF($B120=1,(データ入力!$B$8+1)/$A120,"")</f>
        <v/>
      </c>
      <c r="G120" s="37" t="n">
        <f aca="false">IF($B120=1,-LN(-LN($E120)),0)</f>
        <v>0</v>
      </c>
      <c r="H120" s="37" t="n">
        <f aca="false">IF($B120=1,LN(-LN($E120)),0)</f>
        <v>0</v>
      </c>
      <c r="I120" s="36" t="str">
        <f aca="false">IF($B120=1,IFERROR($C120-($N$10+$N$9*$G120),""),"")</f>
        <v/>
      </c>
      <c r="J120" s="36" t="str">
        <f aca="false">IF($B120=1,IFERROR($C120-($N$21-$N$26*EXP(-$G120/$N$24)),""),"")</f>
        <v/>
      </c>
      <c r="T120" s="38" t="n">
        <f aca="false">IFERROR($R$6+($A120-1)*$R$5,"")</f>
        <v>95.95</v>
      </c>
      <c r="U120" s="38" t="n">
        <f aca="false">IFERROR(SUMPRODUCT($B$7:$B$206,LN($T120-$C$7:$C$206)),"")</f>
        <v>308.06856364793</v>
      </c>
      <c r="V120" s="38" t="n">
        <f aca="false">IFERROR(SUMPRODUCT($B$7:$B$206,LN($T120-$C$7:$C$206),LN($T120-$C$7:$C$206)),"")</f>
        <v>1265.46253602366</v>
      </c>
      <c r="W120" s="38" t="n">
        <f aca="false">IFERROR(SUMPRODUCT($B$7:$B$206,LN($T120-$C$7:$C$206),$H$7:$H$206),"")</f>
        <v>-169.048556618658</v>
      </c>
      <c r="X120" s="39" t="n">
        <f aca="false">IFERROR((データ入力!$B$8*W120-U120*$N$22)/SQRT((データ入力!$B$8*V120-U120^2)*(データ入力!$B$8*$N$23-$N$22^2)),-1)</f>
        <v>0.996646398918131</v>
      </c>
      <c r="Z120" s="38" t="n">
        <f aca="false">IFERROR($R$10+($A120-1)*$R$9,"")</f>
        <v>59.5178391959799</v>
      </c>
      <c r="AA120" s="38" t="n">
        <f aca="false">IFERROR(SUMPRODUCT($B$7:$B$206,LN($Z120-$C$7:$C$206)),"")</f>
        <v>239.405003609554</v>
      </c>
      <c r="AB120" s="38" t="n">
        <f aca="false">IFERROR(SUMPRODUCT($B$7:$B$206,LN($Z120-$C$7:$C$206),LN($Z120-$C$7:$C$206)),"")</f>
        <v>764.492024331735</v>
      </c>
      <c r="AC120" s="38" t="n">
        <f aca="false">IFERROR(SUMPRODUCT($B$7:$B$206,LN($Z120-$C$7:$C$206),$H$7:$H$206),"")</f>
        <v>-127.499475083912</v>
      </c>
      <c r="AD120" s="39" t="n">
        <f aca="false">IFERROR((データ入力!$B$8*AC120-AA120*$N$22)/SQRT((データ入力!$B$8*AB120-AA120^2)*(データ入力!$B$8*$N$23-$N$22^2)),-1)</f>
        <v>0.997027066761492</v>
      </c>
    </row>
    <row r="121" customFormat="false" ht="15" hidden="false" customHeight="false" outlineLevel="0" collapsed="false">
      <c r="A121" s="32" t="n">
        <v>115</v>
      </c>
      <c r="B121" s="33" t="n">
        <f aca="false">IF($A121&lt;=データ入力!$B$8,1,0)</f>
        <v>0</v>
      </c>
      <c r="C121" s="34" t="n">
        <f aca="false">IF($B121=1,LARGE(データ入力!$B$12:$B$211,$A121),0)</f>
        <v>0</v>
      </c>
      <c r="D121" s="32" t="str">
        <f aca="false">IF($B121=1,IFERROR(INDEX(データ入力!$A$12:$A$211,MATCH($C121,データ入力!$B$12:$B$211,0)),""),"")</f>
        <v/>
      </c>
      <c r="E121" s="35" t="n">
        <f aca="false">IF($B121=1,1-$A121/(データ入力!$B$8+1),0)</f>
        <v>0</v>
      </c>
      <c r="F121" s="36" t="str">
        <f aca="false">IF($B121=1,(データ入力!$B$8+1)/$A121,"")</f>
        <v/>
      </c>
      <c r="G121" s="37" t="n">
        <f aca="false">IF($B121=1,-LN(-LN($E121)),0)</f>
        <v>0</v>
      </c>
      <c r="H121" s="37" t="n">
        <f aca="false">IF($B121=1,LN(-LN($E121)),0)</f>
        <v>0</v>
      </c>
      <c r="I121" s="36" t="str">
        <f aca="false">IF($B121=1,IFERROR($C121-($N$10+$N$9*$G121),""),"")</f>
        <v/>
      </c>
      <c r="J121" s="36" t="str">
        <f aca="false">IF($B121=1,IFERROR($C121-($N$21-$N$26*EXP(-$G121/$N$24)),""),"")</f>
        <v/>
      </c>
      <c r="T121" s="38" t="n">
        <f aca="false">IFERROR($R$6+($A121-1)*$R$5,"")</f>
        <v>96.45</v>
      </c>
      <c r="U121" s="38" t="n">
        <f aca="false">IFERROR(SUMPRODUCT($B$7:$B$206,LN($T121-$C$7:$C$206)),"")</f>
        <v>308.683010329623</v>
      </c>
      <c r="V121" s="38" t="n">
        <f aca="false">IFERROR(SUMPRODUCT($B$7:$B$206,LN($T121-$C$7:$C$206),LN($T121-$C$7:$C$206)),"")</f>
        <v>1270.51459480758</v>
      </c>
      <c r="W121" s="38" t="n">
        <f aca="false">IFERROR(SUMPRODUCT($B$7:$B$206,LN($T121-$C$7:$C$206),$H$7:$H$206),"")</f>
        <v>-169.408253348377</v>
      </c>
      <c r="X121" s="39" t="n">
        <f aca="false">IFERROR((データ入力!$B$8*W121-U121*$N$22)/SQRT((データ入力!$B$8*V121-U121^2)*(データ入力!$B$8*$N$23-$N$22^2)),-1)</f>
        <v>0.996642363151273</v>
      </c>
      <c r="Z121" s="38" t="n">
        <f aca="false">IFERROR($R$10+($A121-1)*$R$9,"")</f>
        <v>59.522864321608</v>
      </c>
      <c r="AA121" s="38" t="n">
        <f aca="false">IFERROR(SUMPRODUCT($B$7:$B$206,LN($Z121-$C$7:$C$206)),"")</f>
        <v>239.420518030929</v>
      </c>
      <c r="AB121" s="38" t="n">
        <f aca="false">IFERROR(SUMPRODUCT($B$7:$B$206,LN($Z121-$C$7:$C$206),LN($Z121-$C$7:$C$206)),"")</f>
        <v>764.590948413352</v>
      </c>
      <c r="AC121" s="38" t="n">
        <f aca="false">IFERROR(SUMPRODUCT($B$7:$B$206,LN($Z121-$C$7:$C$206),$H$7:$H$206),"")</f>
        <v>-127.509283596653</v>
      </c>
      <c r="AD121" s="39" t="n">
        <f aca="false">IFERROR((データ入力!$B$8*AC121-AA121*$N$22)/SQRT((データ入力!$B$8*AB121-AA121^2)*(データ入力!$B$8*$N$23-$N$22^2)),-1)</f>
        <v>0.99702706578819</v>
      </c>
    </row>
    <row r="122" customFormat="false" ht="15" hidden="false" customHeight="false" outlineLevel="0" collapsed="false">
      <c r="A122" s="32" t="n">
        <v>116</v>
      </c>
      <c r="B122" s="33" t="n">
        <f aca="false">IF($A122&lt;=データ入力!$B$8,1,0)</f>
        <v>0</v>
      </c>
      <c r="C122" s="34" t="n">
        <f aca="false">IF($B122=1,LARGE(データ入力!$B$12:$B$211,$A122),0)</f>
        <v>0</v>
      </c>
      <c r="D122" s="32" t="str">
        <f aca="false">IF($B122=1,IFERROR(INDEX(データ入力!$A$12:$A$211,MATCH($C122,データ入力!$B$12:$B$211,0)),""),"")</f>
        <v/>
      </c>
      <c r="E122" s="35" t="n">
        <f aca="false">IF($B122=1,1-$A122/(データ入力!$B$8+1),0)</f>
        <v>0</v>
      </c>
      <c r="F122" s="36" t="str">
        <f aca="false">IF($B122=1,(データ入力!$B$8+1)/$A122,"")</f>
        <v/>
      </c>
      <c r="G122" s="37" t="n">
        <f aca="false">IF($B122=1,-LN(-LN($E122)),0)</f>
        <v>0</v>
      </c>
      <c r="H122" s="37" t="n">
        <f aca="false">IF($B122=1,LN(-LN($E122)),0)</f>
        <v>0</v>
      </c>
      <c r="I122" s="36" t="str">
        <f aca="false">IF($B122=1,IFERROR($C122-($N$10+$N$9*$G122),""),"")</f>
        <v/>
      </c>
      <c r="J122" s="36" t="str">
        <f aca="false">IF($B122=1,IFERROR($C122-($N$21-$N$26*EXP(-$G122/$N$24)),""),"")</f>
        <v/>
      </c>
      <c r="T122" s="38" t="n">
        <f aca="false">IFERROR($R$6+($A122-1)*$R$5,"")</f>
        <v>96.95</v>
      </c>
      <c r="U122" s="38" t="n">
        <f aca="false">IFERROR(SUMPRODUCT($B$7:$B$206,LN($T122-$C$7:$C$206)),"")</f>
        <v>309.292460919934</v>
      </c>
      <c r="V122" s="38" t="n">
        <f aca="false">IFERROR(SUMPRODUCT($B$7:$B$206,LN($T122-$C$7:$C$206),LN($T122-$C$7:$C$206)),"")</f>
        <v>1275.53553275559</v>
      </c>
      <c r="W122" s="38" t="n">
        <f aca="false">IFERROR(SUMPRODUCT($B$7:$B$206,LN($T122-$C$7:$C$206),$H$7:$H$206),"")</f>
        <v>-169.764876493599</v>
      </c>
      <c r="X122" s="39" t="n">
        <f aca="false">IFERROR((データ入力!$B$8*W122-U122*$N$22)/SQRT((データ入力!$B$8*V122-U122^2)*(データ入力!$B$8*$N$23-$N$22^2)),-1)</f>
        <v>0.996638373032885</v>
      </c>
      <c r="Z122" s="38" t="n">
        <f aca="false">IFERROR($R$10+($A122-1)*$R$9,"")</f>
        <v>59.5278894472362</v>
      </c>
      <c r="AA122" s="38" t="n">
        <f aca="false">IFERROR(SUMPRODUCT($B$7:$B$206,LN($Z122-$C$7:$C$206)),"")</f>
        <v>239.436029230365</v>
      </c>
      <c r="AB122" s="38" t="n">
        <f aca="false">IFERROR(SUMPRODUCT($B$7:$B$206,LN($Z122-$C$7:$C$206),LN($Z122-$C$7:$C$206)),"")</f>
        <v>764.68985842158</v>
      </c>
      <c r="AC122" s="38" t="n">
        <f aca="false">IFERROR(SUMPRODUCT($B$7:$B$206,LN($Z122-$C$7:$C$206),$H$7:$H$206),"")</f>
        <v>-127.51908981393</v>
      </c>
      <c r="AD122" s="39" t="n">
        <f aca="false">IFERROR((データ入力!$B$8*AC122-AA122*$N$22)/SQRT((データ入力!$B$8*AB122-AA122^2)*(データ入力!$B$8*$N$23-$N$22^2)),-1)</f>
        <v>0.997027064720308</v>
      </c>
    </row>
    <row r="123" customFormat="false" ht="15" hidden="false" customHeight="false" outlineLevel="0" collapsed="false">
      <c r="A123" s="32" t="n">
        <v>117</v>
      </c>
      <c r="B123" s="33" t="n">
        <f aca="false">IF($A123&lt;=データ入力!$B$8,1,0)</f>
        <v>0</v>
      </c>
      <c r="C123" s="34" t="n">
        <f aca="false">IF($B123=1,LARGE(データ入力!$B$12:$B$211,$A123),0)</f>
        <v>0</v>
      </c>
      <c r="D123" s="32" t="str">
        <f aca="false">IF($B123=1,IFERROR(INDEX(データ入力!$A$12:$A$211,MATCH($C123,データ入力!$B$12:$B$211,0)),""),"")</f>
        <v/>
      </c>
      <c r="E123" s="35" t="n">
        <f aca="false">IF($B123=1,1-$A123/(データ入力!$B$8+1),0)</f>
        <v>0</v>
      </c>
      <c r="F123" s="36" t="str">
        <f aca="false">IF($B123=1,(データ入力!$B$8+1)/$A123,"")</f>
        <v/>
      </c>
      <c r="G123" s="37" t="n">
        <f aca="false">IF($B123=1,-LN(-LN($E123)),0)</f>
        <v>0</v>
      </c>
      <c r="H123" s="37" t="n">
        <f aca="false">IF($B123=1,LN(-LN($E123)),0)</f>
        <v>0</v>
      </c>
      <c r="I123" s="36" t="str">
        <f aca="false">IF($B123=1,IFERROR($C123-($N$10+$N$9*$G123),""),"")</f>
        <v/>
      </c>
      <c r="J123" s="36" t="str">
        <f aca="false">IF($B123=1,IFERROR($C123-($N$21-$N$26*EXP(-$G123/$N$24)),""),"")</f>
        <v/>
      </c>
      <c r="T123" s="38" t="n">
        <f aca="false">IFERROR($R$6+($A123-1)*$R$5,"")</f>
        <v>97.45</v>
      </c>
      <c r="U123" s="38" t="n">
        <f aca="false">IFERROR(SUMPRODUCT($B$7:$B$206,LN($T123-$C$7:$C$206)),"")</f>
        <v>309.896996059953</v>
      </c>
      <c r="V123" s="38" t="n">
        <f aca="false">IFERROR(SUMPRODUCT($B$7:$B$206,LN($T123-$C$7:$C$206),LN($T123-$C$7:$C$206)),"")</f>
        <v>1280.52577209559</v>
      </c>
      <c r="W123" s="38" t="n">
        <f aca="false">IFERROR(SUMPRODUCT($B$7:$B$206,LN($T123-$C$7:$C$206),$H$7:$H$206),"")</f>
        <v>-170.11847809031</v>
      </c>
      <c r="X123" s="39" t="n">
        <f aca="false">IFERROR((データ入力!$B$8*W123-U123*$N$22)/SQRT((データ入力!$B$8*V123-U123^2)*(データ入力!$B$8*$N$23-$N$22^2)),-1)</f>
        <v>0.996634427931857</v>
      </c>
      <c r="Z123" s="38" t="n">
        <f aca="false">IFERROR($R$10+($A123-1)*$R$9,"")</f>
        <v>59.5329145728643</v>
      </c>
      <c r="AA123" s="38" t="n">
        <f aca="false">IFERROR(SUMPRODUCT($B$7:$B$206,LN($Z123-$C$7:$C$206)),"")</f>
        <v>239.451537209205</v>
      </c>
      <c r="AB123" s="38" t="n">
        <f aca="false">IFERROR(SUMPRODUCT($B$7:$B$206,LN($Z123-$C$7:$C$206),LN($Z123-$C$7:$C$206)),"")</f>
        <v>764.788754360933</v>
      </c>
      <c r="AC123" s="38" t="n">
        <f aca="false">IFERROR(SUMPRODUCT($B$7:$B$206,LN($Z123-$C$7:$C$206),$H$7:$H$206),"")</f>
        <v>-127.528893736813</v>
      </c>
      <c r="AD123" s="39" t="n">
        <f aca="false">IFERROR((データ入力!$B$8*AC123-AA123*$N$22)/SQRT((データ入力!$B$8*AB123-AA123^2)*(データ入力!$B$8*$N$23-$N$22^2)),-1)</f>
        <v>0.997027063557795</v>
      </c>
    </row>
    <row r="124" customFormat="false" ht="15" hidden="false" customHeight="false" outlineLevel="0" collapsed="false">
      <c r="A124" s="32" t="n">
        <v>118</v>
      </c>
      <c r="B124" s="33" t="n">
        <f aca="false">IF($A124&lt;=データ入力!$B$8,1,0)</f>
        <v>0</v>
      </c>
      <c r="C124" s="34" t="n">
        <f aca="false">IF($B124=1,LARGE(データ入力!$B$12:$B$211,$A124),0)</f>
        <v>0</v>
      </c>
      <c r="D124" s="32" t="str">
        <f aca="false">IF($B124=1,IFERROR(INDEX(データ入力!$A$12:$A$211,MATCH($C124,データ入力!$B$12:$B$211,0)),""),"")</f>
        <v/>
      </c>
      <c r="E124" s="35" t="n">
        <f aca="false">IF($B124=1,1-$A124/(データ入力!$B$8+1),0)</f>
        <v>0</v>
      </c>
      <c r="F124" s="36" t="str">
        <f aca="false">IF($B124=1,(データ入力!$B$8+1)/$A124,"")</f>
        <v/>
      </c>
      <c r="G124" s="37" t="n">
        <f aca="false">IF($B124=1,-LN(-LN($E124)),0)</f>
        <v>0</v>
      </c>
      <c r="H124" s="37" t="n">
        <f aca="false">IF($B124=1,LN(-LN($E124)),0)</f>
        <v>0</v>
      </c>
      <c r="I124" s="36" t="str">
        <f aca="false">IF($B124=1,IFERROR($C124-($N$10+$N$9*$G124),""),"")</f>
        <v/>
      </c>
      <c r="J124" s="36" t="str">
        <f aca="false">IF($B124=1,IFERROR($C124-($N$21-$N$26*EXP(-$G124/$N$24)),""),"")</f>
        <v/>
      </c>
      <c r="T124" s="38" t="n">
        <f aca="false">IFERROR($R$6+($A124-1)*$R$5,"")</f>
        <v>97.95</v>
      </c>
      <c r="U124" s="38" t="n">
        <f aca="false">IFERROR(SUMPRODUCT($B$7:$B$206,LN($T124-$C$7:$C$206)),"")</f>
        <v>310.496694452789</v>
      </c>
      <c r="V124" s="38" t="n">
        <f aca="false">IFERROR(SUMPRODUCT($B$7:$B$206,LN($T124-$C$7:$C$206),LN($T124-$C$7:$C$206)),"")</f>
        <v>1285.48572618727</v>
      </c>
      <c r="W124" s="38" t="n">
        <f aca="false">IFERROR(SUMPRODUCT($B$7:$B$206,LN($T124-$C$7:$C$206),$H$7:$H$206),"")</f>
        <v>-170.469108865121</v>
      </c>
      <c r="X124" s="39" t="n">
        <f aca="false">IFERROR((データ入力!$B$8*W124-U124*$N$22)/SQRT((データ入力!$B$8*V124-U124^2)*(データ入力!$B$8*$N$23-$N$22^2)),-1)</f>
        <v>0.996630527242229</v>
      </c>
      <c r="Z124" s="38" t="n">
        <f aca="false">IFERROR($R$10+($A124-1)*$R$9,"")</f>
        <v>59.5379396984925</v>
      </c>
      <c r="AA124" s="38" t="n">
        <f aca="false">IFERROR(SUMPRODUCT($B$7:$B$206,LN($Z124-$C$7:$C$206)),"")</f>
        <v>239.467041968793</v>
      </c>
      <c r="AB124" s="38" t="n">
        <f aca="false">IFERROR(SUMPRODUCT($B$7:$B$206,LN($Z124-$C$7:$C$206),LN($Z124-$C$7:$C$206)),"")</f>
        <v>764.887636235921</v>
      </c>
      <c r="AC124" s="38" t="n">
        <f aca="false">IFERROR(SUMPRODUCT($B$7:$B$206,LN($Z124-$C$7:$C$206),$H$7:$H$206),"")</f>
        <v>-127.538695366372</v>
      </c>
      <c r="AD124" s="39" t="n">
        <f aca="false">IFERROR((データ入力!$B$8*AC124-AA124*$N$22)/SQRT((データ入力!$B$8*AB124-AA124^2)*(データ入力!$B$8*$N$23-$N$22^2)),-1)</f>
        <v>0.997027062301063</v>
      </c>
    </row>
    <row r="125" customFormat="false" ht="15" hidden="false" customHeight="false" outlineLevel="0" collapsed="false">
      <c r="A125" s="32" t="n">
        <v>119</v>
      </c>
      <c r="B125" s="33" t="n">
        <f aca="false">IF($A125&lt;=データ入力!$B$8,1,0)</f>
        <v>0</v>
      </c>
      <c r="C125" s="34" t="n">
        <f aca="false">IF($B125=1,LARGE(データ入力!$B$12:$B$211,$A125),0)</f>
        <v>0</v>
      </c>
      <c r="D125" s="32" t="str">
        <f aca="false">IF($B125=1,IFERROR(INDEX(データ入力!$A$12:$A$211,MATCH($C125,データ入力!$B$12:$B$211,0)),""),"")</f>
        <v/>
      </c>
      <c r="E125" s="35" t="n">
        <f aca="false">IF($B125=1,1-$A125/(データ入力!$B$8+1),0)</f>
        <v>0</v>
      </c>
      <c r="F125" s="36" t="str">
        <f aca="false">IF($B125=1,(データ入力!$B$8+1)/$A125,"")</f>
        <v/>
      </c>
      <c r="G125" s="37" t="n">
        <f aca="false">IF($B125=1,-LN(-LN($E125)),0)</f>
        <v>0</v>
      </c>
      <c r="H125" s="37" t="n">
        <f aca="false">IF($B125=1,LN(-LN($E125)),0)</f>
        <v>0</v>
      </c>
      <c r="I125" s="36" t="str">
        <f aca="false">IF($B125=1,IFERROR($C125-($N$10+$N$9*$G125),""),"")</f>
        <v/>
      </c>
      <c r="J125" s="36" t="str">
        <f aca="false">IF($B125=1,IFERROR($C125-($N$21-$N$26*EXP(-$G125/$N$24)),""),"")</f>
        <v/>
      </c>
      <c r="T125" s="38" t="n">
        <f aca="false">IFERROR($R$6+($A125-1)*$R$5,"")</f>
        <v>98.45</v>
      </c>
      <c r="U125" s="38" t="n">
        <f aca="false">IFERROR(SUMPRODUCT($B$7:$B$206,LN($T125-$C$7:$C$206)),"")</f>
        <v>311.091632925209</v>
      </c>
      <c r="V125" s="38" t="n">
        <f aca="false">IFERROR(SUMPRODUCT($B$7:$B$206,LN($T125-$C$7:$C$206),LN($T125-$C$7:$C$206)),"")</f>
        <v>1290.41579977371</v>
      </c>
      <c r="W125" s="38" t="n">
        <f aca="false">IFERROR(SUMPRODUCT($B$7:$B$206,LN($T125-$C$7:$C$206),$H$7:$H$206),"")</f>
        <v>-170.816818278804</v>
      </c>
      <c r="X125" s="39" t="n">
        <f aca="false">IFERROR((データ入力!$B$8*W125-U125*$N$22)/SQRT((データ入力!$B$8*V125-U125^2)*(データ入力!$B$8*$N$23-$N$22^2)),-1)</f>
        <v>0.996626670367914</v>
      </c>
      <c r="Z125" s="38" t="n">
        <f aca="false">IFERROR($R$10+($A125-1)*$R$9,"")</f>
        <v>59.5429648241206</v>
      </c>
      <c r="AA125" s="38" t="n">
        <f aca="false">IFERROR(SUMPRODUCT($B$7:$B$206,LN($Z125-$C$7:$C$206)),"")</f>
        <v>239.482543510472</v>
      </c>
      <c r="AB125" s="38" t="n">
        <f aca="false">IFERROR(SUMPRODUCT($B$7:$B$206,LN($Z125-$C$7:$C$206),LN($Z125-$C$7:$C$206)),"")</f>
        <v>764.986504051056</v>
      </c>
      <c r="AC125" s="38" t="n">
        <f aca="false">IFERROR(SUMPRODUCT($B$7:$B$206,LN($Z125-$C$7:$C$206),$H$7:$H$206),"")</f>
        <v>-127.548494703676</v>
      </c>
      <c r="AD125" s="39" t="n">
        <f aca="false">IFERROR((データ入力!$B$8*AC125-AA125*$N$22)/SQRT((データ入力!$B$8*AB125-AA125^2)*(データ入力!$B$8*$N$23-$N$22^2)),-1)</f>
        <v>0.99702706095032</v>
      </c>
    </row>
    <row r="126" customFormat="false" ht="15" hidden="false" customHeight="false" outlineLevel="0" collapsed="false">
      <c r="A126" s="32" t="n">
        <v>120</v>
      </c>
      <c r="B126" s="33" t="n">
        <f aca="false">IF($A126&lt;=データ入力!$B$8,1,0)</f>
        <v>0</v>
      </c>
      <c r="C126" s="34" t="n">
        <f aca="false">IF($B126=1,LARGE(データ入力!$B$12:$B$211,$A126),0)</f>
        <v>0</v>
      </c>
      <c r="D126" s="32" t="str">
        <f aca="false">IF($B126=1,IFERROR(INDEX(データ入力!$A$12:$A$211,MATCH($C126,データ入力!$B$12:$B$211,0)),""),"")</f>
        <v/>
      </c>
      <c r="E126" s="35" t="n">
        <f aca="false">IF($B126=1,1-$A126/(データ入力!$B$8+1),0)</f>
        <v>0</v>
      </c>
      <c r="F126" s="36" t="str">
        <f aca="false">IF($B126=1,(データ入力!$B$8+1)/$A126,"")</f>
        <v/>
      </c>
      <c r="G126" s="37" t="n">
        <f aca="false">IF($B126=1,-LN(-LN($E126)),0)</f>
        <v>0</v>
      </c>
      <c r="H126" s="37" t="n">
        <f aca="false">IF($B126=1,LN(-LN($E126)),0)</f>
        <v>0</v>
      </c>
      <c r="I126" s="36" t="str">
        <f aca="false">IF($B126=1,IFERROR($C126-($N$10+$N$9*$G126),""),"")</f>
        <v/>
      </c>
      <c r="J126" s="36" t="str">
        <f aca="false">IF($B126=1,IFERROR($C126-($N$21-$N$26*EXP(-$G126/$N$24)),""),"")</f>
        <v/>
      </c>
      <c r="T126" s="38" t="n">
        <f aca="false">IFERROR($R$6+($A126-1)*$R$5,"")</f>
        <v>98.95</v>
      </c>
      <c r="U126" s="38" t="n">
        <f aca="false">IFERROR(SUMPRODUCT($B$7:$B$206,LN($T126-$C$7:$C$206)),"")</f>
        <v>311.681886486853</v>
      </c>
      <c r="V126" s="38" t="n">
        <f aca="false">IFERROR(SUMPRODUCT($B$7:$B$206,LN($T126-$C$7:$C$206),LN($T126-$C$7:$C$206)),"")</f>
        <v>1295.31638922415</v>
      </c>
      <c r="W126" s="38" t="n">
        <f aca="false">IFERROR(SUMPRODUCT($B$7:$B$206,LN($T126-$C$7:$C$206),$H$7:$H$206),"")</f>
        <v>-171.161654568037</v>
      </c>
      <c r="X126" s="39" t="n">
        <f aca="false">IFERROR((データ入力!$B$8*W126-U126*$N$22)/SQRT((データ入力!$B$8*V126-U126^2)*(データ入力!$B$8*$N$23-$N$22^2)),-1)</f>
        <v>0.996622856687316</v>
      </c>
      <c r="Z126" s="38" t="n">
        <f aca="false">IFERROR($R$10+($A126-1)*$R$9,"")</f>
        <v>59.5479899497487</v>
      </c>
      <c r="AA126" s="38" t="n">
        <f aca="false">IFERROR(SUMPRODUCT($B$7:$B$206,LN($Z126-$C$7:$C$206)),"")</f>
        <v>239.498041835581</v>
      </c>
      <c r="AB126" s="38" t="n">
        <f aca="false">IFERROR(SUMPRODUCT($B$7:$B$206,LN($Z126-$C$7:$C$206),LN($Z126-$C$7:$C$206)),"")</f>
        <v>765.085357810843</v>
      </c>
      <c r="AC126" s="38" t="n">
        <f aca="false">IFERROR(SUMPRODUCT($B$7:$B$206,LN($Z126-$C$7:$C$206),$H$7:$H$206),"")</f>
        <v>-127.558291749793</v>
      </c>
      <c r="AD126" s="39" t="n">
        <f aca="false">IFERROR((データ入力!$B$8*AC126-AA126*$N$22)/SQRT((データ入力!$B$8*AB126-AA126^2)*(データ入力!$B$8*$N$23-$N$22^2)),-1)</f>
        <v>0.997027059505885</v>
      </c>
    </row>
    <row r="127" customFormat="false" ht="15" hidden="false" customHeight="false" outlineLevel="0" collapsed="false">
      <c r="A127" s="32" t="n">
        <v>121</v>
      </c>
      <c r="B127" s="33" t="n">
        <f aca="false">IF($A127&lt;=データ入力!$B$8,1,0)</f>
        <v>0</v>
      </c>
      <c r="C127" s="34" t="n">
        <f aca="false">IF($B127=1,LARGE(データ入力!$B$12:$B$211,$A127),0)</f>
        <v>0</v>
      </c>
      <c r="D127" s="32" t="str">
        <f aca="false">IF($B127=1,IFERROR(INDEX(データ入力!$A$12:$A$211,MATCH($C127,データ入力!$B$12:$B$211,0)),""),"")</f>
        <v/>
      </c>
      <c r="E127" s="35" t="n">
        <f aca="false">IF($B127=1,1-$A127/(データ入力!$B$8+1),0)</f>
        <v>0</v>
      </c>
      <c r="F127" s="36" t="str">
        <f aca="false">IF($B127=1,(データ入力!$B$8+1)/$A127,"")</f>
        <v/>
      </c>
      <c r="G127" s="37" t="n">
        <f aca="false">IF($B127=1,-LN(-LN($E127)),0)</f>
        <v>0</v>
      </c>
      <c r="H127" s="37" t="n">
        <f aca="false">IF($B127=1,LN(-LN($E127)),0)</f>
        <v>0</v>
      </c>
      <c r="I127" s="36" t="str">
        <f aca="false">IF($B127=1,IFERROR($C127-($N$10+$N$9*$G127),""),"")</f>
        <v/>
      </c>
      <c r="J127" s="36" t="str">
        <f aca="false">IF($B127=1,IFERROR($C127-($N$21-$N$26*EXP(-$G127/$N$24)),""),"")</f>
        <v/>
      </c>
      <c r="T127" s="38" t="n">
        <f aca="false">IFERROR($R$6+($A127-1)*$R$5,"")</f>
        <v>99.45</v>
      </c>
      <c r="U127" s="38" t="n">
        <f aca="false">IFERROR(SUMPRODUCT($B$7:$B$206,LN($T127-$C$7:$C$206)),"")</f>
        <v>312.267528387124</v>
      </c>
      <c r="V127" s="38" t="n">
        <f aca="false">IFERROR(SUMPRODUCT($B$7:$B$206,LN($T127-$C$7:$C$206),LN($T127-$C$7:$C$206)),"")</f>
        <v>1300.18788276801</v>
      </c>
      <c r="W127" s="38" t="n">
        <f aca="false">IFERROR(SUMPRODUCT($B$7:$B$206,LN($T127-$C$7:$C$206),$H$7:$H$206),"")</f>
        <v>-171.503664785437</v>
      </c>
      <c r="X127" s="39" t="n">
        <f aca="false">IFERROR((データ入力!$B$8*W127-U127*$N$22)/SQRT((データ入力!$B$8*V127-U127^2)*(データ入力!$B$8*$N$23-$N$22^2)),-1)</f>
        <v>0.996619085624332</v>
      </c>
      <c r="Z127" s="38" t="n">
        <f aca="false">IFERROR($R$10+($A127-1)*$R$9,"")</f>
        <v>59.5530150753769</v>
      </c>
      <c r="AA127" s="38" t="n">
        <f aca="false">IFERROR(SUMPRODUCT($B$7:$B$206,LN($Z127-$C$7:$C$206)),"")</f>
        <v>239.513536945462</v>
      </c>
      <c r="AB127" s="38" t="n">
        <f aca="false">IFERROR(SUMPRODUCT($B$7:$B$206,LN($Z127-$C$7:$C$206),LN($Z127-$C$7:$C$206)),"")</f>
        <v>765.184197519789</v>
      </c>
      <c r="AC127" s="38" t="n">
        <f aca="false">IFERROR(SUMPRODUCT($B$7:$B$206,LN($Z127-$C$7:$C$206),$H$7:$H$206),"")</f>
        <v>-127.568086505792</v>
      </c>
      <c r="AD127" s="39" t="n">
        <f aca="false">IFERROR((データ入力!$B$8*AC127-AA127*$N$22)/SQRT((データ入力!$B$8*AB127-AA127^2)*(データ入力!$B$8*$N$23-$N$22^2)),-1)</f>
        <v>0.99702705796672</v>
      </c>
    </row>
    <row r="128" customFormat="false" ht="15" hidden="false" customHeight="false" outlineLevel="0" collapsed="false">
      <c r="A128" s="32" t="n">
        <v>122</v>
      </c>
      <c r="B128" s="33" t="n">
        <f aca="false">IF($A128&lt;=データ入力!$B$8,1,0)</f>
        <v>0</v>
      </c>
      <c r="C128" s="34" t="n">
        <f aca="false">IF($B128=1,LARGE(データ入力!$B$12:$B$211,$A128),0)</f>
        <v>0</v>
      </c>
      <c r="D128" s="32" t="str">
        <f aca="false">IF($B128=1,IFERROR(INDEX(データ入力!$A$12:$A$211,MATCH($C128,データ入力!$B$12:$B$211,0)),""),"")</f>
        <v/>
      </c>
      <c r="E128" s="35" t="n">
        <f aca="false">IF($B128=1,1-$A128/(データ入力!$B$8+1),0)</f>
        <v>0</v>
      </c>
      <c r="F128" s="36" t="str">
        <f aca="false">IF($B128=1,(データ入力!$B$8+1)/$A128,"")</f>
        <v/>
      </c>
      <c r="G128" s="37" t="n">
        <f aca="false">IF($B128=1,-LN(-LN($E128)),0)</f>
        <v>0</v>
      </c>
      <c r="H128" s="37" t="n">
        <f aca="false">IF($B128=1,LN(-LN($E128)),0)</f>
        <v>0</v>
      </c>
      <c r="I128" s="36" t="str">
        <f aca="false">IF($B128=1,IFERROR($C128-($N$10+$N$9*$G128),""),"")</f>
        <v/>
      </c>
      <c r="J128" s="36" t="str">
        <f aca="false">IF($B128=1,IFERROR($C128-($N$21-$N$26*EXP(-$G128/$N$24)),""),"")</f>
        <v/>
      </c>
      <c r="T128" s="38" t="n">
        <f aca="false">IFERROR($R$6+($A128-1)*$R$5,"")</f>
        <v>99.95</v>
      </c>
      <c r="U128" s="38" t="n">
        <f aca="false">IFERROR(SUMPRODUCT($B$7:$B$206,LN($T128-$C$7:$C$206)),"")</f>
        <v>312.848630169868</v>
      </c>
      <c r="V128" s="38" t="n">
        <f aca="false">IFERROR(SUMPRODUCT($B$7:$B$206,LN($T128-$C$7:$C$206),LN($T128-$C$7:$C$206)),"")</f>
        <v>1305.03066072086</v>
      </c>
      <c r="W128" s="38" t="n">
        <f aca="false">IFERROR(SUMPRODUCT($B$7:$B$206,LN($T128-$C$7:$C$206),$H$7:$H$206),"")</f>
        <v>-171.84289483798</v>
      </c>
      <c r="X128" s="39" t="n">
        <f aca="false">IFERROR((データ入力!$B$8*W128-U128*$N$22)/SQRT((データ入力!$B$8*V128-U128^2)*(データ入力!$B$8*$N$23-$N$22^2)),-1)</f>
        <v>0.996615356577564</v>
      </c>
      <c r="Z128" s="38" t="n">
        <f aca="false">IFERROR($R$10+($A128-1)*$R$9,"")</f>
        <v>59.558040201005</v>
      </c>
      <c r="AA128" s="38" t="n">
        <f aca="false">IFERROR(SUMPRODUCT($B$7:$B$206,LN($Z128-$C$7:$C$206)),"")</f>
        <v>239.529028841453</v>
      </c>
      <c r="AB128" s="38" t="n">
        <f aca="false">IFERROR(SUMPRODUCT($B$7:$B$206,LN($Z128-$C$7:$C$206),LN($Z128-$C$7:$C$206)),"")</f>
        <v>765.283023182396</v>
      </c>
      <c r="AC128" s="38" t="n">
        <f aca="false">IFERROR(SUMPRODUCT($B$7:$B$206,LN($Z128-$C$7:$C$206),$H$7:$H$206),"")</f>
        <v>-127.577878972738</v>
      </c>
      <c r="AD128" s="39" t="n">
        <f aca="false">IFERROR((データ入力!$B$8*AC128-AA128*$N$22)/SQRT((データ入力!$B$8*AB128-AA128^2)*(データ入力!$B$8*$N$23-$N$22^2)),-1)</f>
        <v>0.997027056334405</v>
      </c>
    </row>
    <row r="129" customFormat="false" ht="15" hidden="false" customHeight="false" outlineLevel="0" collapsed="false">
      <c r="A129" s="32" t="n">
        <v>123</v>
      </c>
      <c r="B129" s="33" t="n">
        <f aca="false">IF($A129&lt;=データ入力!$B$8,1,0)</f>
        <v>0</v>
      </c>
      <c r="C129" s="34" t="n">
        <f aca="false">IF($B129=1,LARGE(データ入力!$B$12:$B$211,$A129),0)</f>
        <v>0</v>
      </c>
      <c r="D129" s="32" t="str">
        <f aca="false">IF($B129=1,IFERROR(INDEX(データ入力!$A$12:$A$211,MATCH($C129,データ入力!$B$12:$B$211,0)),""),"")</f>
        <v/>
      </c>
      <c r="E129" s="35" t="n">
        <f aca="false">IF($B129=1,1-$A129/(データ入力!$B$8+1),0)</f>
        <v>0</v>
      </c>
      <c r="F129" s="36" t="str">
        <f aca="false">IF($B129=1,(データ入力!$B$8+1)/$A129,"")</f>
        <v/>
      </c>
      <c r="G129" s="37" t="n">
        <f aca="false">IF($B129=1,-LN(-LN($E129)),0)</f>
        <v>0</v>
      </c>
      <c r="H129" s="37" t="n">
        <f aca="false">IF($B129=1,LN(-LN($E129)),0)</f>
        <v>0</v>
      </c>
      <c r="I129" s="36" t="str">
        <f aca="false">IF($B129=1,IFERROR($C129-($N$10+$N$9*$G129),""),"")</f>
        <v/>
      </c>
      <c r="J129" s="36" t="str">
        <f aca="false">IF($B129=1,IFERROR($C129-($N$21-$N$26*EXP(-$G129/$N$24)),""),"")</f>
        <v/>
      </c>
      <c r="T129" s="38" t="n">
        <f aca="false">IFERROR($R$6+($A129-1)*$R$5,"")</f>
        <v>100.45</v>
      </c>
      <c r="U129" s="38" t="n">
        <f aca="false">IFERROR(SUMPRODUCT($B$7:$B$206,LN($T129-$C$7:$C$206)),"")</f>
        <v>313.425261725944</v>
      </c>
      <c r="V129" s="38" t="n">
        <f aca="false">IFERROR(SUMPRODUCT($B$7:$B$206,LN($T129-$C$7:$C$206),LN($T129-$C$7:$C$206)),"")</f>
        <v>1309.84509570234</v>
      </c>
      <c r="W129" s="38" t="n">
        <f aca="false">IFERROR(SUMPRODUCT($B$7:$B$206,LN($T129-$C$7:$C$206),$H$7:$H$206),"")</f>
        <v>-172.179389523868</v>
      </c>
      <c r="X129" s="39" t="n">
        <f aca="false">IFERROR((データ入力!$B$8*W129-U129*$N$22)/SQRT((データ入力!$B$8*V129-U129^2)*(データ入力!$B$8*$N$23-$N$22^2)),-1)</f>
        <v>0.996611668962684</v>
      </c>
      <c r="Z129" s="38" t="n">
        <f aca="false">IFERROR($R$10+($A129-1)*$R$9,"")</f>
        <v>59.5630653266332</v>
      </c>
      <c r="AA129" s="38" t="n">
        <f aca="false">IFERROR(SUMPRODUCT($B$7:$B$206,LN($Z129-$C$7:$C$206)),"")</f>
        <v>239.544517524895</v>
      </c>
      <c r="AB129" s="38" t="n">
        <f aca="false">IFERROR(SUMPRODUCT($B$7:$B$206,LN($Z129-$C$7:$C$206),LN($Z129-$C$7:$C$206)),"")</f>
        <v>765.381834803165</v>
      </c>
      <c r="AC129" s="38" t="n">
        <f aca="false">IFERROR(SUMPRODUCT($B$7:$B$206,LN($Z129-$C$7:$C$206),$H$7:$H$206),"")</f>
        <v>-127.587669151698</v>
      </c>
      <c r="AD129" s="39" t="n">
        <f aca="false">IFERROR((データ入力!$B$8*AC129-AA129*$N$22)/SQRT((データ入力!$B$8*AB129-AA129^2)*(データ入力!$B$8*$N$23-$N$22^2)),-1)</f>
        <v>0.997027054608459</v>
      </c>
    </row>
    <row r="130" customFormat="false" ht="15" hidden="false" customHeight="false" outlineLevel="0" collapsed="false">
      <c r="A130" s="32" t="n">
        <v>124</v>
      </c>
      <c r="B130" s="33" t="n">
        <f aca="false">IF($A130&lt;=データ入力!$B$8,1,0)</f>
        <v>0</v>
      </c>
      <c r="C130" s="34" t="n">
        <f aca="false">IF($B130=1,LARGE(データ入力!$B$12:$B$211,$A130),0)</f>
        <v>0</v>
      </c>
      <c r="D130" s="32" t="str">
        <f aca="false">IF($B130=1,IFERROR(INDEX(データ入力!$A$12:$A$211,MATCH($C130,データ入力!$B$12:$B$211,0)),""),"")</f>
        <v/>
      </c>
      <c r="E130" s="35" t="n">
        <f aca="false">IF($B130=1,1-$A130/(データ入力!$B$8+1),0)</f>
        <v>0</v>
      </c>
      <c r="F130" s="36" t="str">
        <f aca="false">IF($B130=1,(データ入力!$B$8+1)/$A130,"")</f>
        <v/>
      </c>
      <c r="G130" s="37" t="n">
        <f aca="false">IF($B130=1,-LN(-LN($E130)),0)</f>
        <v>0</v>
      </c>
      <c r="H130" s="37" t="n">
        <f aca="false">IF($B130=1,LN(-LN($E130)),0)</f>
        <v>0</v>
      </c>
      <c r="I130" s="36" t="str">
        <f aca="false">IF($B130=1,IFERROR($C130-($N$10+$N$9*$G130),""),"")</f>
        <v/>
      </c>
      <c r="J130" s="36" t="str">
        <f aca="false">IF($B130=1,IFERROR($C130-($N$21-$N$26*EXP(-$G130/$N$24)),""),"")</f>
        <v/>
      </c>
      <c r="T130" s="38" t="n">
        <f aca="false">IFERROR($R$6+($A130-1)*$R$5,"")</f>
        <v>100.95</v>
      </c>
      <c r="U130" s="38" t="n">
        <f aca="false">IFERROR(SUMPRODUCT($B$7:$B$206,LN($T130-$C$7:$C$206)),"")</f>
        <v>313.997491343792</v>
      </c>
      <c r="V130" s="38" t="n">
        <f aca="false">IFERROR(SUMPRODUCT($B$7:$B$206,LN($T130-$C$7:$C$206),LN($T130-$C$7:$C$206)),"")</f>
        <v>1314.63155284667</v>
      </c>
      <c r="W130" s="38" t="n">
        <f aca="false">IFERROR(SUMPRODUCT($B$7:$B$206,LN($T130-$C$7:$C$206),$H$7:$H$206),"")</f>
        <v>-172.51319256793</v>
      </c>
      <c r="X130" s="39" t="n">
        <f aca="false">IFERROR((データ入力!$B$8*W130-U130*$N$22)/SQRT((データ入力!$B$8*V130-U130^2)*(データ入力!$B$8*$N$23-$N$22^2)),-1)</f>
        <v>0.996608022194688</v>
      </c>
      <c r="Z130" s="38" t="n">
        <f aca="false">IFERROR($R$10+($A130-1)*$R$9,"")</f>
        <v>59.5680904522613</v>
      </c>
      <c r="AA130" s="38" t="n">
        <f aca="false">IFERROR(SUMPRODUCT($B$7:$B$206,LN($Z130-$C$7:$C$206)),"")</f>
        <v>239.560002997124</v>
      </c>
      <c r="AB130" s="38" t="n">
        <f aca="false">IFERROR(SUMPRODUCT($B$7:$B$206,LN($Z130-$C$7:$C$206),LN($Z130-$C$7:$C$206)),"")</f>
        <v>765.480632386593</v>
      </c>
      <c r="AC130" s="38" t="n">
        <f aca="false">IFERROR(SUMPRODUCT($B$7:$B$206,LN($Z130-$C$7:$C$206),$H$7:$H$206),"")</f>
        <v>-127.597457043737</v>
      </c>
      <c r="AD130" s="39" t="n">
        <f aca="false">IFERROR((データ入力!$B$8*AC130-AA130*$N$22)/SQRT((データ入力!$B$8*AB130-AA130^2)*(データ入力!$B$8*$N$23-$N$22^2)),-1)</f>
        <v>0.997027052788401</v>
      </c>
    </row>
    <row r="131" customFormat="false" ht="15" hidden="false" customHeight="false" outlineLevel="0" collapsed="false">
      <c r="A131" s="32" t="n">
        <v>125</v>
      </c>
      <c r="B131" s="33" t="n">
        <f aca="false">IF($A131&lt;=データ入力!$B$8,1,0)</f>
        <v>0</v>
      </c>
      <c r="C131" s="34" t="n">
        <f aca="false">IF($B131=1,LARGE(データ入力!$B$12:$B$211,$A131),0)</f>
        <v>0</v>
      </c>
      <c r="D131" s="32" t="str">
        <f aca="false">IF($B131=1,IFERROR(INDEX(データ入力!$A$12:$A$211,MATCH($C131,データ入力!$B$12:$B$211,0)),""),"")</f>
        <v/>
      </c>
      <c r="E131" s="35" t="n">
        <f aca="false">IF($B131=1,1-$A131/(データ入力!$B$8+1),0)</f>
        <v>0</v>
      </c>
      <c r="F131" s="36" t="str">
        <f aca="false">IF($B131=1,(データ入力!$B$8+1)/$A131,"")</f>
        <v/>
      </c>
      <c r="G131" s="37" t="n">
        <f aca="false">IF($B131=1,-LN(-LN($E131)),0)</f>
        <v>0</v>
      </c>
      <c r="H131" s="37" t="n">
        <f aca="false">IF($B131=1,LN(-LN($E131)),0)</f>
        <v>0</v>
      </c>
      <c r="I131" s="36" t="str">
        <f aca="false">IF($B131=1,IFERROR($C131-($N$10+$N$9*$G131),""),"")</f>
        <v/>
      </c>
      <c r="J131" s="36" t="str">
        <f aca="false">IF($B131=1,IFERROR($C131-($N$21-$N$26*EXP(-$G131/$N$24)),""),"")</f>
        <v/>
      </c>
      <c r="T131" s="38" t="n">
        <f aca="false">IFERROR($R$6+($A131-1)*$R$5,"")</f>
        <v>101.45</v>
      </c>
      <c r="U131" s="38" t="n">
        <f aca="false">IFERROR(SUMPRODUCT($B$7:$B$206,LN($T131-$C$7:$C$206)),"")</f>
        <v>314.565385758067</v>
      </c>
      <c r="V131" s="38" t="n">
        <f aca="false">IFERROR(SUMPRODUCT($B$7:$B$206,LN($T131-$C$7:$C$206),LN($T131-$C$7:$C$206)),"")</f>
        <v>1319.39039000582</v>
      </c>
      <c r="W131" s="38" t="n">
        <f aca="false">IFERROR(SUMPRODUCT($B$7:$B$206,LN($T131-$C$7:$C$206),$H$7:$H$206),"")</f>
        <v>-172.84434665562</v>
      </c>
      <c r="X131" s="39" t="n">
        <f aca="false">IFERROR((データ入力!$B$8*W131-U131*$N$22)/SQRT((データ入力!$B$8*V131-U131^2)*(データ入力!$B$8*$N$23-$N$22^2)),-1)</f>
        <v>0.996604415708339</v>
      </c>
      <c r="Z131" s="38" t="n">
        <f aca="false">IFERROR($R$10+($A131-1)*$R$9,"")</f>
        <v>59.5731155778894</v>
      </c>
      <c r="AA131" s="38" t="n">
        <f aca="false">IFERROR(SUMPRODUCT($B$7:$B$206,LN($Z131-$C$7:$C$206)),"")</f>
        <v>239.575485259478</v>
      </c>
      <c r="AB131" s="38" t="n">
        <f aca="false">IFERROR(SUMPRODUCT($B$7:$B$206,LN($Z131-$C$7:$C$206),LN($Z131-$C$7:$C$206)),"")</f>
        <v>765.579415937177</v>
      </c>
      <c r="AC131" s="38" t="n">
        <f aca="false">IFERROR(SUMPRODUCT($B$7:$B$206,LN($Z131-$C$7:$C$206),$H$7:$H$206),"")</f>
        <v>-127.607242649921</v>
      </c>
      <c r="AD131" s="39" t="n">
        <f aca="false">IFERROR((データ入力!$B$8*AC131-AA131*$N$22)/SQRT((データ入力!$B$8*AB131-AA131^2)*(データ入力!$B$8*$N$23-$N$22^2)),-1)</f>
        <v>0.997027050875169</v>
      </c>
    </row>
    <row r="132" customFormat="false" ht="15" hidden="false" customHeight="false" outlineLevel="0" collapsed="false">
      <c r="A132" s="32" t="n">
        <v>126</v>
      </c>
      <c r="B132" s="33" t="n">
        <f aca="false">IF($A132&lt;=データ入力!$B$8,1,0)</f>
        <v>0</v>
      </c>
      <c r="C132" s="34" t="n">
        <f aca="false">IF($B132=1,LARGE(データ入力!$B$12:$B$211,$A132),0)</f>
        <v>0</v>
      </c>
      <c r="D132" s="32" t="str">
        <f aca="false">IF($B132=1,IFERROR(INDEX(データ入力!$A$12:$A$211,MATCH($C132,データ入力!$B$12:$B$211,0)),""),"")</f>
        <v/>
      </c>
      <c r="E132" s="35" t="n">
        <f aca="false">IF($B132=1,1-$A132/(データ入力!$B$8+1),0)</f>
        <v>0</v>
      </c>
      <c r="F132" s="36" t="str">
        <f aca="false">IF($B132=1,(データ入力!$B$8+1)/$A132,"")</f>
        <v/>
      </c>
      <c r="G132" s="37" t="n">
        <f aca="false">IF($B132=1,-LN(-LN($E132)),0)</f>
        <v>0</v>
      </c>
      <c r="H132" s="37" t="n">
        <f aca="false">IF($B132=1,LN(-LN($E132)),0)</f>
        <v>0</v>
      </c>
      <c r="I132" s="36" t="str">
        <f aca="false">IF($B132=1,IFERROR($C132-($N$10+$N$9*$G132),""),"")</f>
        <v/>
      </c>
      <c r="J132" s="36" t="str">
        <f aca="false">IF($B132=1,IFERROR($C132-($N$21-$N$26*EXP(-$G132/$N$24)),""),"")</f>
        <v/>
      </c>
      <c r="T132" s="38" t="n">
        <f aca="false">IFERROR($R$6+($A132-1)*$R$5,"")</f>
        <v>101.95</v>
      </c>
      <c r="U132" s="38" t="n">
        <f aca="false">IFERROR(SUMPRODUCT($B$7:$B$206,LN($T132-$C$7:$C$206)),"")</f>
        <v>315.129010196454</v>
      </c>
      <c r="V132" s="38" t="n">
        <f aca="false">IFERROR(SUMPRODUCT($B$7:$B$206,LN($T132-$C$7:$C$206),LN($T132-$C$7:$C$206)),"")</f>
        <v>1324.12195794584</v>
      </c>
      <c r="W132" s="38" t="n">
        <f aca="false">IFERROR(SUMPRODUCT($B$7:$B$206,LN($T132-$C$7:$C$206),$H$7:$H$206),"")</f>
        <v>-173.172893465679</v>
      </c>
      <c r="X132" s="39" t="n">
        <f aca="false">IFERROR((データ入力!$B$8*W132-U132*$N$22)/SQRT((データ入力!$B$8*V132-U132^2)*(データ入力!$B$8*$N$23-$N$22^2)),-1)</f>
        <v>0.996600848933882</v>
      </c>
      <c r="Z132" s="38" t="n">
        <f aca="false">IFERROR($R$10+($A132-1)*$R$9,"")</f>
        <v>59.5781407035176</v>
      </c>
      <c r="AA132" s="38" t="n">
        <f aca="false">IFERROR(SUMPRODUCT($B$7:$B$206,LN($Z132-$C$7:$C$206)),"")</f>
        <v>239.590964313293</v>
      </c>
      <c r="AB132" s="38" t="n">
        <f aca="false">IFERROR(SUMPRODUCT($B$7:$B$206,LN($Z132-$C$7:$C$206),LN($Z132-$C$7:$C$206)),"")</f>
        <v>765.678185459412</v>
      </c>
      <c r="AC132" s="38" t="n">
        <f aca="false">IFERROR(SUMPRODUCT($B$7:$B$206,LN($Z132-$C$7:$C$206),$H$7:$H$206),"")</f>
        <v>-127.617025971312</v>
      </c>
      <c r="AD132" s="39" t="n">
        <f aca="false">IFERROR((データ入力!$B$8*AC132-AA132*$N$22)/SQRT((データ入力!$B$8*AB132-AA132^2)*(データ入力!$B$8*$N$23-$N$22^2)),-1)</f>
        <v>0.99702704886867</v>
      </c>
    </row>
    <row r="133" customFormat="false" ht="15" hidden="false" customHeight="false" outlineLevel="0" collapsed="false">
      <c r="A133" s="32" t="n">
        <v>127</v>
      </c>
      <c r="B133" s="33" t="n">
        <f aca="false">IF($A133&lt;=データ入力!$B$8,1,0)</f>
        <v>0</v>
      </c>
      <c r="C133" s="34" t="n">
        <f aca="false">IF($B133=1,LARGE(データ入力!$B$12:$B$211,$A133),0)</f>
        <v>0</v>
      </c>
      <c r="D133" s="32" t="str">
        <f aca="false">IF($B133=1,IFERROR(INDEX(データ入力!$A$12:$A$211,MATCH($C133,データ入力!$B$12:$B$211,0)),""),"")</f>
        <v/>
      </c>
      <c r="E133" s="35" t="n">
        <f aca="false">IF($B133=1,1-$A133/(データ入力!$B$8+1),0)</f>
        <v>0</v>
      </c>
      <c r="F133" s="36" t="str">
        <f aca="false">IF($B133=1,(データ入力!$B$8+1)/$A133,"")</f>
        <v/>
      </c>
      <c r="G133" s="37" t="n">
        <f aca="false">IF($B133=1,-LN(-LN($E133)),0)</f>
        <v>0</v>
      </c>
      <c r="H133" s="37" t="n">
        <f aca="false">IF($B133=1,LN(-LN($E133)),0)</f>
        <v>0</v>
      </c>
      <c r="I133" s="36" t="str">
        <f aca="false">IF($B133=1,IFERROR($C133-($N$10+$N$9*$G133),""),"")</f>
        <v/>
      </c>
      <c r="J133" s="36" t="str">
        <f aca="false">IF($B133=1,IFERROR($C133-($N$21-$N$26*EXP(-$G133/$N$24)),""),"")</f>
        <v/>
      </c>
      <c r="T133" s="38" t="n">
        <f aca="false">IFERROR($R$6+($A133-1)*$R$5,"")</f>
        <v>102.45</v>
      </c>
      <c r="U133" s="38" t="n">
        <f aca="false">IFERROR(SUMPRODUCT($B$7:$B$206,LN($T133-$C$7:$C$206)),"")</f>
        <v>315.688428424724</v>
      </c>
      <c r="V133" s="38" t="n">
        <f aca="false">IFERROR(SUMPRODUCT($B$7:$B$206,LN($T133-$C$7:$C$206),LN($T133-$C$7:$C$206)),"")</f>
        <v>1328.82660053645</v>
      </c>
      <c r="W133" s="38" t="n">
        <f aca="false">IFERROR(SUMPRODUCT($B$7:$B$206,LN($T133-$C$7:$C$206),$H$7:$H$206),"")</f>
        <v>-173.498873701531</v>
      </c>
      <c r="X133" s="39" t="n">
        <f aca="false">IFERROR((データ入力!$B$8*W133-U133*$N$22)/SQRT((データ入力!$B$8*V133-U133^2)*(データ入力!$B$8*$N$23-$N$22^2)),-1)</f>
        <v>0.996597321315592</v>
      </c>
      <c r="Z133" s="38" t="n">
        <f aca="false">IFERROR($R$10+($A133-1)*$R$9,"")</f>
        <v>59.5831658291457</v>
      </c>
      <c r="AA133" s="38" t="n">
        <f aca="false">IFERROR(SUMPRODUCT($B$7:$B$206,LN($Z133-$C$7:$C$206)),"")</f>
        <v>239.606440159904</v>
      </c>
      <c r="AB133" s="38" t="n">
        <f aca="false">IFERROR(SUMPRODUCT($B$7:$B$206,LN($Z133-$C$7:$C$206),LN($Z133-$C$7:$C$206)),"")</f>
        <v>765.776940957787</v>
      </c>
      <c r="AC133" s="38" t="n">
        <f aca="false">IFERROR(SUMPRODUCT($B$7:$B$206,LN($Z133-$C$7:$C$206),$H$7:$H$206),"")</f>
        <v>-127.626807008974</v>
      </c>
      <c r="AD133" s="39" t="n">
        <f aca="false">IFERROR((データ入力!$B$8*AC133-AA133*$N$22)/SQRT((データ入力!$B$8*AB133-AA133^2)*(データ入力!$B$8*$N$23-$N$22^2)),-1)</f>
        <v>0.997027046769111</v>
      </c>
    </row>
    <row r="134" customFormat="false" ht="15" hidden="false" customHeight="false" outlineLevel="0" collapsed="false">
      <c r="A134" s="32" t="n">
        <v>128</v>
      </c>
      <c r="B134" s="33" t="n">
        <f aca="false">IF($A134&lt;=データ入力!$B$8,1,0)</f>
        <v>0</v>
      </c>
      <c r="C134" s="34" t="n">
        <f aca="false">IF($B134=1,LARGE(データ入力!$B$12:$B$211,$A134),0)</f>
        <v>0</v>
      </c>
      <c r="D134" s="32" t="str">
        <f aca="false">IF($B134=1,IFERROR(INDEX(データ入力!$A$12:$A$211,MATCH($C134,データ入力!$B$12:$B$211,0)),""),"")</f>
        <v/>
      </c>
      <c r="E134" s="35" t="n">
        <f aca="false">IF($B134=1,1-$A134/(データ入力!$B$8+1),0)</f>
        <v>0</v>
      </c>
      <c r="F134" s="36" t="str">
        <f aca="false">IF($B134=1,(データ入力!$B$8+1)/$A134,"")</f>
        <v/>
      </c>
      <c r="G134" s="37" t="n">
        <f aca="false">IF($B134=1,-LN(-LN($E134)),0)</f>
        <v>0</v>
      </c>
      <c r="H134" s="37" t="n">
        <f aca="false">IF($B134=1,LN(-LN($E134)),0)</f>
        <v>0</v>
      </c>
      <c r="I134" s="36" t="str">
        <f aca="false">IF($B134=1,IFERROR($C134-($N$10+$N$9*$G134),""),"")</f>
        <v/>
      </c>
      <c r="J134" s="36" t="str">
        <f aca="false">IF($B134=1,IFERROR($C134-($N$21-$N$26*EXP(-$G134/$N$24)),""),"")</f>
        <v/>
      </c>
      <c r="T134" s="38" t="n">
        <f aca="false">IFERROR($R$6+($A134-1)*$R$5,"")</f>
        <v>102.95</v>
      </c>
      <c r="U134" s="38" t="n">
        <f aca="false">IFERROR(SUMPRODUCT($B$7:$B$206,LN($T134-$C$7:$C$206)),"")</f>
        <v>316.243702790117</v>
      </c>
      <c r="V134" s="38" t="n">
        <f aca="false">IFERROR(SUMPRODUCT($B$7:$B$206,LN($T134-$C$7:$C$206),LN($T134-$C$7:$C$206)),"")</f>
        <v>1333.50465493428</v>
      </c>
      <c r="W134" s="38" t="n">
        <f aca="false">IFERROR(SUMPRODUCT($B$7:$B$206,LN($T134-$C$7:$C$206),$H$7:$H$206),"")</f>
        <v>-173.822327121456</v>
      </c>
      <c r="X134" s="39" t="n">
        <f aca="false">IFERROR((データ入力!$B$8*W134-U134*$N$22)/SQRT((データ入力!$B$8*V134-U134^2)*(データ入力!$B$8*$N$23-$N$22^2)),-1)</f>
        <v>0.996593832288071</v>
      </c>
      <c r="Z134" s="38" t="n">
        <f aca="false">IFERROR($R$10+($A134-1)*$R$9,"")</f>
        <v>59.5881909547739</v>
      </c>
      <c r="AA134" s="38" t="n">
        <f aca="false">IFERROR(SUMPRODUCT($B$7:$B$206,LN($Z134-$C$7:$C$206)),"")</f>
        <v>239.621912800646</v>
      </c>
      <c r="AB134" s="38" t="n">
        <f aca="false">IFERROR(SUMPRODUCT($B$7:$B$206,LN($Z134-$C$7:$C$206),LN($Z134-$C$7:$C$206)),"")</f>
        <v>765.875682436793</v>
      </c>
      <c r="AC134" s="38" t="n">
        <f aca="false">IFERROR(SUMPRODUCT($B$7:$B$206,LN($Z134-$C$7:$C$206),$H$7:$H$206),"")</f>
        <v>-127.63658576397</v>
      </c>
      <c r="AD134" s="39" t="n">
        <f aca="false">IFERROR((データ入力!$B$8*AC134-AA134*$N$22)/SQRT((データ入力!$B$8*AB134-AA134^2)*(データ入力!$B$8*$N$23-$N$22^2)),-1)</f>
        <v>0.997027044576317</v>
      </c>
    </row>
    <row r="135" customFormat="false" ht="15" hidden="false" customHeight="false" outlineLevel="0" collapsed="false">
      <c r="A135" s="32" t="n">
        <v>129</v>
      </c>
      <c r="B135" s="33" t="n">
        <f aca="false">IF($A135&lt;=データ入力!$B$8,1,0)</f>
        <v>0</v>
      </c>
      <c r="C135" s="34" t="n">
        <f aca="false">IF($B135=1,LARGE(データ入力!$B$12:$B$211,$A135),0)</f>
        <v>0</v>
      </c>
      <c r="D135" s="32" t="str">
        <f aca="false">IF($B135=1,IFERROR(INDEX(データ入力!$A$12:$A$211,MATCH($C135,データ入力!$B$12:$B$211,0)),""),"")</f>
        <v/>
      </c>
      <c r="E135" s="35" t="n">
        <f aca="false">IF($B135=1,1-$A135/(データ入力!$B$8+1),0)</f>
        <v>0</v>
      </c>
      <c r="F135" s="36" t="str">
        <f aca="false">IF($B135=1,(データ入力!$B$8+1)/$A135,"")</f>
        <v/>
      </c>
      <c r="G135" s="37" t="n">
        <f aca="false">IF($B135=1,-LN(-LN($E135)),0)</f>
        <v>0</v>
      </c>
      <c r="H135" s="37" t="n">
        <f aca="false">IF($B135=1,LN(-LN($E135)),0)</f>
        <v>0</v>
      </c>
      <c r="I135" s="36" t="str">
        <f aca="false">IF($B135=1,IFERROR($C135-($N$10+$N$9*$G135),""),"")</f>
        <v/>
      </c>
      <c r="J135" s="36" t="str">
        <f aca="false">IF($B135=1,IFERROR($C135-($N$21-$N$26*EXP(-$G135/$N$24)),""),"")</f>
        <v/>
      </c>
      <c r="T135" s="38" t="n">
        <f aca="false">IFERROR($R$6+($A135-1)*$R$5,"")</f>
        <v>103.45</v>
      </c>
      <c r="U135" s="38" t="n">
        <f aca="false">IFERROR(SUMPRODUCT($B$7:$B$206,LN($T135-$C$7:$C$206)),"")</f>
        <v>316.794894263135</v>
      </c>
      <c r="V135" s="38" t="n">
        <f aca="false">IFERROR(SUMPRODUCT($B$7:$B$206,LN($T135-$C$7:$C$206),LN($T135-$C$7:$C$206)),"")</f>
        <v>1338.15645176006</v>
      </c>
      <c r="W135" s="38" t="n">
        <f aca="false">IFERROR(SUMPRODUCT($B$7:$B$206,LN($T135-$C$7:$C$206),$H$7:$H$206),"")</f>
        <v>-174.143292567615</v>
      </c>
      <c r="X135" s="39" t="n">
        <f aca="false">IFERROR((データ入力!$B$8*W135-U135*$N$22)/SQRT((データ入力!$B$8*V135-U135^2)*(データ入力!$B$8*$N$23-$N$22^2)),-1)</f>
        <v>0.996590381323826</v>
      </c>
      <c r="Z135" s="38" t="n">
        <f aca="false">IFERROR($R$10+($A135-1)*$R$9,"")</f>
        <v>59.593216080402</v>
      </c>
      <c r="AA135" s="38" t="n">
        <f aca="false">IFERROR(SUMPRODUCT($B$7:$B$206,LN($Z135-$C$7:$C$206)),"")</f>
        <v>239.637382236853</v>
      </c>
      <c r="AB135" s="38" t="n">
        <f aca="false">IFERROR(SUMPRODUCT($B$7:$B$206,LN($Z135-$C$7:$C$206),LN($Z135-$C$7:$C$206)),"")</f>
        <v>765.974409900916</v>
      </c>
      <c r="AC135" s="38" t="n">
        <f aca="false">IFERROR(SUMPRODUCT($B$7:$B$206,LN($Z135-$C$7:$C$206),$H$7:$H$206),"")</f>
        <v>-127.646362237361</v>
      </c>
      <c r="AD135" s="39" t="n">
        <f aca="false">IFERROR((データ入力!$B$8*AC135-AA135*$N$22)/SQRT((データ入力!$B$8*AB135-AA135^2)*(データ入力!$B$8*$N$23-$N$22^2)),-1)</f>
        <v>0.997027042290392</v>
      </c>
    </row>
    <row r="136" customFormat="false" ht="15" hidden="false" customHeight="false" outlineLevel="0" collapsed="false">
      <c r="A136" s="32" t="n">
        <v>130</v>
      </c>
      <c r="B136" s="33" t="n">
        <f aca="false">IF($A136&lt;=データ入力!$B$8,1,0)</f>
        <v>0</v>
      </c>
      <c r="C136" s="34" t="n">
        <f aca="false">IF($B136=1,LARGE(データ入力!$B$12:$B$211,$A136),0)</f>
        <v>0</v>
      </c>
      <c r="D136" s="32" t="str">
        <f aca="false">IF($B136=1,IFERROR(INDEX(データ入力!$A$12:$A$211,MATCH($C136,データ入力!$B$12:$B$211,0)),""),"")</f>
        <v/>
      </c>
      <c r="E136" s="35" t="n">
        <f aca="false">IF($B136=1,1-$A136/(データ入力!$B$8+1),0)</f>
        <v>0</v>
      </c>
      <c r="F136" s="36" t="str">
        <f aca="false">IF($B136=1,(データ入力!$B$8+1)/$A136,"")</f>
        <v/>
      </c>
      <c r="G136" s="37" t="n">
        <f aca="false">IF($B136=1,-LN(-LN($E136)),0)</f>
        <v>0</v>
      </c>
      <c r="H136" s="37" t="n">
        <f aca="false">IF($B136=1,LN(-LN($E136)),0)</f>
        <v>0</v>
      </c>
      <c r="I136" s="36" t="str">
        <f aca="false">IF($B136=1,IFERROR($C136-($N$10+$N$9*$G136),""),"")</f>
        <v/>
      </c>
      <c r="J136" s="36" t="str">
        <f aca="false">IF($B136=1,IFERROR($C136-($N$21-$N$26*EXP(-$G136/$N$24)),""),"")</f>
        <v/>
      </c>
      <c r="T136" s="38" t="n">
        <f aca="false">IFERROR($R$6+($A136-1)*$R$5,"")</f>
        <v>103.95</v>
      </c>
      <c r="U136" s="38" t="n">
        <f aca="false">IFERROR(SUMPRODUCT($B$7:$B$206,LN($T136-$C$7:$C$206)),"")</f>
        <v>317.342062477799</v>
      </c>
      <c r="V136" s="38" t="n">
        <f aca="false">IFERROR(SUMPRODUCT($B$7:$B$206,LN($T136-$C$7:$C$206),LN($T136-$C$7:$C$206)),"")</f>
        <v>1342.7823152698</v>
      </c>
      <c r="W136" s="38" t="n">
        <f aca="false">IFERROR(SUMPRODUCT($B$7:$B$206,LN($T136-$C$7:$C$206),$H$7:$H$206),"")</f>
        <v>-174.461807993961</v>
      </c>
      <c r="X136" s="39" t="n">
        <f aca="false">IFERROR((データ入力!$B$8*W136-U136*$N$22)/SQRT((データ入力!$B$8*V136-U136^2)*(データ入力!$B$8*$N$23-$N$22^2)),-1)</f>
        <v>0.996586967860959</v>
      </c>
      <c r="Z136" s="38" t="n">
        <f aca="false">IFERROR($R$10+($A136-1)*$R$9,"")</f>
        <v>59.5982412060301</v>
      </c>
      <c r="AA136" s="38" t="n">
        <f aca="false">IFERROR(SUMPRODUCT($B$7:$B$206,LN($Z136-$C$7:$C$206)),"")</f>
        <v>239.652848469856</v>
      </c>
      <c r="AB136" s="38" t="n">
        <f aca="false">IFERROR(SUMPRODUCT($B$7:$B$206,LN($Z136-$C$7:$C$206),LN($Z136-$C$7:$C$206)),"")</f>
        <v>766.073123354642</v>
      </c>
      <c r="AC136" s="38" t="n">
        <f aca="false">IFERROR(SUMPRODUCT($B$7:$B$206,LN($Z136-$C$7:$C$206),$H$7:$H$206),"")</f>
        <v>-127.656136430208</v>
      </c>
      <c r="AD136" s="39" t="n">
        <f aca="false">IFERROR((データ入力!$B$8*AC136-AA136*$N$22)/SQRT((データ入力!$B$8*AB136-AA136^2)*(データ入力!$B$8*$N$23-$N$22^2)),-1)</f>
        <v>0.99702703991192</v>
      </c>
    </row>
    <row r="137" customFormat="false" ht="15" hidden="false" customHeight="false" outlineLevel="0" collapsed="false">
      <c r="A137" s="32" t="n">
        <v>131</v>
      </c>
      <c r="B137" s="33" t="n">
        <f aca="false">IF($A137&lt;=データ入力!$B$8,1,0)</f>
        <v>0</v>
      </c>
      <c r="C137" s="34" t="n">
        <f aca="false">IF($B137=1,LARGE(データ入力!$B$12:$B$211,$A137),0)</f>
        <v>0</v>
      </c>
      <c r="D137" s="32" t="str">
        <f aca="false">IF($B137=1,IFERROR(INDEX(データ入力!$A$12:$A$211,MATCH($C137,データ入力!$B$12:$B$211,0)),""),"")</f>
        <v/>
      </c>
      <c r="E137" s="35" t="n">
        <f aca="false">IF($B137=1,1-$A137/(データ入力!$B$8+1),0)</f>
        <v>0</v>
      </c>
      <c r="F137" s="36" t="str">
        <f aca="false">IF($B137=1,(データ入力!$B$8+1)/$A137,"")</f>
        <v/>
      </c>
      <c r="G137" s="37" t="n">
        <f aca="false">IF($B137=1,-LN(-LN($E137)),0)</f>
        <v>0</v>
      </c>
      <c r="H137" s="37" t="n">
        <f aca="false">IF($B137=1,LN(-LN($E137)),0)</f>
        <v>0</v>
      </c>
      <c r="I137" s="36" t="str">
        <f aca="false">IF($B137=1,IFERROR($C137-($N$10+$N$9*$G137),""),"")</f>
        <v/>
      </c>
      <c r="J137" s="36" t="str">
        <f aca="false">IF($B137=1,IFERROR($C137-($N$21-$N$26*EXP(-$G137/$N$24)),""),"")</f>
        <v/>
      </c>
      <c r="T137" s="38" t="n">
        <f aca="false">IFERROR($R$6+($A137-1)*$R$5,"")</f>
        <v>104.45</v>
      </c>
      <c r="U137" s="38" t="n">
        <f aca="false">IFERROR(SUMPRODUCT($B$7:$B$206,LN($T137-$C$7:$C$206)),"")</f>
        <v>317.885265770444</v>
      </c>
      <c r="V137" s="38" t="n">
        <f aca="false">IFERROR(SUMPRODUCT($B$7:$B$206,LN($T137-$C$7:$C$206),LN($T137-$C$7:$C$206)),"")</f>
        <v>1347.38256352043</v>
      </c>
      <c r="W137" s="38" t="n">
        <f aca="false">IFERROR(SUMPRODUCT($B$7:$B$206,LN($T137-$C$7:$C$206),$H$7:$H$206),"")</f>
        <v>-174.777910493101</v>
      </c>
      <c r="X137" s="39" t="n">
        <f aca="false">IFERROR((データ入力!$B$8*W137-U137*$N$22)/SQRT((データ入力!$B$8*V137-U137^2)*(データ入力!$B$8*$N$23-$N$22^2)),-1)</f>
        <v>0.996583591382562</v>
      </c>
      <c r="Z137" s="38" t="n">
        <f aca="false">IFERROR($R$10+($A137-1)*$R$9,"")</f>
        <v>59.6032663316583</v>
      </c>
      <c r="AA137" s="38" t="n">
        <f aca="false">IFERROR(SUMPRODUCT($B$7:$B$206,LN($Z137-$C$7:$C$206)),"")</f>
        <v>239.668311500989</v>
      </c>
      <c r="AB137" s="38" t="n">
        <f aca="false">IFERROR(SUMPRODUCT($B$7:$B$206,LN($Z137-$C$7:$C$206),LN($Z137-$C$7:$C$206)),"")</f>
        <v>766.171822802453</v>
      </c>
      <c r="AC137" s="38" t="n">
        <f aca="false">IFERROR(SUMPRODUCT($B$7:$B$206,LN($Z137-$C$7:$C$206),$H$7:$H$206),"")</f>
        <v>-127.665908343571</v>
      </c>
      <c r="AD137" s="39" t="n">
        <f aca="false">IFERROR((データ入力!$B$8*AC137-AA137*$N$22)/SQRT((データ入力!$B$8*AB137-AA137^2)*(データ入力!$B$8*$N$23-$N$22^2)),-1)</f>
        <v>0.997027037441092</v>
      </c>
    </row>
    <row r="138" customFormat="false" ht="15" hidden="false" customHeight="false" outlineLevel="0" collapsed="false">
      <c r="A138" s="32" t="n">
        <v>132</v>
      </c>
      <c r="B138" s="33" t="n">
        <f aca="false">IF($A138&lt;=データ入力!$B$8,1,0)</f>
        <v>0</v>
      </c>
      <c r="C138" s="34" t="n">
        <f aca="false">IF($B138=1,LARGE(データ入力!$B$12:$B$211,$A138),0)</f>
        <v>0</v>
      </c>
      <c r="D138" s="32" t="str">
        <f aca="false">IF($B138=1,IFERROR(INDEX(データ入力!$A$12:$A$211,MATCH($C138,データ入力!$B$12:$B$211,0)),""),"")</f>
        <v/>
      </c>
      <c r="E138" s="35" t="n">
        <f aca="false">IF($B138=1,1-$A138/(データ入力!$B$8+1),0)</f>
        <v>0</v>
      </c>
      <c r="F138" s="36" t="str">
        <f aca="false">IF($B138=1,(データ入力!$B$8+1)/$A138,"")</f>
        <v/>
      </c>
      <c r="G138" s="37" t="n">
        <f aca="false">IF($B138=1,-LN(-LN($E138)),0)</f>
        <v>0</v>
      </c>
      <c r="H138" s="37" t="n">
        <f aca="false">IF($B138=1,LN(-LN($E138)),0)</f>
        <v>0</v>
      </c>
      <c r="I138" s="36" t="str">
        <f aca="false">IF($B138=1,IFERROR($C138-($N$10+$N$9*$G138),""),"")</f>
        <v/>
      </c>
      <c r="J138" s="36" t="str">
        <f aca="false">IF($B138=1,IFERROR($C138-($N$21-$N$26*EXP(-$G138/$N$24)),""),"")</f>
        <v/>
      </c>
      <c r="T138" s="38" t="n">
        <f aca="false">IFERROR($R$6+($A138-1)*$R$5,"")</f>
        <v>104.95</v>
      </c>
      <c r="U138" s="38" t="n">
        <f aca="false">IFERROR(SUMPRODUCT($B$7:$B$206,LN($T138-$C$7:$C$206)),"")</f>
        <v>318.424561217122</v>
      </c>
      <c r="V138" s="38" t="n">
        <f aca="false">IFERROR(SUMPRODUCT($B$7:$B$206,LN($T138-$C$7:$C$206),LN($T138-$C$7:$C$206)),"")</f>
        <v>1351.95750853</v>
      </c>
      <c r="W138" s="38" t="n">
        <f aca="false">IFERROR(SUMPRODUCT($B$7:$B$206,LN($T138-$C$7:$C$206),$H$7:$H$206),"")</f>
        <v>-175.091636322152</v>
      </c>
      <c r="X138" s="39" t="n">
        <f aca="false">IFERROR((データ入力!$B$8*W138-U138*$N$22)/SQRT((データ入力!$B$8*V138-U138^2)*(データ入力!$B$8*$N$23-$N$22^2)),-1)</f>
        <v>0.996580251354866</v>
      </c>
      <c r="Z138" s="38" t="n">
        <f aca="false">IFERROR($R$10+($A138-1)*$R$9,"")</f>
        <v>59.6082914572864</v>
      </c>
      <c r="AA138" s="38" t="n">
        <f aca="false">IFERROR(SUMPRODUCT($B$7:$B$206,LN($Z138-$C$7:$C$206)),"")</f>
        <v>239.683771331583</v>
      </c>
      <c r="AB138" s="38" t="n">
        <f aca="false">IFERROR(SUMPRODUCT($B$7:$B$206,LN($Z138-$C$7:$C$206),LN($Z138-$C$7:$C$206)),"")</f>
        <v>766.270508248829</v>
      </c>
      <c r="AC138" s="38" t="n">
        <f aca="false">IFERROR(SUMPRODUCT($B$7:$B$206,LN($Z138-$C$7:$C$206),$H$7:$H$206),"")</f>
        <v>-127.675677978509</v>
      </c>
      <c r="AD138" s="39" t="n">
        <f aca="false">IFERROR((データ入力!$B$8*AC138-AA138*$N$22)/SQRT((データ入力!$B$8*AB138-AA138^2)*(データ入力!$B$8*$N$23-$N$22^2)),-1)</f>
        <v>0.9970270348769</v>
      </c>
    </row>
    <row r="139" customFormat="false" ht="15" hidden="false" customHeight="false" outlineLevel="0" collapsed="false">
      <c r="A139" s="32" t="n">
        <v>133</v>
      </c>
      <c r="B139" s="33" t="n">
        <f aca="false">IF($A139&lt;=データ入力!$B$8,1,0)</f>
        <v>0</v>
      </c>
      <c r="C139" s="34" t="n">
        <f aca="false">IF($B139=1,LARGE(データ入力!$B$12:$B$211,$A139),0)</f>
        <v>0</v>
      </c>
      <c r="D139" s="32" t="str">
        <f aca="false">IF($B139=1,IFERROR(INDEX(データ入力!$A$12:$A$211,MATCH($C139,データ入力!$B$12:$B$211,0)),""),"")</f>
        <v/>
      </c>
      <c r="E139" s="35" t="n">
        <f aca="false">IF($B139=1,1-$A139/(データ入力!$B$8+1),0)</f>
        <v>0</v>
      </c>
      <c r="F139" s="36" t="str">
        <f aca="false">IF($B139=1,(データ入力!$B$8+1)/$A139,"")</f>
        <v/>
      </c>
      <c r="G139" s="37" t="n">
        <f aca="false">IF($B139=1,-LN(-LN($E139)),0)</f>
        <v>0</v>
      </c>
      <c r="H139" s="37" t="n">
        <f aca="false">IF($B139=1,LN(-LN($E139)),0)</f>
        <v>0</v>
      </c>
      <c r="I139" s="36" t="str">
        <f aca="false">IF($B139=1,IFERROR($C139-($N$10+$N$9*$G139),""),"")</f>
        <v/>
      </c>
      <c r="J139" s="36" t="str">
        <f aca="false">IF($B139=1,IFERROR($C139-($N$21-$N$26*EXP(-$G139/$N$24)),""),"")</f>
        <v/>
      </c>
      <c r="T139" s="38" t="n">
        <f aca="false">IFERROR($R$6+($A139-1)*$R$5,"")</f>
        <v>105.45</v>
      </c>
      <c r="U139" s="38" t="n">
        <f aca="false">IFERROR(SUMPRODUCT($B$7:$B$206,LN($T139-$C$7:$C$206)),"")</f>
        <v>318.960004669659</v>
      </c>
      <c r="V139" s="38" t="n">
        <f aca="false">IFERROR(SUMPRODUCT($B$7:$B$206,LN($T139-$C$7:$C$206),LN($T139-$C$7:$C$206)),"")</f>
        <v>1356.50745643264</v>
      </c>
      <c r="W139" s="38" t="n">
        <f aca="false">IFERROR(SUMPRODUCT($B$7:$B$206,LN($T139-$C$7:$C$206),$H$7:$H$206),"")</f>
        <v>-175.403020927631</v>
      </c>
      <c r="X139" s="39" t="n">
        <f aca="false">IFERROR((データ入力!$B$8*W139-U139*$N$22)/SQRT((データ入力!$B$8*V139-U139^2)*(データ入力!$B$8*$N$23-$N$22^2)),-1)</f>
        <v>0.996576947260148</v>
      </c>
      <c r="Z139" s="38" t="n">
        <f aca="false">IFERROR($R$10+($A139-1)*$R$9,"")</f>
        <v>59.6133165829146</v>
      </c>
      <c r="AA139" s="38" t="n">
        <f aca="false">IFERROR(SUMPRODUCT($B$7:$B$206,LN($Z139-$C$7:$C$206)),"")</f>
        <v>239.699227962968</v>
      </c>
      <c r="AB139" s="38" t="n">
        <f aca="false">IFERROR(SUMPRODUCT($B$7:$B$206,LN($Z139-$C$7:$C$206),LN($Z139-$C$7:$C$206)),"")</f>
        <v>766.369179698249</v>
      </c>
      <c r="AC139" s="38" t="n">
        <f aca="false">IFERROR(SUMPRODUCT($B$7:$B$206,LN($Z139-$C$7:$C$206),$H$7:$H$206),"")</f>
        <v>-127.685445336082</v>
      </c>
      <c r="AD139" s="39" t="n">
        <f aca="false">IFERROR((データ入力!$B$8*AC139-AA139*$N$22)/SQRT((データ入力!$B$8*AB139-AA139^2)*(データ入力!$B$8*$N$23-$N$22^2)),-1)</f>
        <v>0.997027032220436</v>
      </c>
    </row>
    <row r="140" customFormat="false" ht="15" hidden="false" customHeight="false" outlineLevel="0" collapsed="false">
      <c r="A140" s="32" t="n">
        <v>134</v>
      </c>
      <c r="B140" s="33" t="n">
        <f aca="false">IF($A140&lt;=データ入力!$B$8,1,0)</f>
        <v>0</v>
      </c>
      <c r="C140" s="34" t="n">
        <f aca="false">IF($B140=1,LARGE(データ入力!$B$12:$B$211,$A140),0)</f>
        <v>0</v>
      </c>
      <c r="D140" s="32" t="str">
        <f aca="false">IF($B140=1,IFERROR(INDEX(データ入力!$A$12:$A$211,MATCH($C140,データ入力!$B$12:$B$211,0)),""),"")</f>
        <v/>
      </c>
      <c r="E140" s="35" t="n">
        <f aca="false">IF($B140=1,1-$A140/(データ入力!$B$8+1),0)</f>
        <v>0</v>
      </c>
      <c r="F140" s="36" t="str">
        <f aca="false">IF($B140=1,(データ入力!$B$8+1)/$A140,"")</f>
        <v/>
      </c>
      <c r="G140" s="37" t="n">
        <f aca="false">IF($B140=1,-LN(-LN($E140)),0)</f>
        <v>0</v>
      </c>
      <c r="H140" s="37" t="n">
        <f aca="false">IF($B140=1,LN(-LN($E140)),0)</f>
        <v>0</v>
      </c>
      <c r="I140" s="36" t="str">
        <f aca="false">IF($B140=1,IFERROR($C140-($N$10+$N$9*$G140),""),"")</f>
        <v/>
      </c>
      <c r="J140" s="36" t="str">
        <f aca="false">IF($B140=1,IFERROR($C140-($N$21-$N$26*EXP(-$G140/$N$24)),""),"")</f>
        <v/>
      </c>
      <c r="T140" s="38" t="n">
        <f aca="false">IFERROR($R$6+($A140-1)*$R$5,"")</f>
        <v>105.95</v>
      </c>
      <c r="U140" s="38" t="n">
        <f aca="false">IFERROR(SUMPRODUCT($B$7:$B$206,LN($T140-$C$7:$C$206)),"")</f>
        <v>319.491650790438</v>
      </c>
      <c r="V140" s="38" t="n">
        <f aca="false">IFERROR(SUMPRODUCT($B$7:$B$206,LN($T140-$C$7:$C$206),LN($T140-$C$7:$C$206)),"")</f>
        <v>1361.03270762857</v>
      </c>
      <c r="W140" s="38" t="n">
        <f aca="false">IFERROR(SUMPRODUCT($B$7:$B$206,LN($T140-$C$7:$C$206),$H$7:$H$206),"")</f>
        <v>-175.712098969423</v>
      </c>
      <c r="X140" s="39" t="n">
        <f aca="false">IFERROR((データ入力!$B$8*W140-U140*$N$22)/SQRT((データ入力!$B$8*V140-U140^2)*(データ入力!$B$8*$N$23-$N$22^2)),-1)</f>
        <v>0.996573678599818</v>
      </c>
      <c r="Z140" s="38" t="n">
        <f aca="false">IFERROR($R$10+($A140-1)*$R$9,"")</f>
        <v>59.6183417085427</v>
      </c>
      <c r="AA140" s="38" t="n">
        <f aca="false">IFERROR(SUMPRODUCT($B$7:$B$206,LN($Z140-$C$7:$C$206)),"")</f>
        <v>239.714681396473</v>
      </c>
      <c r="AB140" s="38" t="n">
        <f aca="false">IFERROR(SUMPRODUCT($B$7:$B$206,LN($Z140-$C$7:$C$206),LN($Z140-$C$7:$C$206)),"")</f>
        <v>766.467837155187</v>
      </c>
      <c r="AC140" s="38" t="n">
        <f aca="false">IFERROR(SUMPRODUCT($B$7:$B$206,LN($Z140-$C$7:$C$206),$H$7:$H$206),"")</f>
        <v>-127.695210417348</v>
      </c>
      <c r="AD140" s="39" t="n">
        <f aca="false">IFERROR((データ入力!$B$8*AC140-AA140*$N$22)/SQRT((データ入力!$B$8*AB140-AA140^2)*(データ入力!$B$8*$N$23-$N$22^2)),-1)</f>
        <v>0.997027029471938</v>
      </c>
    </row>
    <row r="141" customFormat="false" ht="15" hidden="false" customHeight="false" outlineLevel="0" collapsed="false">
      <c r="A141" s="32" t="n">
        <v>135</v>
      </c>
      <c r="B141" s="33" t="n">
        <f aca="false">IF($A141&lt;=データ入力!$B$8,1,0)</f>
        <v>0</v>
      </c>
      <c r="C141" s="34" t="n">
        <f aca="false">IF($B141=1,LARGE(データ入力!$B$12:$B$211,$A141),0)</f>
        <v>0</v>
      </c>
      <c r="D141" s="32" t="str">
        <f aca="false">IF($B141=1,IFERROR(INDEX(データ入力!$A$12:$A$211,MATCH($C141,データ入力!$B$12:$B$211,0)),""),"")</f>
        <v/>
      </c>
      <c r="E141" s="35" t="n">
        <f aca="false">IF($B141=1,1-$A141/(データ入力!$B$8+1),0)</f>
        <v>0</v>
      </c>
      <c r="F141" s="36" t="str">
        <f aca="false">IF($B141=1,(データ入力!$B$8+1)/$A141,"")</f>
        <v/>
      </c>
      <c r="G141" s="37" t="n">
        <f aca="false">IF($B141=1,-LN(-LN($E141)),0)</f>
        <v>0</v>
      </c>
      <c r="H141" s="37" t="n">
        <f aca="false">IF($B141=1,LN(-LN($E141)),0)</f>
        <v>0</v>
      </c>
      <c r="I141" s="36" t="str">
        <f aca="false">IF($B141=1,IFERROR($C141-($N$10+$N$9*$G141),""),"")</f>
        <v/>
      </c>
      <c r="J141" s="36" t="str">
        <f aca="false">IF($B141=1,IFERROR($C141-($N$21-$N$26*EXP(-$G141/$N$24)),""),"")</f>
        <v/>
      </c>
      <c r="T141" s="38" t="n">
        <f aca="false">IFERROR($R$6+($A141-1)*$R$5,"")</f>
        <v>106.45</v>
      </c>
      <c r="U141" s="38" t="n">
        <f aca="false">IFERROR(SUMPRODUCT($B$7:$B$206,LN($T141-$C$7:$C$206)),"")</f>
        <v>320.01955308595</v>
      </c>
      <c r="V141" s="38" t="n">
        <f aca="false">IFERROR(SUMPRODUCT($B$7:$B$206,LN($T141-$C$7:$C$206),LN($T141-$C$7:$C$206)),"")</f>
        <v>1365.53355692924</v>
      </c>
      <c r="W141" s="38" t="n">
        <f aca="false">IFERROR(SUMPRODUCT($B$7:$B$206,LN($T141-$C$7:$C$206),$H$7:$H$206),"")</f>
        <v>-176.018904343878</v>
      </c>
      <c r="X141" s="39" t="n">
        <f aca="false">IFERROR((データ入力!$B$8*W141-U141*$N$22)/SQRT((データ入力!$B$8*V141-U141^2)*(データ入力!$B$8*$N$23-$N$22^2)),-1)</f>
        <v>0.996570444847699</v>
      </c>
      <c r="Z141" s="38" t="n">
        <f aca="false">IFERROR($R$10+($A141-1)*$R$9,"")</f>
        <v>59.6233668341709</v>
      </c>
      <c r="AA141" s="38" t="n">
        <f aca="false">IFERROR(SUMPRODUCT($B$7:$B$206,LN($Z141-$C$7:$C$206)),"")</f>
        <v>239.730131633427</v>
      </c>
      <c r="AB141" s="38" t="n">
        <f aca="false">IFERROR(SUMPRODUCT($B$7:$B$206,LN($Z141-$C$7:$C$206),LN($Z141-$C$7:$C$206)),"")</f>
        <v>766.566480624118</v>
      </c>
      <c r="AC141" s="38" t="n">
        <f aca="false">IFERROR(SUMPRODUCT($B$7:$B$206,LN($Z141-$C$7:$C$206),$H$7:$H$206),"")</f>
        <v>-127.704973223363</v>
      </c>
      <c r="AD141" s="39" t="n">
        <f aca="false">IFERROR((データ入力!$B$8*AC141-AA141*$N$22)/SQRT((データ入力!$B$8*AB141-AA141^2)*(データ入力!$B$8*$N$23-$N$22^2)),-1)</f>
        <v>0.997027026630937</v>
      </c>
    </row>
    <row r="142" customFormat="false" ht="15" hidden="false" customHeight="false" outlineLevel="0" collapsed="false">
      <c r="A142" s="32" t="n">
        <v>136</v>
      </c>
      <c r="B142" s="33" t="n">
        <f aca="false">IF($A142&lt;=データ入力!$B$8,1,0)</f>
        <v>0</v>
      </c>
      <c r="C142" s="34" t="n">
        <f aca="false">IF($B142=1,LARGE(データ入力!$B$12:$B$211,$A142),0)</f>
        <v>0</v>
      </c>
      <c r="D142" s="32" t="str">
        <f aca="false">IF($B142=1,IFERROR(INDEX(データ入力!$A$12:$A$211,MATCH($C142,データ入力!$B$12:$B$211,0)),""),"")</f>
        <v/>
      </c>
      <c r="E142" s="35" t="n">
        <f aca="false">IF($B142=1,1-$A142/(データ入力!$B$8+1),0)</f>
        <v>0</v>
      </c>
      <c r="F142" s="36" t="str">
        <f aca="false">IF($B142=1,(データ入力!$B$8+1)/$A142,"")</f>
        <v/>
      </c>
      <c r="G142" s="37" t="n">
        <f aca="false">IF($B142=1,-LN(-LN($E142)),0)</f>
        <v>0</v>
      </c>
      <c r="H142" s="37" t="n">
        <f aca="false">IF($B142=1,LN(-LN($E142)),0)</f>
        <v>0</v>
      </c>
      <c r="I142" s="36" t="str">
        <f aca="false">IF($B142=1,IFERROR($C142-($N$10+$N$9*$G142),""),"")</f>
        <v/>
      </c>
      <c r="J142" s="36" t="str">
        <f aca="false">IF($B142=1,IFERROR($C142-($N$21-$N$26*EXP(-$G142/$N$24)),""),"")</f>
        <v/>
      </c>
      <c r="T142" s="38" t="n">
        <f aca="false">IFERROR($R$6+($A142-1)*$R$5,"")</f>
        <v>106.95</v>
      </c>
      <c r="U142" s="38" t="n">
        <f aca="false">IFERROR(SUMPRODUCT($B$7:$B$206,LN($T142-$C$7:$C$206)),"")</f>
        <v>320.54376393917</v>
      </c>
      <c r="V142" s="38" t="n">
        <f aca="false">IFERROR(SUMPRODUCT($B$7:$B$206,LN($T142-$C$7:$C$206),LN($T142-$C$7:$C$206)),"")</f>
        <v>1370.01029369791</v>
      </c>
      <c r="W142" s="38" t="n">
        <f aca="false">IFERROR(SUMPRODUCT($B$7:$B$206,LN($T142-$C$7:$C$206),$H$7:$H$206),"")</f>
        <v>-176.32347020606</v>
      </c>
      <c r="X142" s="39" t="n">
        <f aca="false">IFERROR((データ入力!$B$8*W142-U142*$N$22)/SQRT((データ入力!$B$8*V142-U142^2)*(データ入力!$B$8*$N$23-$N$22^2)),-1)</f>
        <v>0.996567245524353</v>
      </c>
      <c r="Z142" s="38" t="n">
        <f aca="false">IFERROR($R$10+($A142-1)*$R$9,"")</f>
        <v>59.628391959799</v>
      </c>
      <c r="AA142" s="38" t="n">
        <f aca="false">IFERROR(SUMPRODUCT($B$7:$B$206,LN($Z142-$C$7:$C$206)),"")</f>
        <v>239.745578675158</v>
      </c>
      <c r="AB142" s="38" t="n">
        <f aca="false">IFERROR(SUMPRODUCT($B$7:$B$206,LN($Z142-$C$7:$C$206),LN($Z142-$C$7:$C$206)),"")</f>
        <v>766.665110109513</v>
      </c>
      <c r="AC142" s="38" t="n">
        <f aca="false">IFERROR(SUMPRODUCT($B$7:$B$206,LN($Z142-$C$7:$C$206),$H$7:$H$206),"")</f>
        <v>-127.714733755184</v>
      </c>
      <c r="AD142" s="39" t="n">
        <f aca="false">IFERROR((データ入力!$B$8*AC142-AA142*$N$22)/SQRT((データ入力!$B$8*AB142-AA142^2)*(データ入力!$B$8*$N$23-$N$22^2)),-1)</f>
        <v>0.997027023698233</v>
      </c>
    </row>
    <row r="143" customFormat="false" ht="15" hidden="false" customHeight="false" outlineLevel="0" collapsed="false">
      <c r="A143" s="32" t="n">
        <v>137</v>
      </c>
      <c r="B143" s="33" t="n">
        <f aca="false">IF($A143&lt;=データ入力!$B$8,1,0)</f>
        <v>0</v>
      </c>
      <c r="C143" s="34" t="n">
        <f aca="false">IF($B143=1,LARGE(データ入力!$B$12:$B$211,$A143),0)</f>
        <v>0</v>
      </c>
      <c r="D143" s="32" t="str">
        <f aca="false">IF($B143=1,IFERROR(INDEX(データ入力!$A$12:$A$211,MATCH($C143,データ入力!$B$12:$B$211,0)),""),"")</f>
        <v/>
      </c>
      <c r="E143" s="35" t="n">
        <f aca="false">IF($B143=1,1-$A143/(データ入力!$B$8+1),0)</f>
        <v>0</v>
      </c>
      <c r="F143" s="36" t="str">
        <f aca="false">IF($B143=1,(データ入力!$B$8+1)/$A143,"")</f>
        <v/>
      </c>
      <c r="G143" s="37" t="n">
        <f aca="false">IF($B143=1,-LN(-LN($E143)),0)</f>
        <v>0</v>
      </c>
      <c r="H143" s="37" t="n">
        <f aca="false">IF($B143=1,LN(-LN($E143)),0)</f>
        <v>0</v>
      </c>
      <c r="I143" s="36" t="str">
        <f aca="false">IF($B143=1,IFERROR($C143-($N$10+$N$9*$G143),""),"")</f>
        <v/>
      </c>
      <c r="J143" s="36" t="str">
        <f aca="false">IF($B143=1,IFERROR($C143-($N$21-$N$26*EXP(-$G143/$N$24)),""),"")</f>
        <v/>
      </c>
      <c r="T143" s="38" t="n">
        <f aca="false">IFERROR($R$6+($A143-1)*$R$5,"")</f>
        <v>107.45</v>
      </c>
      <c r="U143" s="38" t="n">
        <f aca="false">IFERROR(SUMPRODUCT($B$7:$B$206,LN($T143-$C$7:$C$206)),"")</f>
        <v>321.064334640811</v>
      </c>
      <c r="V143" s="38" t="n">
        <f aca="false">IFERROR(SUMPRODUCT($B$7:$B$206,LN($T143-$C$7:$C$206),LN($T143-$C$7:$C$206)),"")</f>
        <v>1374.46320198577</v>
      </c>
      <c r="W143" s="38" t="n">
        <f aca="false">IFERROR(SUMPRODUCT($B$7:$B$206,LN($T143-$C$7:$C$206),$H$7:$H$206),"")</f>
        <v>-176.625828991196</v>
      </c>
      <c r="X143" s="39" t="n">
        <f aca="false">IFERROR((データ入力!$B$8*W143-U143*$N$22)/SQRT((データ入力!$B$8*V143-U143^2)*(データ入力!$B$8*$N$23-$N$22^2)),-1)</f>
        <v>0.996564080137151</v>
      </c>
      <c r="Z143" s="38" t="n">
        <f aca="false">IFERROR($R$10+($A143-1)*$R$9,"")</f>
        <v>59.6334170854271</v>
      </c>
      <c r="AA143" s="38" t="n">
        <f aca="false">IFERROR(SUMPRODUCT($B$7:$B$206,LN($Z143-$C$7:$C$206)),"")</f>
        <v>239.761022522993</v>
      </c>
      <c r="AB143" s="38" t="n">
        <f aca="false">IFERROR(SUMPRODUCT($B$7:$B$206,LN($Z143-$C$7:$C$206),LN($Z143-$C$7:$C$206)),"")</f>
        <v>766.763725615842</v>
      </c>
      <c r="AC143" s="38" t="n">
        <f aca="false">IFERROR(SUMPRODUCT($B$7:$B$206,LN($Z143-$C$7:$C$206),$H$7:$H$206),"")</f>
        <v>-127.724492013867</v>
      </c>
      <c r="AD143" s="39" t="n">
        <f aca="false">IFERROR((データ入力!$B$8*AC143-AA143*$N$22)/SQRT((データ入力!$B$8*AB143-AA143^2)*(データ入力!$B$8*$N$23-$N$22^2)),-1)</f>
        <v>0.997027020672923</v>
      </c>
    </row>
    <row r="144" customFormat="false" ht="15" hidden="false" customHeight="false" outlineLevel="0" collapsed="false">
      <c r="A144" s="32" t="n">
        <v>138</v>
      </c>
      <c r="B144" s="33" t="n">
        <f aca="false">IF($A144&lt;=データ入力!$B$8,1,0)</f>
        <v>0</v>
      </c>
      <c r="C144" s="34" t="n">
        <f aca="false">IF($B144=1,LARGE(データ入力!$B$12:$B$211,$A144),0)</f>
        <v>0</v>
      </c>
      <c r="D144" s="32" t="str">
        <f aca="false">IF($B144=1,IFERROR(INDEX(データ入力!$A$12:$A$211,MATCH($C144,データ入力!$B$12:$B$211,0)),""),"")</f>
        <v/>
      </c>
      <c r="E144" s="35" t="n">
        <f aca="false">IF($B144=1,1-$A144/(データ入力!$B$8+1),0)</f>
        <v>0</v>
      </c>
      <c r="F144" s="36" t="str">
        <f aca="false">IF($B144=1,(データ入力!$B$8+1)/$A144,"")</f>
        <v/>
      </c>
      <c r="G144" s="37" t="n">
        <f aca="false">IF($B144=1,-LN(-LN($E144)),0)</f>
        <v>0</v>
      </c>
      <c r="H144" s="37" t="n">
        <f aca="false">IF($B144=1,LN(-LN($E144)),0)</f>
        <v>0</v>
      </c>
      <c r="I144" s="36" t="str">
        <f aca="false">IF($B144=1,IFERROR($C144-($N$10+$N$9*$G144),""),"")</f>
        <v/>
      </c>
      <c r="J144" s="36" t="str">
        <f aca="false">IF($B144=1,IFERROR($C144-($N$21-$N$26*EXP(-$G144/$N$24)),""),"")</f>
        <v/>
      </c>
      <c r="T144" s="38" t="n">
        <f aca="false">IFERROR($R$6+($A144-1)*$R$5,"")</f>
        <v>107.95</v>
      </c>
      <c r="U144" s="38" t="n">
        <f aca="false">IFERROR(SUMPRODUCT($B$7:$B$206,LN($T144-$C$7:$C$206)),"")</f>
        <v>321.581315419492</v>
      </c>
      <c r="V144" s="38" t="n">
        <f aca="false">IFERROR(SUMPRODUCT($B$7:$B$206,LN($T144-$C$7:$C$206),LN($T144-$C$7:$C$206)),"")</f>
        <v>1378.89256066372</v>
      </c>
      <c r="W144" s="38" t="n">
        <f aca="false">IFERROR(SUMPRODUCT($B$7:$B$206,LN($T144-$C$7:$C$206),$H$7:$H$206),"")</f>
        <v>-176.926012435351</v>
      </c>
      <c r="X144" s="39" t="n">
        <f aca="false">IFERROR((データ入力!$B$8*W144-U144*$N$22)/SQRT((データ入力!$B$8*V144-U144^2)*(データ入力!$B$8*$N$23-$N$22^2)),-1)</f>
        <v>0.996560948197878</v>
      </c>
      <c r="Z144" s="38" t="n">
        <f aca="false">IFERROR($R$10+($A144-1)*$R$9,"")</f>
        <v>59.6384422110553</v>
      </c>
      <c r="AA144" s="38" t="n">
        <f aca="false">IFERROR(SUMPRODUCT($B$7:$B$206,LN($Z144-$C$7:$C$206)),"")</f>
        <v>239.776463178258</v>
      </c>
      <c r="AB144" s="38" t="n">
        <f aca="false">IFERROR(SUMPRODUCT($B$7:$B$206,LN($Z144-$C$7:$C$206),LN($Z144-$C$7:$C$206)),"")</f>
        <v>766.86232714757</v>
      </c>
      <c r="AC144" s="38" t="n">
        <f aca="false">IFERROR(SUMPRODUCT($B$7:$B$206,LN($Z144-$C$7:$C$206),$H$7:$H$206),"")</f>
        <v>-127.734248000466</v>
      </c>
      <c r="AD144" s="39" t="n">
        <f aca="false">IFERROR((データ入力!$B$8*AC144-AA144*$N$22)/SQRT((データ入力!$B$8*AB144-AA144^2)*(データ入力!$B$8*$N$23-$N$22^2)),-1)</f>
        <v>0.9970270175564</v>
      </c>
    </row>
    <row r="145" customFormat="false" ht="15" hidden="false" customHeight="false" outlineLevel="0" collapsed="false">
      <c r="A145" s="32" t="n">
        <v>139</v>
      </c>
      <c r="B145" s="33" t="n">
        <f aca="false">IF($A145&lt;=データ入力!$B$8,1,0)</f>
        <v>0</v>
      </c>
      <c r="C145" s="34" t="n">
        <f aca="false">IF($B145=1,LARGE(データ入力!$B$12:$B$211,$A145),0)</f>
        <v>0</v>
      </c>
      <c r="D145" s="32" t="str">
        <f aca="false">IF($B145=1,IFERROR(INDEX(データ入力!$A$12:$A$211,MATCH($C145,データ入力!$B$12:$B$211,0)),""),"")</f>
        <v/>
      </c>
      <c r="E145" s="35" t="n">
        <f aca="false">IF($B145=1,1-$A145/(データ入力!$B$8+1),0)</f>
        <v>0</v>
      </c>
      <c r="F145" s="36" t="str">
        <f aca="false">IF($B145=1,(データ入力!$B$8+1)/$A145,"")</f>
        <v/>
      </c>
      <c r="G145" s="37" t="n">
        <f aca="false">IF($B145=1,-LN(-LN($E145)),0)</f>
        <v>0</v>
      </c>
      <c r="H145" s="37" t="n">
        <f aca="false">IF($B145=1,LN(-LN($E145)),0)</f>
        <v>0</v>
      </c>
      <c r="I145" s="36" t="str">
        <f aca="false">IF($B145=1,IFERROR($C145-($N$10+$N$9*$G145),""),"")</f>
        <v/>
      </c>
      <c r="J145" s="36" t="str">
        <f aca="false">IF($B145=1,IFERROR($C145-($N$21-$N$26*EXP(-$G145/$N$24)),""),"")</f>
        <v/>
      </c>
      <c r="T145" s="38" t="n">
        <f aca="false">IFERROR($R$6+($A145-1)*$R$5,"")</f>
        <v>108.45</v>
      </c>
      <c r="U145" s="38" t="n">
        <f aca="false">IFERROR(SUMPRODUCT($B$7:$B$206,LN($T145-$C$7:$C$206)),"")</f>
        <v>322.094755470876</v>
      </c>
      <c r="V145" s="38" t="n">
        <f aca="false">IFERROR(SUMPRODUCT($B$7:$B$206,LN($T145-$C$7:$C$206),LN($T145-$C$7:$C$206)),"")</f>
        <v>1383.29864355013</v>
      </c>
      <c r="W145" s="38" t="n">
        <f aca="false">IFERROR(SUMPRODUCT($B$7:$B$206,LN($T145-$C$7:$C$206),$H$7:$H$206),"")</f>
        <v>-177.224051595371</v>
      </c>
      <c r="X145" s="39" t="n">
        <f aca="false">IFERROR((データ入力!$B$8*W145-U145*$N$22)/SQRT((データ入力!$B$8*V145-U145^2)*(データ入力!$B$8*$N$23-$N$22^2)),-1)</f>
        <v>0.996557849231534</v>
      </c>
      <c r="Z145" s="38" t="n">
        <f aca="false">IFERROR($R$10+($A145-1)*$R$9,"")</f>
        <v>59.6434673366834</v>
      </c>
      <c r="AA145" s="38" t="n">
        <f aca="false">IFERROR(SUMPRODUCT($B$7:$B$206,LN($Z145-$C$7:$C$206)),"")</f>
        <v>239.791900642279</v>
      </c>
      <c r="AB145" s="38" t="n">
        <f aca="false">IFERROR(SUMPRODUCT($B$7:$B$206,LN($Z145-$C$7:$C$206),LN($Z145-$C$7:$C$206)),"")</f>
        <v>766.960914709163</v>
      </c>
      <c r="AC145" s="38" t="n">
        <f aca="false">IFERROR(SUMPRODUCT($B$7:$B$206,LN($Z145-$C$7:$C$206),$H$7:$H$206),"")</f>
        <v>-127.744001716037</v>
      </c>
      <c r="AD145" s="39" t="n">
        <f aca="false">IFERROR((データ入力!$B$8*AC145-AA145*$N$22)/SQRT((データ入力!$B$8*AB145-AA145^2)*(データ入力!$B$8*$N$23-$N$22^2)),-1)</f>
        <v>0.997027014348003</v>
      </c>
    </row>
    <row r="146" customFormat="false" ht="15" hidden="false" customHeight="false" outlineLevel="0" collapsed="false">
      <c r="A146" s="32" t="n">
        <v>140</v>
      </c>
      <c r="B146" s="33" t="n">
        <f aca="false">IF($A146&lt;=データ入力!$B$8,1,0)</f>
        <v>0</v>
      </c>
      <c r="C146" s="34" t="n">
        <f aca="false">IF($B146=1,LARGE(データ入力!$B$12:$B$211,$A146),0)</f>
        <v>0</v>
      </c>
      <c r="D146" s="32" t="str">
        <f aca="false">IF($B146=1,IFERROR(INDEX(データ入力!$A$12:$A$211,MATCH($C146,データ入力!$B$12:$B$211,0)),""),"")</f>
        <v/>
      </c>
      <c r="E146" s="35" t="n">
        <f aca="false">IF($B146=1,1-$A146/(データ入力!$B$8+1),0)</f>
        <v>0</v>
      </c>
      <c r="F146" s="36" t="str">
        <f aca="false">IF($B146=1,(データ入力!$B$8+1)/$A146,"")</f>
        <v/>
      </c>
      <c r="G146" s="37" t="n">
        <f aca="false">IF($B146=1,-LN(-LN($E146)),0)</f>
        <v>0</v>
      </c>
      <c r="H146" s="37" t="n">
        <f aca="false">IF($B146=1,LN(-LN($E146)),0)</f>
        <v>0</v>
      </c>
      <c r="I146" s="36" t="str">
        <f aca="false">IF($B146=1,IFERROR($C146-($N$10+$N$9*$G146),""),"")</f>
        <v/>
      </c>
      <c r="J146" s="36" t="str">
        <f aca="false">IF($B146=1,IFERROR($C146-($N$21-$N$26*EXP(-$G146/$N$24)),""),"")</f>
        <v/>
      </c>
      <c r="T146" s="38" t="n">
        <f aca="false">IFERROR($R$6+($A146-1)*$R$5,"")</f>
        <v>108.95</v>
      </c>
      <c r="U146" s="38" t="n">
        <f aca="false">IFERROR(SUMPRODUCT($B$7:$B$206,LN($T146-$C$7:$C$206)),"")</f>
        <v>322.604702985814</v>
      </c>
      <c r="V146" s="38" t="n">
        <f aca="false">IFERROR(SUMPRODUCT($B$7:$B$206,LN($T146-$C$7:$C$206),LN($T146-$C$7:$C$206)),"")</f>
        <v>1387.68171953457</v>
      </c>
      <c r="W146" s="38" t="n">
        <f aca="false">IFERROR(SUMPRODUCT($B$7:$B$206,LN($T146-$C$7:$C$206),$H$7:$H$206),"")</f>
        <v>-177.519976868115</v>
      </c>
      <c r="X146" s="39" t="n">
        <f aca="false">IFERROR((データ入力!$B$8*W146-U146*$N$22)/SQRT((データ入力!$B$8*V146-U146^2)*(データ入力!$B$8*$N$23-$N$22^2)),-1)</f>
        <v>0.996554782775796</v>
      </c>
      <c r="Z146" s="38" t="n">
        <f aca="false">IFERROR($R$10+($A146-1)*$R$9,"")</f>
        <v>59.6484924623116</v>
      </c>
      <c r="AA146" s="38" t="n">
        <f aca="false">IFERROR(SUMPRODUCT($B$7:$B$206,LN($Z146-$C$7:$C$206)),"")</f>
        <v>239.80733491638</v>
      </c>
      <c r="AB146" s="38" t="n">
        <f aca="false">IFERROR(SUMPRODUCT($B$7:$B$206,LN($Z146-$C$7:$C$206),LN($Z146-$C$7:$C$206)),"")</f>
        <v>767.059488305083</v>
      </c>
      <c r="AC146" s="38" t="n">
        <f aca="false">IFERROR(SUMPRODUCT($B$7:$B$206,LN($Z146-$C$7:$C$206),$H$7:$H$206),"")</f>
        <v>-127.753753161633</v>
      </c>
      <c r="AD146" s="39" t="n">
        <f aca="false">IFERROR((データ入力!$B$8*AC146-AA146*$N$22)/SQRT((データ入力!$B$8*AB146-AA146^2)*(データ入力!$B$8*$N$23-$N$22^2)),-1)</f>
        <v>0.997027011047874</v>
      </c>
    </row>
    <row r="147" customFormat="false" ht="15" hidden="false" customHeight="false" outlineLevel="0" collapsed="false">
      <c r="A147" s="32" t="n">
        <v>141</v>
      </c>
      <c r="B147" s="33" t="n">
        <f aca="false">IF($A147&lt;=データ入力!$B$8,1,0)</f>
        <v>0</v>
      </c>
      <c r="C147" s="34" t="n">
        <f aca="false">IF($B147=1,LARGE(データ入力!$B$12:$B$211,$A147),0)</f>
        <v>0</v>
      </c>
      <c r="D147" s="32" t="str">
        <f aca="false">IF($B147=1,IFERROR(INDEX(データ入力!$A$12:$A$211,MATCH($C147,データ入力!$B$12:$B$211,0)),""),"")</f>
        <v/>
      </c>
      <c r="E147" s="35" t="n">
        <f aca="false">IF($B147=1,1-$A147/(データ入力!$B$8+1),0)</f>
        <v>0</v>
      </c>
      <c r="F147" s="36" t="str">
        <f aca="false">IF($B147=1,(データ入力!$B$8+1)/$A147,"")</f>
        <v/>
      </c>
      <c r="G147" s="37" t="n">
        <f aca="false">IF($B147=1,-LN(-LN($E147)),0)</f>
        <v>0</v>
      </c>
      <c r="H147" s="37" t="n">
        <f aca="false">IF($B147=1,LN(-LN($E147)),0)</f>
        <v>0</v>
      </c>
      <c r="I147" s="36" t="str">
        <f aca="false">IF($B147=1,IFERROR($C147-($N$10+$N$9*$G147),""),"")</f>
        <v/>
      </c>
      <c r="J147" s="36" t="str">
        <f aca="false">IF($B147=1,IFERROR($C147-($N$21-$N$26*EXP(-$G147/$N$24)),""),"")</f>
        <v/>
      </c>
      <c r="T147" s="38" t="n">
        <f aca="false">IFERROR($R$6+($A147-1)*$R$5,"")</f>
        <v>109.45</v>
      </c>
      <c r="U147" s="38" t="n">
        <f aca="false">IFERROR(SUMPRODUCT($B$7:$B$206,LN($T147-$C$7:$C$206)),"")</f>
        <v>323.111205177535</v>
      </c>
      <c r="V147" s="38" t="n">
        <f aca="false">IFERROR(SUMPRODUCT($B$7:$B$206,LN($T147-$C$7:$C$206),LN($T147-$C$7:$C$206)),"")</f>
        <v>1392.04205269779</v>
      </c>
      <c r="W147" s="38" t="n">
        <f aca="false">IFERROR(SUMPRODUCT($B$7:$B$206,LN($T147-$C$7:$C$206),$H$7:$H$206),"")</f>
        <v>-177.813818009019</v>
      </c>
      <c r="X147" s="39" t="n">
        <f aca="false">IFERROR((データ入力!$B$8*W147-U147*$N$22)/SQRT((データ入力!$B$8*V147-U147^2)*(データ入力!$B$8*$N$23-$N$22^2)),-1)</f>
        <v>0.996551748363848</v>
      </c>
      <c r="Z147" s="38" t="n">
        <f aca="false">IFERROR($R$10+($A147-1)*$R$9,"")</f>
        <v>59.6535175879397</v>
      </c>
      <c r="AA147" s="38" t="n">
        <f aca="false">IFERROR(SUMPRODUCT($B$7:$B$206,LN($Z147-$C$7:$C$206)),"")</f>
        <v>239.822766001885</v>
      </c>
      <c r="AB147" s="38" t="n">
        <f aca="false">IFERROR(SUMPRODUCT($B$7:$B$206,LN($Z147-$C$7:$C$206),LN($Z147-$C$7:$C$206)),"")</f>
        <v>767.15804793979</v>
      </c>
      <c r="AC147" s="38" t="n">
        <f aca="false">IFERROR(SUMPRODUCT($B$7:$B$206,LN($Z147-$C$7:$C$206),$H$7:$H$206),"")</f>
        <v>-127.763502338307</v>
      </c>
      <c r="AD147" s="39" t="n">
        <f aca="false">IFERROR((データ入力!$B$8*AC147-AA147*$N$22)/SQRT((データ入力!$B$8*AB147-AA147^2)*(データ入力!$B$8*$N$23-$N$22^2)),-1)</f>
        <v>0.99702700765609</v>
      </c>
    </row>
    <row r="148" customFormat="false" ht="15" hidden="false" customHeight="false" outlineLevel="0" collapsed="false">
      <c r="A148" s="32" t="n">
        <v>142</v>
      </c>
      <c r="B148" s="33" t="n">
        <f aca="false">IF($A148&lt;=データ入力!$B$8,1,0)</f>
        <v>0</v>
      </c>
      <c r="C148" s="34" t="n">
        <f aca="false">IF($B148=1,LARGE(データ入力!$B$12:$B$211,$A148),0)</f>
        <v>0</v>
      </c>
      <c r="D148" s="32" t="str">
        <f aca="false">IF($B148=1,IFERROR(INDEX(データ入力!$A$12:$A$211,MATCH($C148,データ入力!$B$12:$B$211,0)),""),"")</f>
        <v/>
      </c>
      <c r="E148" s="35" t="n">
        <f aca="false">IF($B148=1,1-$A148/(データ入力!$B$8+1),0)</f>
        <v>0</v>
      </c>
      <c r="F148" s="36" t="str">
        <f aca="false">IF($B148=1,(データ入力!$B$8+1)/$A148,"")</f>
        <v/>
      </c>
      <c r="G148" s="37" t="n">
        <f aca="false">IF($B148=1,-LN(-LN($E148)),0)</f>
        <v>0</v>
      </c>
      <c r="H148" s="37" t="n">
        <f aca="false">IF($B148=1,LN(-LN($E148)),0)</f>
        <v>0</v>
      </c>
      <c r="I148" s="36" t="str">
        <f aca="false">IF($B148=1,IFERROR($C148-($N$10+$N$9*$G148),""),"")</f>
        <v/>
      </c>
      <c r="J148" s="36" t="str">
        <f aca="false">IF($B148=1,IFERROR($C148-($N$21-$N$26*EXP(-$G148/$N$24)),""),"")</f>
        <v/>
      </c>
      <c r="T148" s="38" t="n">
        <f aca="false">IFERROR($R$6+($A148-1)*$R$5,"")</f>
        <v>109.95</v>
      </c>
      <c r="U148" s="38" t="n">
        <f aca="false">IFERROR(SUMPRODUCT($B$7:$B$206,LN($T148-$C$7:$C$206)),"")</f>
        <v>323.614308307923</v>
      </c>
      <c r="V148" s="38" t="n">
        <f aca="false">IFERROR(SUMPRODUCT($B$7:$B$206,LN($T148-$C$7:$C$206),LN($T148-$C$7:$C$206)),"")</f>
        <v>1396.37990242792</v>
      </c>
      <c r="W148" s="38" t="n">
        <f aca="false">IFERROR(SUMPRODUCT($B$7:$B$206,LN($T148-$C$7:$C$206),$H$7:$H$206),"")</f>
        <v>-178.105604150003</v>
      </c>
      <c r="X148" s="39" t="n">
        <f aca="false">IFERROR((データ入力!$B$8*W148-U148*$N$22)/SQRT((データ入力!$B$8*V148-U148^2)*(データ入力!$B$8*$N$23-$N$22^2)),-1)</f>
        <v>0.996548745546354</v>
      </c>
      <c r="Z148" s="38" t="n">
        <f aca="false">IFERROR($R$10+($A148-1)*$R$9,"")</f>
        <v>59.6585427135678</v>
      </c>
      <c r="AA148" s="38" t="n">
        <f aca="false">IFERROR(SUMPRODUCT($B$7:$B$206,LN($Z148-$C$7:$C$206)),"")</f>
        <v>239.838193900116</v>
      </c>
      <c r="AB148" s="38" t="n">
        <f aca="false">IFERROR(SUMPRODUCT($B$7:$B$206,LN($Z148-$C$7:$C$206),LN($Z148-$C$7:$C$206)),"")</f>
        <v>767.256593617742</v>
      </c>
      <c r="AC148" s="38" t="n">
        <f aca="false">IFERROR(SUMPRODUCT($B$7:$B$206,LN($Z148-$C$7:$C$206),$H$7:$H$206),"")</f>
        <v>-127.77324924711</v>
      </c>
      <c r="AD148" s="39" t="n">
        <f aca="false">IFERROR((データ入力!$B$8*AC148-AA148*$N$22)/SQRT((データ入力!$B$8*AB148-AA148^2)*(データ入力!$B$8*$N$23-$N$22^2)),-1)</f>
        <v>0.997027004173026</v>
      </c>
    </row>
    <row r="149" customFormat="false" ht="15" hidden="false" customHeight="false" outlineLevel="0" collapsed="false">
      <c r="A149" s="32" t="n">
        <v>143</v>
      </c>
      <c r="B149" s="33" t="n">
        <f aca="false">IF($A149&lt;=データ入力!$B$8,1,0)</f>
        <v>0</v>
      </c>
      <c r="C149" s="34" t="n">
        <f aca="false">IF($B149=1,LARGE(データ入力!$B$12:$B$211,$A149),0)</f>
        <v>0</v>
      </c>
      <c r="D149" s="32" t="str">
        <f aca="false">IF($B149=1,IFERROR(INDEX(データ入力!$A$12:$A$211,MATCH($C149,データ入力!$B$12:$B$211,0)),""),"")</f>
        <v/>
      </c>
      <c r="E149" s="35" t="n">
        <f aca="false">IF($B149=1,1-$A149/(データ入力!$B$8+1),0)</f>
        <v>0</v>
      </c>
      <c r="F149" s="36" t="str">
        <f aca="false">IF($B149=1,(データ入力!$B$8+1)/$A149,"")</f>
        <v/>
      </c>
      <c r="G149" s="37" t="n">
        <f aca="false">IF($B149=1,-LN(-LN($E149)),0)</f>
        <v>0</v>
      </c>
      <c r="H149" s="37" t="n">
        <f aca="false">IF($B149=1,LN(-LN($E149)),0)</f>
        <v>0</v>
      </c>
      <c r="I149" s="36" t="str">
        <f aca="false">IF($B149=1,IFERROR($C149-($N$10+$N$9*$G149),""),"")</f>
        <v/>
      </c>
      <c r="J149" s="36" t="str">
        <f aca="false">IF($B149=1,IFERROR($C149-($N$21-$N$26*EXP(-$G149/$N$24)),""),"")</f>
        <v/>
      </c>
      <c r="T149" s="38" t="n">
        <f aca="false">IFERROR($R$6+($A149-1)*$R$5,"")</f>
        <v>110.45</v>
      </c>
      <c r="U149" s="38" t="n">
        <f aca="false">IFERROR(SUMPRODUCT($B$7:$B$206,LN($T149-$C$7:$C$206)),"")</f>
        <v>324.114057712918</v>
      </c>
      <c r="V149" s="38" t="n">
        <f aca="false">IFERROR(SUMPRODUCT($B$7:$B$206,LN($T149-$C$7:$C$206),LN($T149-$C$7:$C$206)),"")</f>
        <v>1400.69552353328</v>
      </c>
      <c r="W149" s="38" t="n">
        <f aca="false">IFERROR(SUMPRODUCT($B$7:$B$206,LN($T149-$C$7:$C$206),$H$7:$H$206),"")</f>
        <v>-178.395363816764</v>
      </c>
      <c r="X149" s="39" t="n">
        <f aca="false">IFERROR((データ入力!$B$8*W149-U149*$N$22)/SQRT((データ入力!$B$8*V149-U149^2)*(データ入力!$B$8*$N$23-$N$22^2)),-1)</f>
        <v>0.996545773863725</v>
      </c>
      <c r="Z149" s="38" t="n">
        <f aca="false">IFERROR($R$10+($A149-1)*$R$9,"")</f>
        <v>59.663567839196</v>
      </c>
      <c r="AA149" s="38" t="n">
        <f aca="false">IFERROR(SUMPRODUCT($B$7:$B$206,LN($Z149-$C$7:$C$206)),"")</f>
        <v>239.853618612396</v>
      </c>
      <c r="AB149" s="38" t="n">
        <f aca="false">IFERROR(SUMPRODUCT($B$7:$B$206,LN($Z149-$C$7:$C$206),LN($Z149-$C$7:$C$206)),"")</f>
        <v>767.355125343396</v>
      </c>
      <c r="AC149" s="38" t="n">
        <f aca="false">IFERROR(SUMPRODUCT($B$7:$B$206,LN($Z149-$C$7:$C$206),$H$7:$H$206),"")</f>
        <v>-127.782993889094</v>
      </c>
      <c r="AD149" s="39" t="n">
        <f aca="false">IFERROR((データ入力!$B$8*AC149-AA149*$N$22)/SQRT((データ入力!$B$8*AB149-AA149^2)*(データ入力!$B$8*$N$23-$N$22^2)),-1)</f>
        <v>0.997027000598691</v>
      </c>
    </row>
    <row r="150" customFormat="false" ht="15" hidden="false" customHeight="false" outlineLevel="0" collapsed="false">
      <c r="A150" s="32" t="n">
        <v>144</v>
      </c>
      <c r="B150" s="33" t="n">
        <f aca="false">IF($A150&lt;=データ入力!$B$8,1,0)</f>
        <v>0</v>
      </c>
      <c r="C150" s="34" t="n">
        <f aca="false">IF($B150=1,LARGE(データ入力!$B$12:$B$211,$A150),0)</f>
        <v>0</v>
      </c>
      <c r="D150" s="32" t="str">
        <f aca="false">IF($B150=1,IFERROR(INDEX(データ入力!$A$12:$A$211,MATCH($C150,データ入力!$B$12:$B$211,0)),""),"")</f>
        <v/>
      </c>
      <c r="E150" s="35" t="n">
        <f aca="false">IF($B150=1,1-$A150/(データ入力!$B$8+1),0)</f>
        <v>0</v>
      </c>
      <c r="F150" s="36" t="str">
        <f aca="false">IF($B150=1,(データ入力!$B$8+1)/$A150,"")</f>
        <v/>
      </c>
      <c r="G150" s="37" t="n">
        <f aca="false">IF($B150=1,-LN(-LN($E150)),0)</f>
        <v>0</v>
      </c>
      <c r="H150" s="37" t="n">
        <f aca="false">IF($B150=1,LN(-LN($E150)),0)</f>
        <v>0</v>
      </c>
      <c r="I150" s="36" t="str">
        <f aca="false">IF($B150=1,IFERROR($C150-($N$10+$N$9*$G150),""),"")</f>
        <v/>
      </c>
      <c r="J150" s="36" t="str">
        <f aca="false">IF($B150=1,IFERROR($C150-($N$21-$N$26*EXP(-$G150/$N$24)),""),"")</f>
        <v/>
      </c>
      <c r="T150" s="38" t="n">
        <f aca="false">IFERROR($R$6+($A150-1)*$R$5,"")</f>
        <v>110.95</v>
      </c>
      <c r="U150" s="38" t="n">
        <f aca="false">IFERROR(SUMPRODUCT($B$7:$B$206,LN($T150-$C$7:$C$206)),"")</f>
        <v>324.610497827071</v>
      </c>
      <c r="V150" s="38" t="n">
        <f aca="false">IFERROR(SUMPRODUCT($B$7:$B$206,LN($T150-$C$7:$C$206),LN($T150-$C$7:$C$206)),"")</f>
        <v>1404.98916635166</v>
      </c>
      <c r="W150" s="38" t="n">
        <f aca="false">IFERROR(SUMPRODUCT($B$7:$B$206,LN($T150-$C$7:$C$206),$H$7:$H$206),"")</f>
        <v>-178.683124945473</v>
      </c>
      <c r="X150" s="39" t="n">
        <f aca="false">IFERROR((データ入力!$B$8*W150-U150*$N$22)/SQRT((データ入力!$B$8*V150-U150^2)*(データ入力!$B$8*$N$23-$N$22^2)),-1)</f>
        <v>0.996542832890823</v>
      </c>
      <c r="Z150" s="38" t="n">
        <f aca="false">IFERROR($R$10+($A150-1)*$R$9,"")</f>
        <v>59.6685929648241</v>
      </c>
      <c r="AA150" s="38" t="n">
        <f aca="false">IFERROR(SUMPRODUCT($B$7:$B$206,LN($Z150-$C$7:$C$206)),"")</f>
        <v>239.869040140046</v>
      </c>
      <c r="AB150" s="38" t="n">
        <f aca="false">IFERROR(SUMPRODUCT($B$7:$B$206,LN($Z150-$C$7:$C$206),LN($Z150-$C$7:$C$206)),"")</f>
        <v>767.453643121203</v>
      </c>
      <c r="AC150" s="38" t="n">
        <f aca="false">IFERROR(SUMPRODUCT($B$7:$B$206,LN($Z150-$C$7:$C$206),$H$7:$H$206),"")</f>
        <v>-127.79273626531</v>
      </c>
      <c r="AD150" s="39" t="n">
        <f aca="false">IFERROR((データ入力!$B$8*AC150-AA150*$N$22)/SQRT((データ入力!$B$8*AB150-AA150^2)*(データ入力!$B$8*$N$23-$N$22^2)),-1)</f>
        <v>0.997026996933367</v>
      </c>
    </row>
    <row r="151" customFormat="false" ht="15" hidden="false" customHeight="false" outlineLevel="0" collapsed="false">
      <c r="A151" s="32" t="n">
        <v>145</v>
      </c>
      <c r="B151" s="33" t="n">
        <f aca="false">IF($A151&lt;=データ入力!$B$8,1,0)</f>
        <v>0</v>
      </c>
      <c r="C151" s="34" t="n">
        <f aca="false">IF($B151=1,LARGE(データ入力!$B$12:$B$211,$A151),0)</f>
        <v>0</v>
      </c>
      <c r="D151" s="32" t="str">
        <f aca="false">IF($B151=1,IFERROR(INDEX(データ入力!$A$12:$A$211,MATCH($C151,データ入力!$B$12:$B$211,0)),""),"")</f>
        <v/>
      </c>
      <c r="E151" s="35" t="n">
        <f aca="false">IF($B151=1,1-$A151/(データ入力!$B$8+1),0)</f>
        <v>0</v>
      </c>
      <c r="F151" s="36" t="str">
        <f aca="false">IF($B151=1,(データ入力!$B$8+1)/$A151,"")</f>
        <v/>
      </c>
      <c r="G151" s="37" t="n">
        <f aca="false">IF($B151=1,-LN(-LN($E151)),0)</f>
        <v>0</v>
      </c>
      <c r="H151" s="37" t="n">
        <f aca="false">IF($B151=1,LN(-LN($E151)),0)</f>
        <v>0</v>
      </c>
      <c r="I151" s="36" t="str">
        <f aca="false">IF($B151=1,IFERROR($C151-($N$10+$N$9*$G151),""),"")</f>
        <v/>
      </c>
      <c r="J151" s="36" t="str">
        <f aca="false">IF($B151=1,IFERROR($C151-($N$21-$N$26*EXP(-$G151/$N$24)),""),"")</f>
        <v/>
      </c>
      <c r="T151" s="38" t="n">
        <f aca="false">IFERROR($R$6+($A151-1)*$R$5,"")</f>
        <v>111.45</v>
      </c>
      <c r="U151" s="38" t="n">
        <f aca="false">IFERROR(SUMPRODUCT($B$7:$B$206,LN($T151-$C$7:$C$206)),"")</f>
        <v>325.103672207295</v>
      </c>
      <c r="V151" s="38" t="n">
        <f aca="false">IFERROR(SUMPRODUCT($B$7:$B$206,LN($T151-$C$7:$C$206),LN($T151-$C$7:$C$206)),"")</f>
        <v>1409.26107685639</v>
      </c>
      <c r="W151" s="38" t="n">
        <f aca="false">IFERROR(SUMPRODUCT($B$7:$B$206,LN($T151-$C$7:$C$206),$H$7:$H$206),"")</f>
        <v>-178.968914898899</v>
      </c>
      <c r="X151" s="39" t="n">
        <f aca="false">IFERROR((データ入力!$B$8*W151-U151*$N$22)/SQRT((データ入力!$B$8*V151-U151^2)*(データ入力!$B$8*$N$23-$N$22^2)),-1)</f>
        <v>0.996539922187442</v>
      </c>
      <c r="Z151" s="38" t="n">
        <f aca="false">IFERROR($R$10+($A151-1)*$R$9,"")</f>
        <v>59.6736180904523</v>
      </c>
      <c r="AA151" s="38" t="n">
        <f aca="false">IFERROR(SUMPRODUCT($B$7:$B$206,LN($Z151-$C$7:$C$206)),"")</f>
        <v>239.884458484387</v>
      </c>
      <c r="AB151" s="38" t="n">
        <f aca="false">IFERROR(SUMPRODUCT($B$7:$B$206,LN($Z151-$C$7:$C$206),LN($Z151-$C$7:$C$206)),"")</f>
        <v>767.552146955616</v>
      </c>
      <c r="AC151" s="38" t="n">
        <f aca="false">IFERROR(SUMPRODUCT($B$7:$B$206,LN($Z151-$C$7:$C$206),$H$7:$H$206),"")</f>
        <v>-127.802476376808</v>
      </c>
      <c r="AD151" s="39" t="n">
        <f aca="false">IFERROR((データ入力!$B$8*AC151-AA151*$N$22)/SQRT((データ入力!$B$8*AB151-AA151^2)*(データ入力!$B$8*$N$23-$N$22^2)),-1)</f>
        <v>0.99702699317662</v>
      </c>
    </row>
    <row r="152" customFormat="false" ht="15" hidden="false" customHeight="false" outlineLevel="0" collapsed="false">
      <c r="A152" s="32" t="n">
        <v>146</v>
      </c>
      <c r="B152" s="33" t="n">
        <f aca="false">IF($A152&lt;=データ入力!$B$8,1,0)</f>
        <v>0</v>
      </c>
      <c r="C152" s="34" t="n">
        <f aca="false">IF($B152=1,LARGE(データ入力!$B$12:$B$211,$A152),0)</f>
        <v>0</v>
      </c>
      <c r="D152" s="32" t="str">
        <f aca="false">IF($B152=1,IFERROR(INDEX(データ入力!$A$12:$A$211,MATCH($C152,データ入力!$B$12:$B$211,0)),""),"")</f>
        <v/>
      </c>
      <c r="E152" s="35" t="n">
        <f aca="false">IF($B152=1,1-$A152/(データ入力!$B$8+1),0)</f>
        <v>0</v>
      </c>
      <c r="F152" s="36" t="str">
        <f aca="false">IF($B152=1,(データ入力!$B$8+1)/$A152,"")</f>
        <v/>
      </c>
      <c r="G152" s="37" t="n">
        <f aca="false">IF($B152=1,-LN(-LN($E152)),0)</f>
        <v>0</v>
      </c>
      <c r="H152" s="37" t="n">
        <f aca="false">IF($B152=1,LN(-LN($E152)),0)</f>
        <v>0</v>
      </c>
      <c r="I152" s="36" t="str">
        <f aca="false">IF($B152=1,IFERROR($C152-($N$10+$N$9*$G152),""),"")</f>
        <v/>
      </c>
      <c r="J152" s="36" t="str">
        <f aca="false">IF($B152=1,IFERROR($C152-($N$21-$N$26*EXP(-$G152/$N$24)),""),"")</f>
        <v/>
      </c>
      <c r="T152" s="38" t="n">
        <f aca="false">IFERROR($R$6+($A152-1)*$R$5,"")</f>
        <v>111.95</v>
      </c>
      <c r="U152" s="38" t="n">
        <f aca="false">IFERROR(SUMPRODUCT($B$7:$B$206,LN($T152-$C$7:$C$206)),"")</f>
        <v>325.593623555835</v>
      </c>
      <c r="V152" s="38" t="n">
        <f aca="false">IFERROR(SUMPRODUCT($B$7:$B$206,LN($T152-$C$7:$C$206),LN($T152-$C$7:$C$206)),"")</f>
        <v>1413.5114967592</v>
      </c>
      <c r="W152" s="38" t="n">
        <f aca="false">IFERROR(SUMPRODUCT($B$7:$B$206,LN($T152-$C$7:$C$206),$H$7:$H$206),"")</f>
        <v>-179.25276048199</v>
      </c>
      <c r="X152" s="39" t="n">
        <f aca="false">IFERROR((データ入力!$B$8*W152-U152*$N$22)/SQRT((データ入力!$B$8*V152-U152^2)*(データ入力!$B$8*$N$23-$N$22^2)),-1)</f>
        <v>0.996537041328661</v>
      </c>
      <c r="Z152" s="38" t="n">
        <f aca="false">IFERROR($R$10+($A152-1)*$R$9,"")</f>
        <v>59.6786432160804</v>
      </c>
      <c r="AA152" s="38" t="n">
        <f aca="false">IFERROR(SUMPRODUCT($B$7:$B$206,LN($Z152-$C$7:$C$206)),"")</f>
        <v>239.899873646737</v>
      </c>
      <c r="AB152" s="38" t="n">
        <f aca="false">IFERROR(SUMPRODUCT($B$7:$B$206,LN($Z152-$C$7:$C$206),LN($Z152-$C$7:$C$206)),"")</f>
        <v>767.650636851084</v>
      </c>
      <c r="AC152" s="38" t="n">
        <f aca="false">IFERROR(SUMPRODUCT($B$7:$B$206,LN($Z152-$C$7:$C$206),$H$7:$H$206),"")</f>
        <v>-127.812214224637</v>
      </c>
      <c r="AD152" s="39" t="n">
        <f aca="false">IFERROR((データ入力!$B$8*AC152-AA152*$N$22)/SQRT((データ入力!$B$8*AB152-AA152^2)*(データ入力!$B$8*$N$23-$N$22^2)),-1)</f>
        <v>0.99702698932932</v>
      </c>
    </row>
    <row r="153" customFormat="false" ht="15" hidden="false" customHeight="false" outlineLevel="0" collapsed="false">
      <c r="A153" s="32" t="n">
        <v>147</v>
      </c>
      <c r="B153" s="33" t="n">
        <f aca="false">IF($A153&lt;=データ入力!$B$8,1,0)</f>
        <v>0</v>
      </c>
      <c r="C153" s="34" t="n">
        <f aca="false">IF($B153=1,LARGE(データ入力!$B$12:$B$211,$A153),0)</f>
        <v>0</v>
      </c>
      <c r="D153" s="32" t="str">
        <f aca="false">IF($B153=1,IFERROR(INDEX(データ入力!$A$12:$A$211,MATCH($C153,データ入力!$B$12:$B$211,0)),""),"")</f>
        <v/>
      </c>
      <c r="E153" s="35" t="n">
        <f aca="false">IF($B153=1,1-$A153/(データ入力!$B$8+1),0)</f>
        <v>0</v>
      </c>
      <c r="F153" s="36" t="str">
        <f aca="false">IF($B153=1,(データ入力!$B$8+1)/$A153,"")</f>
        <v/>
      </c>
      <c r="G153" s="37" t="n">
        <f aca="false">IF($B153=1,-LN(-LN($E153)),0)</f>
        <v>0</v>
      </c>
      <c r="H153" s="37" t="n">
        <f aca="false">IF($B153=1,LN(-LN($E153)),0)</f>
        <v>0</v>
      </c>
      <c r="I153" s="36" t="str">
        <f aca="false">IF($B153=1,IFERROR($C153-($N$10+$N$9*$G153),""),"")</f>
        <v/>
      </c>
      <c r="J153" s="36" t="str">
        <f aca="false">IF($B153=1,IFERROR($C153-($N$21-$N$26*EXP(-$G153/$N$24)),""),"")</f>
        <v/>
      </c>
      <c r="T153" s="38" t="n">
        <f aca="false">IFERROR($R$6+($A153-1)*$R$5,"")</f>
        <v>112.45</v>
      </c>
      <c r="U153" s="38" t="n">
        <f aca="false">IFERROR(SUMPRODUCT($B$7:$B$206,LN($T153-$C$7:$C$206)),"")</f>
        <v>326.08039374249</v>
      </c>
      <c r="V153" s="38" t="n">
        <f aca="false">IFERROR(SUMPRODUCT($B$7:$B$206,LN($T153-$C$7:$C$206),LN($T153-$C$7:$C$206)),"")</f>
        <v>1417.74066361007</v>
      </c>
      <c r="W153" s="38" t="n">
        <f aca="false">IFERROR(SUMPRODUCT($B$7:$B$206,LN($T153-$C$7:$C$206),$H$7:$H$206),"")</f>
        <v>-179.534687956921</v>
      </c>
      <c r="X153" s="39" t="n">
        <f aca="false">IFERROR((データ入力!$B$8*W153-U153*$N$22)/SQRT((データ入力!$B$8*V153-U153^2)*(データ入力!$B$8*$N$23-$N$22^2)),-1)</f>
        <v>0.996534189893302</v>
      </c>
      <c r="Z153" s="38" t="n">
        <f aca="false">IFERROR($R$10+($A153-1)*$R$9,"")</f>
        <v>59.6836683417085</v>
      </c>
      <c r="AA153" s="38" t="n">
        <f aca="false">IFERROR(SUMPRODUCT($B$7:$B$206,LN($Z153-$C$7:$C$206)),"")</f>
        <v>239.915285628416</v>
      </c>
      <c r="AB153" s="38" t="n">
        <f aca="false">IFERROR(SUMPRODUCT($B$7:$B$206,LN($Z153-$C$7:$C$206),LN($Z153-$C$7:$C$206)),"")</f>
        <v>767.749112812053</v>
      </c>
      <c r="AC153" s="38" t="n">
        <f aca="false">IFERROR(SUMPRODUCT($B$7:$B$206,LN($Z153-$C$7:$C$206),$H$7:$H$206),"")</f>
        <v>-127.821949809845</v>
      </c>
      <c r="AD153" s="39" t="n">
        <f aca="false">IFERROR((データ入力!$B$8*AC153-AA153*$N$22)/SQRT((データ入力!$B$8*AB153-AA153^2)*(データ入力!$B$8*$N$23-$N$22^2)),-1)</f>
        <v>0.997026985391107</v>
      </c>
    </row>
    <row r="154" customFormat="false" ht="15" hidden="false" customHeight="false" outlineLevel="0" collapsed="false">
      <c r="A154" s="32" t="n">
        <v>148</v>
      </c>
      <c r="B154" s="33" t="n">
        <f aca="false">IF($A154&lt;=データ入力!$B$8,1,0)</f>
        <v>0</v>
      </c>
      <c r="C154" s="34" t="n">
        <f aca="false">IF($B154=1,LARGE(データ入力!$B$12:$B$211,$A154),0)</f>
        <v>0</v>
      </c>
      <c r="D154" s="32" t="str">
        <f aca="false">IF($B154=1,IFERROR(INDEX(データ入力!$A$12:$A$211,MATCH($C154,データ入力!$B$12:$B$211,0)),""),"")</f>
        <v/>
      </c>
      <c r="E154" s="35" t="n">
        <f aca="false">IF($B154=1,1-$A154/(データ入力!$B$8+1),0)</f>
        <v>0</v>
      </c>
      <c r="F154" s="36" t="str">
        <f aca="false">IF($B154=1,(データ入力!$B$8+1)/$A154,"")</f>
        <v/>
      </c>
      <c r="G154" s="37" t="n">
        <f aca="false">IF($B154=1,-LN(-LN($E154)),0)</f>
        <v>0</v>
      </c>
      <c r="H154" s="37" t="n">
        <f aca="false">IF($B154=1,LN(-LN($E154)),0)</f>
        <v>0</v>
      </c>
      <c r="I154" s="36" t="str">
        <f aca="false">IF($B154=1,IFERROR($C154-($N$10+$N$9*$G154),""),"")</f>
        <v/>
      </c>
      <c r="J154" s="36" t="str">
        <f aca="false">IF($B154=1,IFERROR($C154-($N$21-$N$26*EXP(-$G154/$N$24)),""),"")</f>
        <v/>
      </c>
      <c r="T154" s="38" t="n">
        <f aca="false">IFERROR($R$6+($A154-1)*$R$5,"")</f>
        <v>112.95</v>
      </c>
      <c r="U154" s="38" t="n">
        <f aca="false">IFERROR(SUMPRODUCT($B$7:$B$206,LN($T154-$C$7:$C$206)),"")</f>
        <v>326.564023826121</v>
      </c>
      <c r="V154" s="38" t="n">
        <f aca="false">IFERROR(SUMPRODUCT($B$7:$B$206,LN($T154-$C$7:$C$206),LN($T154-$C$7:$C$206)),"")</f>
        <v>1421.94881089409</v>
      </c>
      <c r="W154" s="38" t="n">
        <f aca="false">IFERROR(SUMPRODUCT($B$7:$B$206,LN($T154-$C$7:$C$206),$H$7:$H$206),"")</f>
        <v>-179.814723057646</v>
      </c>
      <c r="X154" s="39" t="n">
        <f aca="false">IFERROR((データ入力!$B$8*W154-U154*$N$22)/SQRT((データ入力!$B$8*V154-U154^2)*(データ入力!$B$8*$N$23-$N$22^2)),-1)</f>
        <v>0.996531367468235</v>
      </c>
      <c r="Z154" s="38" t="n">
        <f aca="false">IFERROR($R$10+($A154-1)*$R$9,"")</f>
        <v>59.6886934673367</v>
      </c>
      <c r="AA154" s="38" t="n">
        <f aca="false">IFERROR(SUMPRODUCT($B$7:$B$206,LN($Z154-$C$7:$C$206)),"")</f>
        <v>239.930694430741</v>
      </c>
      <c r="AB154" s="38" t="n">
        <f aca="false">IFERROR(SUMPRODUCT($B$7:$B$206,LN($Z154-$C$7:$C$206),LN($Z154-$C$7:$C$206)),"")</f>
        <v>767.847574842968</v>
      </c>
      <c r="AC154" s="38" t="n">
        <f aca="false">IFERROR(SUMPRODUCT($B$7:$B$206,LN($Z154-$C$7:$C$206),$H$7:$H$206),"")</f>
        <v>-127.83168313348</v>
      </c>
      <c r="AD154" s="39" t="n">
        <f aca="false">IFERROR((データ入力!$B$8*AC154-AA154*$N$22)/SQRT((データ入力!$B$8*AB154-AA154^2)*(データ入力!$B$8*$N$23-$N$22^2)),-1)</f>
        <v>0.99702698136242</v>
      </c>
    </row>
    <row r="155" customFormat="false" ht="15" hidden="false" customHeight="false" outlineLevel="0" collapsed="false">
      <c r="A155" s="32" t="n">
        <v>149</v>
      </c>
      <c r="B155" s="33" t="n">
        <f aca="false">IF($A155&lt;=データ入力!$B$8,1,0)</f>
        <v>0</v>
      </c>
      <c r="C155" s="34" t="n">
        <f aca="false">IF($B155=1,LARGE(データ入力!$B$12:$B$211,$A155),0)</f>
        <v>0</v>
      </c>
      <c r="D155" s="32" t="str">
        <f aca="false">IF($B155=1,IFERROR(INDEX(データ入力!$A$12:$A$211,MATCH($C155,データ入力!$B$12:$B$211,0)),""),"")</f>
        <v/>
      </c>
      <c r="E155" s="35" t="n">
        <f aca="false">IF($B155=1,1-$A155/(データ入力!$B$8+1),0)</f>
        <v>0</v>
      </c>
      <c r="F155" s="36" t="str">
        <f aca="false">IF($B155=1,(データ入力!$B$8+1)/$A155,"")</f>
        <v/>
      </c>
      <c r="G155" s="37" t="n">
        <f aca="false">IF($B155=1,-LN(-LN($E155)),0)</f>
        <v>0</v>
      </c>
      <c r="H155" s="37" t="n">
        <f aca="false">IF($B155=1,LN(-LN($E155)),0)</f>
        <v>0</v>
      </c>
      <c r="I155" s="36" t="str">
        <f aca="false">IF($B155=1,IFERROR($C155-($N$10+$N$9*$G155),""),"")</f>
        <v/>
      </c>
      <c r="J155" s="36" t="str">
        <f aca="false">IF($B155=1,IFERROR($C155-($N$21-$N$26*EXP(-$G155/$N$24)),""),"")</f>
        <v/>
      </c>
      <c r="T155" s="38" t="n">
        <f aca="false">IFERROR($R$6+($A155-1)*$R$5,"")</f>
        <v>113.45</v>
      </c>
      <c r="U155" s="38" t="n">
        <f aca="false">IFERROR(SUMPRODUCT($B$7:$B$206,LN($T155-$C$7:$C$206)),"")</f>
        <v>327.044554075468</v>
      </c>
      <c r="V155" s="38" t="n">
        <f aca="false">IFERROR(SUMPRODUCT($B$7:$B$206,LN($T155-$C$7:$C$206),LN($T155-$C$7:$C$206)),"")</f>
        <v>1426.13616812554</v>
      </c>
      <c r="W155" s="38" t="n">
        <f aca="false">IFERROR(SUMPRODUCT($B$7:$B$206,LN($T155-$C$7:$C$206),$H$7:$H$206),"")</f>
        <v>-180.092891003963</v>
      </c>
      <c r="X155" s="39" t="n">
        <f aca="false">IFERROR((データ入力!$B$8*W155-U155*$N$22)/SQRT((データ入力!$B$8*V155-U155^2)*(データ入力!$B$8*$N$23-$N$22^2)),-1)</f>
        <v>0.996528573647678</v>
      </c>
      <c r="Z155" s="38" t="n">
        <f aca="false">IFERROR($R$10+($A155-1)*$R$9,"")</f>
        <v>59.6937185929648</v>
      </c>
      <c r="AA155" s="38" t="n">
        <f aca="false">IFERROR(SUMPRODUCT($B$7:$B$206,LN($Z155-$C$7:$C$206)),"")</f>
        <v>239.946100055031</v>
      </c>
      <c r="AB155" s="38" t="n">
        <f aca="false">IFERROR(SUMPRODUCT($B$7:$B$206,LN($Z155-$C$7:$C$206),LN($Z155-$C$7:$C$206)),"")</f>
        <v>767.946022948272</v>
      </c>
      <c r="AC155" s="38" t="n">
        <f aca="false">IFERROR(SUMPRODUCT($B$7:$B$206,LN($Z155-$C$7:$C$206),$H$7:$H$206),"")</f>
        <v>-127.84141419659</v>
      </c>
      <c r="AD155" s="39" t="n">
        <f aca="false">IFERROR((データ入力!$B$8*AC155-AA155*$N$22)/SQRT((データ入力!$B$8*AB155-AA155^2)*(データ入力!$B$8*$N$23-$N$22^2)),-1)</f>
        <v>0.997026977242988</v>
      </c>
    </row>
    <row r="156" customFormat="false" ht="15" hidden="false" customHeight="false" outlineLevel="0" collapsed="false">
      <c r="A156" s="32" t="n">
        <v>150</v>
      </c>
      <c r="B156" s="33" t="n">
        <f aca="false">IF($A156&lt;=データ入力!$B$8,1,0)</f>
        <v>0</v>
      </c>
      <c r="C156" s="34" t="n">
        <f aca="false">IF($B156=1,LARGE(データ入力!$B$12:$B$211,$A156),0)</f>
        <v>0</v>
      </c>
      <c r="D156" s="32" t="str">
        <f aca="false">IF($B156=1,IFERROR(INDEX(データ入力!$A$12:$A$211,MATCH($C156,データ入力!$B$12:$B$211,0)),""),"")</f>
        <v/>
      </c>
      <c r="E156" s="35" t="n">
        <f aca="false">IF($B156=1,1-$A156/(データ入力!$B$8+1),0)</f>
        <v>0</v>
      </c>
      <c r="F156" s="36" t="str">
        <f aca="false">IF($B156=1,(データ入力!$B$8+1)/$A156,"")</f>
        <v/>
      </c>
      <c r="G156" s="37" t="n">
        <f aca="false">IF($B156=1,-LN(-LN($E156)),0)</f>
        <v>0</v>
      </c>
      <c r="H156" s="37" t="n">
        <f aca="false">IF($B156=1,LN(-LN($E156)),0)</f>
        <v>0</v>
      </c>
      <c r="I156" s="36" t="str">
        <f aca="false">IF($B156=1,IFERROR($C156-($N$10+$N$9*$G156),""),"")</f>
        <v/>
      </c>
      <c r="J156" s="36" t="str">
        <f aca="false">IF($B156=1,IFERROR($C156-($N$21-$N$26*EXP(-$G156/$N$24)),""),"")</f>
        <v/>
      </c>
      <c r="T156" s="38" t="n">
        <f aca="false">IFERROR($R$6+($A156-1)*$R$5,"")</f>
        <v>113.95</v>
      </c>
      <c r="U156" s="38" t="n">
        <f aca="false">IFERROR(SUMPRODUCT($B$7:$B$206,LN($T156-$C$7:$C$206)),"")</f>
        <v>327.522023989298</v>
      </c>
      <c r="V156" s="38" t="n">
        <f aca="false">IFERROR(SUMPRODUCT($B$7:$B$206,LN($T156-$C$7:$C$206),LN($T156-$C$7:$C$206)),"")</f>
        <v>1430.30296093917</v>
      </c>
      <c r="W156" s="38" t="n">
        <f aca="false">IFERROR(SUMPRODUCT($B$7:$B$206,LN($T156-$C$7:$C$206),$H$7:$H$206),"")</f>
        <v>-180.369216515112</v>
      </c>
      <c r="X156" s="39" t="n">
        <f aca="false">IFERROR((データ入力!$B$8*W156-U156*$N$22)/SQRT((データ入力!$B$8*V156-U156^2)*(データ入力!$B$8*$N$23-$N$22^2)),-1)</f>
        <v>0.996525808023339</v>
      </c>
      <c r="Z156" s="38" t="n">
        <f aca="false">IFERROR($R$10+($A156-1)*$R$9,"")</f>
        <v>59.698743718593</v>
      </c>
      <c r="AA156" s="38" t="n">
        <f aca="false">IFERROR(SUMPRODUCT($B$7:$B$206,LN($Z156-$C$7:$C$206)),"")</f>
        <v>239.9615025026</v>
      </c>
      <c r="AB156" s="38" t="n">
        <f aca="false">IFERROR(SUMPRODUCT($B$7:$B$206,LN($Z156-$C$7:$C$206),LN($Z156-$C$7:$C$206)),"")</f>
        <v>768.044457132404</v>
      </c>
      <c r="AC156" s="38" t="n">
        <f aca="false">IFERROR(SUMPRODUCT($B$7:$B$206,LN($Z156-$C$7:$C$206),$H$7:$H$206),"")</f>
        <v>-127.851143000219</v>
      </c>
      <c r="AD156" s="39" t="n">
        <f aca="false">IFERROR((データ入力!$B$8*AC156-AA156*$N$22)/SQRT((データ入力!$B$8*AB156-AA156^2)*(データ入力!$B$8*$N$23-$N$22^2)),-1)</f>
        <v>0.997026973033145</v>
      </c>
    </row>
    <row r="157" customFormat="false" ht="15" hidden="false" customHeight="false" outlineLevel="0" collapsed="false">
      <c r="A157" s="32" t="n">
        <v>151</v>
      </c>
      <c r="B157" s="33" t="n">
        <f aca="false">IF($A157&lt;=データ入力!$B$8,1,0)</f>
        <v>0</v>
      </c>
      <c r="C157" s="34" t="n">
        <f aca="false">IF($B157=1,LARGE(データ入力!$B$12:$B$211,$A157),0)</f>
        <v>0</v>
      </c>
      <c r="D157" s="32" t="str">
        <f aca="false">IF($B157=1,IFERROR(INDEX(データ入力!$A$12:$A$211,MATCH($C157,データ入力!$B$12:$B$211,0)),""),"")</f>
        <v/>
      </c>
      <c r="E157" s="35" t="n">
        <f aca="false">IF($B157=1,1-$A157/(データ入力!$B$8+1),0)</f>
        <v>0</v>
      </c>
      <c r="F157" s="36" t="str">
        <f aca="false">IF($B157=1,(データ入力!$B$8+1)/$A157,"")</f>
        <v/>
      </c>
      <c r="G157" s="37" t="n">
        <f aca="false">IF($B157=1,-LN(-LN($E157)),0)</f>
        <v>0</v>
      </c>
      <c r="H157" s="37" t="n">
        <f aca="false">IF($B157=1,LN(-LN($E157)),0)</f>
        <v>0</v>
      </c>
      <c r="I157" s="36" t="str">
        <f aca="false">IF($B157=1,IFERROR($C157-($N$10+$N$9*$G157),""),"")</f>
        <v/>
      </c>
      <c r="J157" s="36" t="str">
        <f aca="false">IF($B157=1,IFERROR($C157-($N$21-$N$26*EXP(-$G157/$N$24)),""),"")</f>
        <v/>
      </c>
      <c r="T157" s="38" t="n">
        <f aca="false">IFERROR($R$6+($A157-1)*$R$5,"")</f>
        <v>114.45</v>
      </c>
      <c r="U157" s="38" t="n">
        <f aca="false">IFERROR(SUMPRODUCT($B$7:$B$206,LN($T157-$C$7:$C$206)),"")</f>
        <v>327.996472315919</v>
      </c>
      <c r="V157" s="38" t="n">
        <f aca="false">IFERROR(SUMPRODUCT($B$7:$B$206,LN($T157-$C$7:$C$206),LN($T157-$C$7:$C$206)),"")</f>
        <v>1434.44941117891</v>
      </c>
      <c r="W157" s="38" t="n">
        <f aca="false">IFERROR(SUMPRODUCT($B$7:$B$206,LN($T157-$C$7:$C$206),$H$7:$H$206),"")</f>
        <v>-180.643723822932</v>
      </c>
      <c r="X157" s="39" t="n">
        <f aca="false">IFERROR((データ入力!$B$8*W157-U157*$N$22)/SQRT((データ入力!$B$8*V157-U157^2)*(データ入力!$B$8*$N$23-$N$22^2)),-1)</f>
        <v>0.996523070219427</v>
      </c>
      <c r="Z157" s="38" t="n">
        <f aca="false">IFERROR($R$10+($A157-1)*$R$9,"")</f>
        <v>59.7037688442211</v>
      </c>
      <c r="AA157" s="38" t="n">
        <f aca="false">IFERROR(SUMPRODUCT($B$7:$B$206,LN($Z157-$C$7:$C$206)),"")</f>
        <v>239.976901774765</v>
      </c>
      <c r="AB157" s="38" t="n">
        <f aca="false">IFERROR(SUMPRODUCT($B$7:$B$206,LN($Z157-$C$7:$C$206),LN($Z157-$C$7:$C$206)),"")</f>
        <v>768.142877399803</v>
      </c>
      <c r="AC157" s="38" t="n">
        <f aca="false">IFERROR(SUMPRODUCT($B$7:$B$206,LN($Z157-$C$7:$C$206),$H$7:$H$206),"")</f>
        <v>-127.860869545415</v>
      </c>
      <c r="AD157" s="39" t="n">
        <f aca="false">IFERROR((データ入力!$B$8*AC157-AA157*$N$22)/SQRT((データ入力!$B$8*AB157-AA157^2)*(データ入力!$B$8*$N$23-$N$22^2)),-1)</f>
        <v>0.997026968732867</v>
      </c>
    </row>
    <row r="158" customFormat="false" ht="15" hidden="false" customHeight="false" outlineLevel="0" collapsed="false">
      <c r="A158" s="32" t="n">
        <v>152</v>
      </c>
      <c r="B158" s="33" t="n">
        <f aca="false">IF($A158&lt;=データ入力!$B$8,1,0)</f>
        <v>0</v>
      </c>
      <c r="C158" s="34" t="n">
        <f aca="false">IF($B158=1,LARGE(データ入力!$B$12:$B$211,$A158),0)</f>
        <v>0</v>
      </c>
      <c r="D158" s="32" t="str">
        <f aca="false">IF($B158=1,IFERROR(INDEX(データ入力!$A$12:$A$211,MATCH($C158,データ入力!$B$12:$B$211,0)),""),"")</f>
        <v/>
      </c>
      <c r="E158" s="35" t="n">
        <f aca="false">IF($B158=1,1-$A158/(データ入力!$B$8+1),0)</f>
        <v>0</v>
      </c>
      <c r="F158" s="36" t="str">
        <f aca="false">IF($B158=1,(データ入力!$B$8+1)/$A158,"")</f>
        <v/>
      </c>
      <c r="G158" s="37" t="n">
        <f aca="false">IF($B158=1,-LN(-LN($E158)),0)</f>
        <v>0</v>
      </c>
      <c r="H158" s="37" t="n">
        <f aca="false">IF($B158=1,LN(-LN($E158)),0)</f>
        <v>0</v>
      </c>
      <c r="I158" s="36" t="str">
        <f aca="false">IF($B158=1,IFERROR($C158-($N$10+$N$9*$G158),""),"")</f>
        <v/>
      </c>
      <c r="J158" s="36" t="str">
        <f aca="false">IF($B158=1,IFERROR($C158-($N$21-$N$26*EXP(-$G158/$N$24)),""),"")</f>
        <v/>
      </c>
      <c r="T158" s="38" t="n">
        <f aca="false">IFERROR($R$6+($A158-1)*$R$5,"")</f>
        <v>114.95</v>
      </c>
      <c r="U158" s="38" t="n">
        <f aca="false">IFERROR(SUMPRODUCT($B$7:$B$206,LN($T158-$C$7:$C$206)),"")</f>
        <v>328.467937072084</v>
      </c>
      <c r="V158" s="38" t="n">
        <f aca="false">IFERROR(SUMPRODUCT($B$7:$B$206,LN($T158-$C$7:$C$206),LN($T158-$C$7:$C$206)),"")</f>
        <v>1438.57573698395</v>
      </c>
      <c r="W158" s="38" t="n">
        <f aca="false">IFERROR(SUMPRODUCT($B$7:$B$206,LN($T158-$C$7:$C$206),$H$7:$H$206),"")</f>
        <v>-180.91643668458</v>
      </c>
      <c r="X158" s="39" t="n">
        <f aca="false">IFERROR((データ入力!$B$8*W158-U158*$N$22)/SQRT((データ入力!$B$8*V158-U158^2)*(データ入力!$B$8*$N$23-$N$22^2)),-1)</f>
        <v>0.996520359831406</v>
      </c>
      <c r="Z158" s="38" t="n">
        <f aca="false">IFERROR($R$10+($A158-1)*$R$9,"")</f>
        <v>59.7087939698492</v>
      </c>
      <c r="AA158" s="38" t="n">
        <f aca="false">IFERROR(SUMPRODUCT($B$7:$B$206,LN($Z158-$C$7:$C$206)),"")</f>
        <v>239.99229787284</v>
      </c>
      <c r="AB158" s="38" t="n">
        <f aca="false">IFERROR(SUMPRODUCT($B$7:$B$206,LN($Z158-$C$7:$C$206),LN($Z158-$C$7:$C$206)),"")</f>
        <v>768.241283754904</v>
      </c>
      <c r="AC158" s="38" t="n">
        <f aca="false">IFERROR(SUMPRODUCT($B$7:$B$206,LN($Z158-$C$7:$C$206),$H$7:$H$206),"")</f>
        <v>-127.870593833222</v>
      </c>
      <c r="AD158" s="39" t="n">
        <f aca="false">IFERROR((データ入力!$B$8*AC158-AA158*$N$22)/SQRT((データ入力!$B$8*AB158-AA158^2)*(データ入力!$B$8*$N$23-$N$22^2)),-1)</f>
        <v>0.997026964342734</v>
      </c>
    </row>
    <row r="159" customFormat="false" ht="15" hidden="false" customHeight="false" outlineLevel="0" collapsed="false">
      <c r="A159" s="32" t="n">
        <v>153</v>
      </c>
      <c r="B159" s="33" t="n">
        <f aca="false">IF($A159&lt;=データ入力!$B$8,1,0)</f>
        <v>0</v>
      </c>
      <c r="C159" s="34" t="n">
        <f aca="false">IF($B159=1,LARGE(データ入力!$B$12:$B$211,$A159),0)</f>
        <v>0</v>
      </c>
      <c r="D159" s="32" t="str">
        <f aca="false">IF($B159=1,IFERROR(INDEX(データ入力!$A$12:$A$211,MATCH($C159,データ入力!$B$12:$B$211,0)),""),"")</f>
        <v/>
      </c>
      <c r="E159" s="35" t="n">
        <f aca="false">IF($B159=1,1-$A159/(データ入力!$B$8+1),0)</f>
        <v>0</v>
      </c>
      <c r="F159" s="36" t="str">
        <f aca="false">IF($B159=1,(データ入力!$B$8+1)/$A159,"")</f>
        <v/>
      </c>
      <c r="G159" s="37" t="n">
        <f aca="false">IF($B159=1,-LN(-LN($E159)),0)</f>
        <v>0</v>
      </c>
      <c r="H159" s="37" t="n">
        <f aca="false">IF($B159=1,LN(-LN($E159)),0)</f>
        <v>0</v>
      </c>
      <c r="I159" s="36" t="str">
        <f aca="false">IF($B159=1,IFERROR($C159-($N$10+$N$9*$G159),""),"")</f>
        <v/>
      </c>
      <c r="J159" s="36" t="str">
        <f aca="false">IF($B159=1,IFERROR($C159-($N$21-$N$26*EXP(-$G159/$N$24)),""),"")</f>
        <v/>
      </c>
      <c r="T159" s="38" t="n">
        <f aca="false">IFERROR($R$6+($A159-1)*$R$5,"")</f>
        <v>115.45</v>
      </c>
      <c r="U159" s="38" t="n">
        <f aca="false">IFERROR(SUMPRODUCT($B$7:$B$206,LN($T159-$C$7:$C$206)),"")</f>
        <v>328.93645556129</v>
      </c>
      <c r="V159" s="38" t="n">
        <f aca="false">IFERROR(SUMPRODUCT($B$7:$B$206,LN($T159-$C$7:$C$206),LN($T159-$C$7:$C$206)),"")</f>
        <v>1442.68215287241</v>
      </c>
      <c r="W159" s="38" t="n">
        <f aca="false">IFERROR(SUMPRODUCT($B$7:$B$206,LN($T159-$C$7:$C$206),$H$7:$H$206),"")</f>
        <v>-181.187378394847</v>
      </c>
      <c r="X159" s="39" t="n">
        <f aca="false">IFERROR((データ入力!$B$8*W159-U159*$N$22)/SQRT((データ入力!$B$8*V159-U159^2)*(データ入力!$B$8*$N$23-$N$22^2)),-1)</f>
        <v>0.996517676479595</v>
      </c>
      <c r="Z159" s="38" t="n">
        <f aca="false">IFERROR($R$10+($A159-1)*$R$9,"")</f>
        <v>59.7138190954774</v>
      </c>
      <c r="AA159" s="38" t="n">
        <f aca="false">IFERROR(SUMPRODUCT($B$7:$B$206,LN($Z159-$C$7:$C$206)),"")</f>
        <v>240.007690798138</v>
      </c>
      <c r="AB159" s="38" t="n">
        <f aca="false">IFERROR(SUMPRODUCT($B$7:$B$206,LN($Z159-$C$7:$C$206),LN($Z159-$C$7:$C$206)),"")</f>
        <v>768.339676202141</v>
      </c>
      <c r="AC159" s="38" t="n">
        <f aca="false">IFERROR(SUMPRODUCT($B$7:$B$206,LN($Z159-$C$7:$C$206),$H$7:$H$206),"")</f>
        <v>-127.880315864683</v>
      </c>
      <c r="AD159" s="39" t="n">
        <f aca="false">IFERROR((データ入力!$B$8*AC159-AA159*$N$22)/SQRT((データ入力!$B$8*AB159-AA159^2)*(データ入力!$B$8*$N$23-$N$22^2)),-1)</f>
        <v>0.997026959862279</v>
      </c>
    </row>
    <row r="160" customFormat="false" ht="15" hidden="false" customHeight="false" outlineLevel="0" collapsed="false">
      <c r="A160" s="32" t="n">
        <v>154</v>
      </c>
      <c r="B160" s="33" t="n">
        <f aca="false">IF($A160&lt;=データ入力!$B$8,1,0)</f>
        <v>0</v>
      </c>
      <c r="C160" s="34" t="n">
        <f aca="false">IF($B160=1,LARGE(データ入力!$B$12:$B$211,$A160),0)</f>
        <v>0</v>
      </c>
      <c r="D160" s="32" t="str">
        <f aca="false">IF($B160=1,IFERROR(INDEX(データ入力!$A$12:$A$211,MATCH($C160,データ入力!$B$12:$B$211,0)),""),"")</f>
        <v/>
      </c>
      <c r="E160" s="35" t="n">
        <f aca="false">IF($B160=1,1-$A160/(データ入力!$B$8+1),0)</f>
        <v>0</v>
      </c>
      <c r="F160" s="36" t="str">
        <f aca="false">IF($B160=1,(データ入力!$B$8+1)/$A160,"")</f>
        <v/>
      </c>
      <c r="G160" s="37" t="n">
        <f aca="false">IF($B160=1,-LN(-LN($E160)),0)</f>
        <v>0</v>
      </c>
      <c r="H160" s="37" t="n">
        <f aca="false">IF($B160=1,LN(-LN($E160)),0)</f>
        <v>0</v>
      </c>
      <c r="I160" s="36" t="str">
        <f aca="false">IF($B160=1,IFERROR($C160-($N$10+$N$9*$G160),""),"")</f>
        <v/>
      </c>
      <c r="J160" s="36" t="str">
        <f aca="false">IF($B160=1,IFERROR($C160-($N$21-$N$26*EXP(-$G160/$N$24)),""),"")</f>
        <v/>
      </c>
      <c r="T160" s="38" t="n">
        <f aca="false">IFERROR($R$6+($A160-1)*$R$5,"")</f>
        <v>115.95</v>
      </c>
      <c r="U160" s="38" t="n">
        <f aca="false">IFERROR(SUMPRODUCT($B$7:$B$206,LN($T160-$C$7:$C$206)),"")</f>
        <v>329.402064391521</v>
      </c>
      <c r="V160" s="38" t="n">
        <f aca="false">IFERROR(SUMPRODUCT($B$7:$B$206,LN($T160-$C$7:$C$206),LN($T160-$C$7:$C$206)),"")</f>
        <v>1446.76886982265</v>
      </c>
      <c r="W160" s="38" t="n">
        <f aca="false">IFERROR(SUMPRODUCT($B$7:$B$206,LN($T160-$C$7:$C$206),$H$7:$H$206),"")</f>
        <v>-181.456571798072</v>
      </c>
      <c r="X160" s="39" t="n">
        <f aca="false">IFERROR((データ入力!$B$8*W160-U160*$N$22)/SQRT((データ入力!$B$8*V160-U160^2)*(データ入力!$B$8*$N$23-$N$22^2)),-1)</f>
        <v>0.996515019791939</v>
      </c>
      <c r="Z160" s="38" t="n">
        <f aca="false">IFERROR($R$10+($A160-1)*$R$9,"")</f>
        <v>59.7188442211055</v>
      </c>
      <c r="AA160" s="38" t="n">
        <f aca="false">IFERROR(SUMPRODUCT($B$7:$B$206,LN($Z160-$C$7:$C$206)),"")</f>
        <v>240.023080551974</v>
      </c>
      <c r="AB160" s="38" t="n">
        <f aca="false">IFERROR(SUMPRODUCT($B$7:$B$206,LN($Z160-$C$7:$C$206),LN($Z160-$C$7:$C$206)),"")</f>
        <v>768.438054745946</v>
      </c>
      <c r="AC160" s="38" t="n">
        <f aca="false">IFERROR(SUMPRODUCT($B$7:$B$206,LN($Z160-$C$7:$C$206),$H$7:$H$206),"")</f>
        <v>-127.890035640843</v>
      </c>
      <c r="AD160" s="39" t="n">
        <f aca="false">IFERROR((データ入力!$B$8*AC160-AA160*$N$22)/SQRT((データ入力!$B$8*AB160-AA160^2)*(データ入力!$B$8*$N$23-$N$22^2)),-1)</f>
        <v>0.997026955291998</v>
      </c>
    </row>
    <row r="161" customFormat="false" ht="15" hidden="false" customHeight="false" outlineLevel="0" collapsed="false">
      <c r="A161" s="32" t="n">
        <v>155</v>
      </c>
      <c r="B161" s="33" t="n">
        <f aca="false">IF($A161&lt;=データ入力!$B$8,1,0)</f>
        <v>0</v>
      </c>
      <c r="C161" s="34" t="n">
        <f aca="false">IF($B161=1,LARGE(データ入力!$B$12:$B$211,$A161),0)</f>
        <v>0</v>
      </c>
      <c r="D161" s="32" t="str">
        <f aca="false">IF($B161=1,IFERROR(INDEX(データ入力!$A$12:$A$211,MATCH($C161,データ入力!$B$12:$B$211,0)),""),"")</f>
        <v/>
      </c>
      <c r="E161" s="35" t="n">
        <f aca="false">IF($B161=1,1-$A161/(データ入力!$B$8+1),0)</f>
        <v>0</v>
      </c>
      <c r="F161" s="36" t="str">
        <f aca="false">IF($B161=1,(データ入力!$B$8+1)/$A161,"")</f>
        <v/>
      </c>
      <c r="G161" s="37" t="n">
        <f aca="false">IF($B161=1,-LN(-LN($E161)),0)</f>
        <v>0</v>
      </c>
      <c r="H161" s="37" t="n">
        <f aca="false">IF($B161=1,LN(-LN($E161)),0)</f>
        <v>0</v>
      </c>
      <c r="I161" s="36" t="str">
        <f aca="false">IF($B161=1,IFERROR($C161-($N$10+$N$9*$G161),""),"")</f>
        <v/>
      </c>
      <c r="J161" s="36" t="str">
        <f aca="false">IF($B161=1,IFERROR($C161-($N$21-$N$26*EXP(-$G161/$N$24)),""),"")</f>
        <v/>
      </c>
      <c r="T161" s="38" t="n">
        <f aca="false">IFERROR($R$6+($A161-1)*$R$5,"")</f>
        <v>116.45</v>
      </c>
      <c r="U161" s="38" t="n">
        <f aca="false">IFERROR(SUMPRODUCT($B$7:$B$206,LN($T161-$C$7:$C$206)),"")</f>
        <v>329.864799492437</v>
      </c>
      <c r="V161" s="38" t="n">
        <f aca="false">IFERROR(SUMPRODUCT($B$7:$B$206,LN($T161-$C$7:$C$206),LN($T161-$C$7:$C$206)),"")</f>
        <v>1450.83609535221</v>
      </c>
      <c r="W161" s="38" t="n">
        <f aca="false">IFERROR(SUMPRODUCT($B$7:$B$206,LN($T161-$C$7:$C$206),$H$7:$H$206),"")</f>
        <v>-181.724039299677</v>
      </c>
      <c r="X161" s="39" t="n">
        <f aca="false">IFERROR((データ入力!$B$8*W161-U161*$N$22)/SQRT((データ入力!$B$8*V161-U161^2)*(データ入力!$B$8*$N$23-$N$22^2)),-1)</f>
        <v>0.996512389403296</v>
      </c>
      <c r="Z161" s="38" t="n">
        <f aca="false">IFERROR($R$10+($A161-1)*$R$9,"")</f>
        <v>59.7238693467337</v>
      </c>
      <c r="AA161" s="38" t="n">
        <f aca="false">IFERROR(SUMPRODUCT($B$7:$B$206,LN($Z161-$C$7:$C$206)),"")</f>
        <v>240.038467135659</v>
      </c>
      <c r="AB161" s="38" t="n">
        <f aca="false">IFERROR(SUMPRODUCT($B$7:$B$206,LN($Z161-$C$7:$C$206),LN($Z161-$C$7:$C$206)),"")</f>
        <v>768.536419390746</v>
      </c>
      <c r="AC161" s="38" t="n">
        <f aca="false">IFERROR(SUMPRODUCT($B$7:$B$206,LN($Z161-$C$7:$C$206),$H$7:$H$206),"")</f>
        <v>-127.899753162744</v>
      </c>
      <c r="AD161" s="39" t="n">
        <f aca="false">IFERROR((データ入力!$B$8*AC161-AA161*$N$22)/SQRT((データ入力!$B$8*AB161-AA161^2)*(データ入力!$B$8*$N$23-$N$22^2)),-1)</f>
        <v>0.997026950631837</v>
      </c>
    </row>
    <row r="162" customFormat="false" ht="15" hidden="false" customHeight="false" outlineLevel="0" collapsed="false">
      <c r="A162" s="32" t="n">
        <v>156</v>
      </c>
      <c r="B162" s="33" t="n">
        <f aca="false">IF($A162&lt;=データ入力!$B$8,1,0)</f>
        <v>0</v>
      </c>
      <c r="C162" s="34" t="n">
        <f aca="false">IF($B162=1,LARGE(データ入力!$B$12:$B$211,$A162),0)</f>
        <v>0</v>
      </c>
      <c r="D162" s="32" t="str">
        <f aca="false">IF($B162=1,IFERROR(INDEX(データ入力!$A$12:$A$211,MATCH($C162,データ入力!$B$12:$B$211,0)),""),"")</f>
        <v/>
      </c>
      <c r="E162" s="35" t="n">
        <f aca="false">IF($B162=1,1-$A162/(データ入力!$B$8+1),0)</f>
        <v>0</v>
      </c>
      <c r="F162" s="36" t="str">
        <f aca="false">IF($B162=1,(データ入力!$B$8+1)/$A162,"")</f>
        <v/>
      </c>
      <c r="G162" s="37" t="n">
        <f aca="false">IF($B162=1,-LN(-LN($E162)),0)</f>
        <v>0</v>
      </c>
      <c r="H162" s="37" t="n">
        <f aca="false">IF($B162=1,LN(-LN($E162)),0)</f>
        <v>0</v>
      </c>
      <c r="I162" s="36" t="str">
        <f aca="false">IF($B162=1,IFERROR($C162-($N$10+$N$9*$G162),""),"")</f>
        <v/>
      </c>
      <c r="J162" s="36" t="str">
        <f aca="false">IF($B162=1,IFERROR($C162-($N$21-$N$26*EXP(-$G162/$N$24)),""),"")</f>
        <v/>
      </c>
      <c r="T162" s="38" t="n">
        <f aca="false">IFERROR($R$6+($A162-1)*$R$5,"")</f>
        <v>116.95</v>
      </c>
      <c r="U162" s="38" t="n">
        <f aca="false">IFERROR(SUMPRODUCT($B$7:$B$206,LN($T162-$C$7:$C$206)),"")</f>
        <v>330.324696132036</v>
      </c>
      <c r="V162" s="38" t="n">
        <f aca="false">IFERROR(SUMPRODUCT($B$7:$B$206,LN($T162-$C$7:$C$206),LN($T162-$C$7:$C$206)),"")</f>
        <v>1454.88403359459</v>
      </c>
      <c r="W162" s="38" t="n">
        <f aca="false">IFERROR(SUMPRODUCT($B$7:$B$206,LN($T162-$C$7:$C$206),$H$7:$H$206),"")</f>
        <v>-181.989802877334</v>
      </c>
      <c r="X162" s="39" t="n">
        <f aca="false">IFERROR((データ入力!$B$8*W162-U162*$N$22)/SQRT((データ入力!$B$8*V162-U162^2)*(データ入力!$B$8*$N$23-$N$22^2)),-1)</f>
        <v>0.996509784948773</v>
      </c>
      <c r="Z162" s="38" t="n">
        <f aca="false">IFERROR($R$10+($A162-1)*$R$9,"")</f>
        <v>59.7288944723618</v>
      </c>
      <c r="AA162" s="38" t="n">
        <f aca="false">IFERROR(SUMPRODUCT($B$7:$B$206,LN($Z162-$C$7:$C$206)),"")</f>
        <v>240.053850550504</v>
      </c>
      <c r="AB162" s="38" t="n">
        <f aca="false">IFERROR(SUMPRODUCT($B$7:$B$206,LN($Z162-$C$7:$C$206),LN($Z162-$C$7:$C$206)),"")</f>
        <v>768.634770140969</v>
      </c>
      <c r="AC162" s="38" t="n">
        <f aca="false">IFERROR(SUMPRODUCT($B$7:$B$206,LN($Z162-$C$7:$C$206),$H$7:$H$206),"")</f>
        <v>-127.909468431428</v>
      </c>
      <c r="AD162" s="39" t="n">
        <f aca="false">IFERROR((データ入力!$B$8*AC162-AA162*$N$22)/SQRT((データ入力!$B$8*AB162-AA162^2)*(データ入力!$B$8*$N$23-$N$22^2)),-1)</f>
        <v>0.99702694588168</v>
      </c>
    </row>
    <row r="163" customFormat="false" ht="15" hidden="false" customHeight="false" outlineLevel="0" collapsed="false">
      <c r="A163" s="32" t="n">
        <v>157</v>
      </c>
      <c r="B163" s="33" t="n">
        <f aca="false">IF($A163&lt;=データ入力!$B$8,1,0)</f>
        <v>0</v>
      </c>
      <c r="C163" s="34" t="n">
        <f aca="false">IF($B163=1,LARGE(データ入力!$B$12:$B$211,$A163),0)</f>
        <v>0</v>
      </c>
      <c r="D163" s="32" t="str">
        <f aca="false">IF($B163=1,IFERROR(INDEX(データ入力!$A$12:$A$211,MATCH($C163,データ入力!$B$12:$B$211,0)),""),"")</f>
        <v/>
      </c>
      <c r="E163" s="35" t="n">
        <f aca="false">IF($B163=1,1-$A163/(データ入力!$B$8+1),0)</f>
        <v>0</v>
      </c>
      <c r="F163" s="36" t="str">
        <f aca="false">IF($B163=1,(データ入力!$B$8+1)/$A163,"")</f>
        <v/>
      </c>
      <c r="G163" s="37" t="n">
        <f aca="false">IF($B163=1,-LN(-LN($E163)),0)</f>
        <v>0</v>
      </c>
      <c r="H163" s="37" t="n">
        <f aca="false">IF($B163=1,LN(-LN($E163)),0)</f>
        <v>0</v>
      </c>
      <c r="I163" s="36" t="str">
        <f aca="false">IF($B163=1,IFERROR($C163-($N$10+$N$9*$G163),""),"")</f>
        <v/>
      </c>
      <c r="J163" s="36" t="str">
        <f aca="false">IF($B163=1,IFERROR($C163-($N$21-$N$26*EXP(-$G163/$N$24)),""),"")</f>
        <v/>
      </c>
      <c r="T163" s="38" t="n">
        <f aca="false">IFERROR($R$6+($A163-1)*$R$5,"")</f>
        <v>117.45</v>
      </c>
      <c r="U163" s="38" t="n">
        <f aca="false">IFERROR(SUMPRODUCT($B$7:$B$206,LN($T163-$C$7:$C$206)),"")</f>
        <v>330.781788932805</v>
      </c>
      <c r="V163" s="38" t="n">
        <f aca="false">IFERROR(SUMPRODUCT($B$7:$B$206,LN($T163-$C$7:$C$206),LN($T163-$C$7:$C$206)),"")</f>
        <v>1458.91288537391</v>
      </c>
      <c r="W163" s="38" t="n">
        <f aca="false">IFERROR(SUMPRODUCT($B$7:$B$206,LN($T163-$C$7:$C$206),$H$7:$H$206),"")</f>
        <v>-182.253884091779</v>
      </c>
      <c r="X163" s="39" t="n">
        <f aca="false">IFERROR((データ入力!$B$8*W163-U163*$N$22)/SQRT((データ入力!$B$8*V163-U163^2)*(データ入力!$B$8*$N$23-$N$22^2)),-1)</f>
        <v>0.996507206062689</v>
      </c>
      <c r="Z163" s="38" t="n">
        <f aca="false">IFERROR($R$10+($A163-1)*$R$9,"")</f>
        <v>59.7339195979899</v>
      </c>
      <c r="AA163" s="38" t="n">
        <f aca="false">IFERROR(SUMPRODUCT($B$7:$B$206,LN($Z163-$C$7:$C$206)),"")</f>
        <v>240.069230797821</v>
      </c>
      <c r="AB163" s="38" t="n">
        <f aca="false">IFERROR(SUMPRODUCT($B$7:$B$206,LN($Z163-$C$7:$C$206),LN($Z163-$C$7:$C$206)),"")</f>
        <v>768.73310700104</v>
      </c>
      <c r="AC163" s="38" t="n">
        <f aca="false">IFERROR(SUMPRODUCT($B$7:$B$206,LN($Z163-$C$7:$C$206),$H$7:$H$206),"")</f>
        <v>-127.919181447936</v>
      </c>
      <c r="AD163" s="39" t="n">
        <f aca="false">IFERROR((データ入力!$B$8*AC163-AA163*$N$22)/SQRT((データ入力!$B$8*AB163-AA163^2)*(データ入力!$B$8*$N$23-$N$22^2)),-1)</f>
        <v>0.997026941042565</v>
      </c>
    </row>
    <row r="164" customFormat="false" ht="15" hidden="false" customHeight="false" outlineLevel="0" collapsed="false">
      <c r="A164" s="32" t="n">
        <v>158</v>
      </c>
      <c r="B164" s="33" t="n">
        <f aca="false">IF($A164&lt;=データ入力!$B$8,1,0)</f>
        <v>0</v>
      </c>
      <c r="C164" s="34" t="n">
        <f aca="false">IF($B164=1,LARGE(データ入力!$B$12:$B$211,$A164),0)</f>
        <v>0</v>
      </c>
      <c r="D164" s="32" t="str">
        <f aca="false">IF($B164=1,IFERROR(INDEX(データ入力!$A$12:$A$211,MATCH($C164,データ入力!$B$12:$B$211,0)),""),"")</f>
        <v/>
      </c>
      <c r="E164" s="35" t="n">
        <f aca="false">IF($B164=1,1-$A164/(データ入力!$B$8+1),0)</f>
        <v>0</v>
      </c>
      <c r="F164" s="36" t="str">
        <f aca="false">IF($B164=1,(データ入力!$B$8+1)/$A164,"")</f>
        <v/>
      </c>
      <c r="G164" s="37" t="n">
        <f aca="false">IF($B164=1,-LN(-LN($E164)),0)</f>
        <v>0</v>
      </c>
      <c r="H164" s="37" t="n">
        <f aca="false">IF($B164=1,LN(-LN($E164)),0)</f>
        <v>0</v>
      </c>
      <c r="I164" s="36" t="str">
        <f aca="false">IF($B164=1,IFERROR($C164-($N$10+$N$9*$G164),""),"")</f>
        <v/>
      </c>
      <c r="J164" s="36" t="str">
        <f aca="false">IF($B164=1,IFERROR($C164-($N$21-$N$26*EXP(-$G164/$N$24)),""),"")</f>
        <v/>
      </c>
      <c r="T164" s="38" t="n">
        <f aca="false">IFERROR($R$6+($A164-1)*$R$5,"")</f>
        <v>117.95</v>
      </c>
      <c r="U164" s="38" t="n">
        <f aca="false">IFERROR(SUMPRODUCT($B$7:$B$206,LN($T164-$C$7:$C$206)),"")</f>
        <v>331.236111887385</v>
      </c>
      <c r="V164" s="38" t="n">
        <f aca="false">IFERROR(SUMPRODUCT($B$7:$B$206,LN($T164-$C$7:$C$206),LN($T164-$C$7:$C$206)),"")</f>
        <v>1462.92284827742</v>
      </c>
      <c r="W164" s="38" t="n">
        <f aca="false">IFERROR(SUMPRODUCT($B$7:$B$206,LN($T164-$C$7:$C$206),$H$7:$H$206),"")</f>
        <v>-182.516304097291</v>
      </c>
      <c r="X164" s="39" t="n">
        <f aca="false">IFERROR((データ入力!$B$8*W164-U164*$N$22)/SQRT((データ入力!$B$8*V164-U164^2)*(データ入力!$B$8*$N$23-$N$22^2)),-1)</f>
        <v>0.996504652403284</v>
      </c>
      <c r="Z164" s="38" t="n">
        <f aca="false">IFERROR($R$10+($A164-1)*$R$9,"")</f>
        <v>59.7389447236181</v>
      </c>
      <c r="AA164" s="38" t="n">
        <f aca="false">IFERROR(SUMPRODUCT($B$7:$B$206,LN($Z164-$C$7:$C$206)),"")</f>
        <v>240.084607878918</v>
      </c>
      <c r="AB164" s="38" t="n">
        <f aca="false">IFERROR(SUMPRODUCT($B$7:$B$206,LN($Z164-$C$7:$C$206),LN($Z164-$C$7:$C$206)),"")</f>
        <v>768.831429975382</v>
      </c>
      <c r="AC164" s="38" t="n">
        <f aca="false">IFERROR(SUMPRODUCT($B$7:$B$206,LN($Z164-$C$7:$C$206),$H$7:$H$206),"")</f>
        <v>-127.928892213308</v>
      </c>
      <c r="AD164" s="39" t="n">
        <f aca="false">IFERROR((データ入力!$B$8*AC164-AA164*$N$22)/SQRT((データ入力!$B$8*AB164-AA164^2)*(データ入力!$B$8*$N$23-$N$22^2)),-1)</f>
        <v>0.997026936113272</v>
      </c>
    </row>
    <row r="165" customFormat="false" ht="15" hidden="false" customHeight="false" outlineLevel="0" collapsed="false">
      <c r="A165" s="32" t="n">
        <v>159</v>
      </c>
      <c r="B165" s="33" t="n">
        <f aca="false">IF($A165&lt;=データ入力!$B$8,1,0)</f>
        <v>0</v>
      </c>
      <c r="C165" s="34" t="n">
        <f aca="false">IF($B165=1,LARGE(データ入力!$B$12:$B$211,$A165),0)</f>
        <v>0</v>
      </c>
      <c r="D165" s="32" t="str">
        <f aca="false">IF($B165=1,IFERROR(INDEX(データ入力!$A$12:$A$211,MATCH($C165,データ入力!$B$12:$B$211,0)),""),"")</f>
        <v/>
      </c>
      <c r="E165" s="35" t="n">
        <f aca="false">IF($B165=1,1-$A165/(データ入力!$B$8+1),0)</f>
        <v>0</v>
      </c>
      <c r="F165" s="36" t="str">
        <f aca="false">IF($B165=1,(データ入力!$B$8+1)/$A165,"")</f>
        <v/>
      </c>
      <c r="G165" s="37" t="n">
        <f aca="false">IF($B165=1,-LN(-LN($E165)),0)</f>
        <v>0</v>
      </c>
      <c r="H165" s="37" t="n">
        <f aca="false">IF($B165=1,LN(-LN($E165)),0)</f>
        <v>0</v>
      </c>
      <c r="I165" s="36" t="str">
        <f aca="false">IF($B165=1,IFERROR($C165-($N$10+$N$9*$G165),""),"")</f>
        <v/>
      </c>
      <c r="J165" s="36" t="str">
        <f aca="false">IF($B165=1,IFERROR($C165-($N$21-$N$26*EXP(-$G165/$N$24)),""),"")</f>
        <v/>
      </c>
      <c r="T165" s="38" t="n">
        <f aca="false">IFERROR($R$6+($A165-1)*$R$5,"")</f>
        <v>118.45</v>
      </c>
      <c r="U165" s="38" t="n">
        <f aca="false">IFERROR(SUMPRODUCT($B$7:$B$206,LN($T165-$C$7:$C$206)),"")</f>
        <v>331.687698373761</v>
      </c>
      <c r="V165" s="38" t="n">
        <f aca="false">IFERROR(SUMPRODUCT($B$7:$B$206,LN($T165-$C$7:$C$206),LN($T165-$C$7:$C$206)),"")</f>
        <v>1466.91411672608</v>
      </c>
      <c r="W165" s="38" t="n">
        <f aca="false">IFERROR(SUMPRODUCT($B$7:$B$206,LN($T165-$C$7:$C$206),$H$7:$H$206),"")</f>
        <v>-182.777083651834</v>
      </c>
      <c r="X165" s="39" t="n">
        <f aca="false">IFERROR((データ入力!$B$8*W165-U165*$N$22)/SQRT((データ入力!$B$8*V165-U165^2)*(データ入力!$B$8*$N$23-$N$22^2)),-1)</f>
        <v>0.996502123622621</v>
      </c>
      <c r="Z165" s="38" t="n">
        <f aca="false">IFERROR($R$10+($A165-1)*$R$9,"")</f>
        <v>59.7439698492462</v>
      </c>
      <c r="AA165" s="38" t="n">
        <f aca="false">IFERROR(SUMPRODUCT($B$7:$B$206,LN($Z165-$C$7:$C$206)),"")</f>
        <v>240.099981795105</v>
      </c>
      <c r="AB165" s="38" t="n">
        <f aca="false">IFERROR(SUMPRODUCT($B$7:$B$206,LN($Z165-$C$7:$C$206),LN($Z165-$C$7:$C$206)),"")</f>
        <v>768.929739068414</v>
      </c>
      <c r="AC165" s="38" t="n">
        <f aca="false">IFERROR(SUMPRODUCT($B$7:$B$206,LN($Z165-$C$7:$C$206),$H$7:$H$206),"")</f>
        <v>-127.938600728586</v>
      </c>
      <c r="AD165" s="39" t="n">
        <f aca="false">IFERROR((データ入力!$B$8*AC165-AA165*$N$22)/SQRT((データ入力!$B$8*AB165-AA165^2)*(データ入力!$B$8*$N$23-$N$22^2)),-1)</f>
        <v>0.997026931095238</v>
      </c>
    </row>
    <row r="166" customFormat="false" ht="15" hidden="false" customHeight="false" outlineLevel="0" collapsed="false">
      <c r="A166" s="32" t="n">
        <v>160</v>
      </c>
      <c r="B166" s="33" t="n">
        <f aca="false">IF($A166&lt;=データ入力!$B$8,1,0)</f>
        <v>0</v>
      </c>
      <c r="C166" s="34" t="n">
        <f aca="false">IF($B166=1,LARGE(データ入力!$B$12:$B$211,$A166),0)</f>
        <v>0</v>
      </c>
      <c r="D166" s="32" t="str">
        <f aca="false">IF($B166=1,IFERROR(INDEX(データ入力!$A$12:$A$211,MATCH($C166,データ入力!$B$12:$B$211,0)),""),"")</f>
        <v/>
      </c>
      <c r="E166" s="35" t="n">
        <f aca="false">IF($B166=1,1-$A166/(データ入力!$B$8+1),0)</f>
        <v>0</v>
      </c>
      <c r="F166" s="36" t="str">
        <f aca="false">IF($B166=1,(データ入力!$B$8+1)/$A166,"")</f>
        <v/>
      </c>
      <c r="G166" s="37" t="n">
        <f aca="false">IF($B166=1,-LN(-LN($E166)),0)</f>
        <v>0</v>
      </c>
      <c r="H166" s="37" t="n">
        <f aca="false">IF($B166=1,LN(-LN($E166)),0)</f>
        <v>0</v>
      </c>
      <c r="I166" s="36" t="str">
        <f aca="false">IF($B166=1,IFERROR($C166-($N$10+$N$9*$G166),""),"")</f>
        <v/>
      </c>
      <c r="J166" s="36" t="str">
        <f aca="false">IF($B166=1,IFERROR($C166-($N$21-$N$26*EXP(-$G166/$N$24)),""),"")</f>
        <v/>
      </c>
      <c r="T166" s="38" t="n">
        <f aca="false">IFERROR($R$6+($A166-1)*$R$5,"")</f>
        <v>118.95</v>
      </c>
      <c r="U166" s="38" t="n">
        <f aca="false">IFERROR(SUMPRODUCT($B$7:$B$206,LN($T166-$C$7:$C$206)),"")</f>
        <v>332.136581169999</v>
      </c>
      <c r="V166" s="38" t="n">
        <f aca="false">IFERROR(SUMPRODUCT($B$7:$B$206,LN($T166-$C$7:$C$206),LN($T166-$C$7:$C$206)),"")</f>
        <v>1470.88688204315</v>
      </c>
      <c r="W166" s="38" t="n">
        <f aca="false">IFERROR(SUMPRODUCT($B$7:$B$206,LN($T166-$C$7:$C$206),$H$7:$H$206),"")</f>
        <v>-183.036243126897</v>
      </c>
      <c r="X166" s="39" t="n">
        <f aca="false">IFERROR((データ入力!$B$8*W166-U166*$N$22)/SQRT((データ入力!$B$8*V166-U166^2)*(データ入力!$B$8*$N$23-$N$22^2)),-1)</f>
        <v>0.996499619386866</v>
      </c>
      <c r="Z166" s="38" t="n">
        <f aca="false">IFERROR($R$10+($A166-1)*$R$9,"")</f>
        <v>59.7489949748744</v>
      </c>
      <c r="AA166" s="38" t="n">
        <f aca="false">IFERROR(SUMPRODUCT($B$7:$B$206,LN($Z166-$C$7:$C$206)),"")</f>
        <v>240.115352547689</v>
      </c>
      <c r="AB166" s="38" t="n">
        <f aca="false">IFERROR(SUMPRODUCT($B$7:$B$206,LN($Z166-$C$7:$C$206),LN($Z166-$C$7:$C$206)),"")</f>
        <v>769.028034284555</v>
      </c>
      <c r="AC166" s="38" t="n">
        <f aca="false">IFERROR(SUMPRODUCT($B$7:$B$206,LN($Z166-$C$7:$C$206),$H$7:$H$206),"")</f>
        <v>-127.948306994807</v>
      </c>
      <c r="AD166" s="39" t="n">
        <f aca="false">IFERROR((データ入力!$B$8*AC166-AA166*$N$22)/SQRT((データ入力!$B$8*AB166-AA166^2)*(データ入力!$B$8*$N$23-$N$22^2)),-1)</f>
        <v>0.997026925987159</v>
      </c>
    </row>
    <row r="167" customFormat="false" ht="15" hidden="false" customHeight="false" outlineLevel="0" collapsed="false">
      <c r="A167" s="32" t="n">
        <v>161</v>
      </c>
      <c r="B167" s="33" t="n">
        <f aca="false">IF($A167&lt;=データ入力!$B$8,1,0)</f>
        <v>0</v>
      </c>
      <c r="C167" s="34" t="n">
        <f aca="false">IF($B167=1,LARGE(データ入力!$B$12:$B$211,$A167),0)</f>
        <v>0</v>
      </c>
      <c r="D167" s="32" t="str">
        <f aca="false">IF($B167=1,IFERROR(INDEX(データ入力!$A$12:$A$211,MATCH($C167,データ入力!$B$12:$B$211,0)),""),"")</f>
        <v/>
      </c>
      <c r="E167" s="35" t="n">
        <f aca="false">IF($B167=1,1-$A167/(データ入力!$B$8+1),0)</f>
        <v>0</v>
      </c>
      <c r="F167" s="36" t="str">
        <f aca="false">IF($B167=1,(データ入力!$B$8+1)/$A167,"")</f>
        <v/>
      </c>
      <c r="G167" s="37" t="n">
        <f aca="false">IF($B167=1,-LN(-LN($E167)),0)</f>
        <v>0</v>
      </c>
      <c r="H167" s="37" t="n">
        <f aca="false">IF($B167=1,LN(-LN($E167)),0)</f>
        <v>0</v>
      </c>
      <c r="I167" s="36" t="str">
        <f aca="false">IF($B167=1,IFERROR($C167-($N$10+$N$9*$G167),""),"")</f>
        <v/>
      </c>
      <c r="J167" s="36" t="str">
        <f aca="false">IF($B167=1,IFERROR($C167-($N$21-$N$26*EXP(-$G167/$N$24)),""),"")</f>
        <v/>
      </c>
      <c r="T167" s="38" t="n">
        <f aca="false">IFERROR($R$6+($A167-1)*$R$5,"")</f>
        <v>119.45</v>
      </c>
      <c r="U167" s="38" t="n">
        <f aca="false">IFERROR(SUMPRODUCT($B$7:$B$206,LN($T167-$C$7:$C$206)),"")</f>
        <v>332.582792468536</v>
      </c>
      <c r="V167" s="38" t="n">
        <f aca="false">IFERROR(SUMPRODUCT($B$7:$B$206,LN($T167-$C$7:$C$206),LN($T167-$C$7:$C$206)),"")</f>
        <v>1474.84133252097</v>
      </c>
      <c r="W167" s="38" t="n">
        <f aca="false">IFERROR(SUMPRODUCT($B$7:$B$206,LN($T167-$C$7:$C$206),$H$7:$H$206),"")</f>
        <v>-183.293802517023</v>
      </c>
      <c r="X167" s="39" t="n">
        <f aca="false">IFERROR((データ入力!$B$8*W167-U167*$N$22)/SQRT((データ入力!$B$8*V167-U167^2)*(データ入力!$B$8*$N$23-$N$22^2)),-1)</f>
        <v>0.99649713933888</v>
      </c>
      <c r="Z167" s="38" t="n">
        <f aca="false">IFERROR($R$10+($A167-1)*$R$9,"")</f>
        <v>59.7540201005025</v>
      </c>
      <c r="AA167" s="38" t="n">
        <f aca="false">IFERROR(SUMPRODUCT($B$7:$B$206,LN($Z167-$C$7:$C$206)),"")</f>
        <v>240.130720137979</v>
      </c>
      <c r="AB167" s="38" t="n">
        <f aca="false">IFERROR(SUMPRODUCT($B$7:$B$206,LN($Z167-$C$7:$C$206),LN($Z167-$C$7:$C$206)),"")</f>
        <v>769.12631562822</v>
      </c>
      <c r="AC167" s="38" t="n">
        <f aca="false">IFERROR(SUMPRODUCT($B$7:$B$206,LN($Z167-$C$7:$C$206),$H$7:$H$206),"")</f>
        <v>-127.958011013009</v>
      </c>
      <c r="AD167" s="39" t="n">
        <f aca="false">IFERROR((データ入力!$B$8*AC167-AA167*$N$22)/SQRT((データ入力!$B$8*AB167-AA167^2)*(データ入力!$B$8*$N$23-$N$22^2)),-1)</f>
        <v>0.997026920790537</v>
      </c>
    </row>
    <row r="168" customFormat="false" ht="15" hidden="false" customHeight="false" outlineLevel="0" collapsed="false">
      <c r="A168" s="32" t="n">
        <v>162</v>
      </c>
      <c r="B168" s="33" t="n">
        <f aca="false">IF($A168&lt;=データ入力!$B$8,1,0)</f>
        <v>0</v>
      </c>
      <c r="C168" s="34" t="n">
        <f aca="false">IF($B168=1,LARGE(データ入力!$B$12:$B$211,$A168),0)</f>
        <v>0</v>
      </c>
      <c r="D168" s="32" t="str">
        <f aca="false">IF($B168=1,IFERROR(INDEX(データ入力!$A$12:$A$211,MATCH($C168,データ入力!$B$12:$B$211,0)),""),"")</f>
        <v/>
      </c>
      <c r="E168" s="35" t="n">
        <f aca="false">IF($B168=1,1-$A168/(データ入力!$B$8+1),0)</f>
        <v>0</v>
      </c>
      <c r="F168" s="36" t="str">
        <f aca="false">IF($B168=1,(データ入力!$B$8+1)/$A168,"")</f>
        <v/>
      </c>
      <c r="G168" s="37" t="n">
        <f aca="false">IF($B168=1,-LN(-LN($E168)),0)</f>
        <v>0</v>
      </c>
      <c r="H168" s="37" t="n">
        <f aca="false">IF($B168=1,LN(-LN($E168)),0)</f>
        <v>0</v>
      </c>
      <c r="I168" s="36" t="str">
        <f aca="false">IF($B168=1,IFERROR($C168-($N$10+$N$9*$G168),""),"")</f>
        <v/>
      </c>
      <c r="J168" s="36" t="str">
        <f aca="false">IF($B168=1,IFERROR($C168-($N$21-$N$26*EXP(-$G168/$N$24)),""),"")</f>
        <v/>
      </c>
      <c r="T168" s="38" t="n">
        <f aca="false">IFERROR($R$6+($A168-1)*$R$5,"")</f>
        <v>119.95</v>
      </c>
      <c r="U168" s="38" t="n">
        <f aca="false">IFERROR(SUMPRODUCT($B$7:$B$206,LN($T168-$C$7:$C$206)),"")</f>
        <v>333.026363890062</v>
      </c>
      <c r="V168" s="38" t="n">
        <f aca="false">IFERROR(SUMPRODUCT($B$7:$B$206,LN($T168-$C$7:$C$206),LN($T168-$C$7:$C$206)),"")</f>
        <v>1478.77765348586</v>
      </c>
      <c r="W168" s="38" t="n">
        <f aca="false">IFERROR(SUMPRODUCT($B$7:$B$206,LN($T168-$C$7:$C$206),$H$7:$H$206),"")</f>
        <v>-183.549781449046</v>
      </c>
      <c r="X168" s="39" t="n">
        <f aca="false">IFERROR((データ入力!$B$8*W168-U168*$N$22)/SQRT((データ入力!$B$8*V168-U168^2)*(データ入力!$B$8*$N$23-$N$22^2)),-1)</f>
        <v>0.99649468316867</v>
      </c>
      <c r="Z168" s="38" t="n">
        <f aca="false">IFERROR($R$10+($A168-1)*$R$9,"")</f>
        <v>59.7590452261307</v>
      </c>
      <c r="AA168" s="38" t="n">
        <f aca="false">IFERROR(SUMPRODUCT($B$7:$B$206,LN($Z168-$C$7:$C$206)),"")</f>
        <v>240.14608456728</v>
      </c>
      <c r="AB168" s="38" t="n">
        <f aca="false">IFERROR(SUMPRODUCT($B$7:$B$206,LN($Z168-$C$7:$C$206),LN($Z168-$C$7:$C$206)),"")</f>
        <v>769.224583103823</v>
      </c>
      <c r="AC168" s="38" t="n">
        <f aca="false">IFERROR(SUMPRODUCT($B$7:$B$206,LN($Z168-$C$7:$C$206),$H$7:$H$206),"")</f>
        <v>-127.967712784232</v>
      </c>
      <c r="AD168" s="39" t="n">
        <f aca="false">IFERROR((データ入力!$B$8*AC168-AA168*$N$22)/SQRT((データ入力!$B$8*AB168-AA168^2)*(データ入力!$B$8*$N$23-$N$22^2)),-1)</f>
        <v>0.997026915504812</v>
      </c>
    </row>
    <row r="169" customFormat="false" ht="15" hidden="false" customHeight="false" outlineLevel="0" collapsed="false">
      <c r="A169" s="32" t="n">
        <v>163</v>
      </c>
      <c r="B169" s="33" t="n">
        <f aca="false">IF($A169&lt;=データ入力!$B$8,1,0)</f>
        <v>0</v>
      </c>
      <c r="C169" s="34" t="n">
        <f aca="false">IF($B169=1,LARGE(データ入力!$B$12:$B$211,$A169),0)</f>
        <v>0</v>
      </c>
      <c r="D169" s="32" t="str">
        <f aca="false">IF($B169=1,IFERROR(INDEX(データ入力!$A$12:$A$211,MATCH($C169,データ入力!$B$12:$B$211,0)),""),"")</f>
        <v/>
      </c>
      <c r="E169" s="35" t="n">
        <f aca="false">IF($B169=1,1-$A169/(データ入力!$B$8+1),0)</f>
        <v>0</v>
      </c>
      <c r="F169" s="36" t="str">
        <f aca="false">IF($B169=1,(データ入力!$B$8+1)/$A169,"")</f>
        <v/>
      </c>
      <c r="G169" s="37" t="n">
        <f aca="false">IF($B169=1,-LN(-LN($E169)),0)</f>
        <v>0</v>
      </c>
      <c r="H169" s="37" t="n">
        <f aca="false">IF($B169=1,LN(-LN($E169)),0)</f>
        <v>0</v>
      </c>
      <c r="I169" s="36" t="str">
        <f aca="false">IF($B169=1,IFERROR($C169-($N$10+$N$9*$G169),""),"")</f>
        <v/>
      </c>
      <c r="J169" s="36" t="str">
        <f aca="false">IF($B169=1,IFERROR($C169-($N$21-$N$26*EXP(-$G169/$N$24)),""),"")</f>
        <v/>
      </c>
      <c r="T169" s="38" t="n">
        <f aca="false">IFERROR($R$6+($A169-1)*$R$5,"")</f>
        <v>120.45</v>
      </c>
      <c r="U169" s="38" t="n">
        <f aca="false">IFERROR(SUMPRODUCT($B$7:$B$206,LN($T169-$C$7:$C$206)),"")</f>
        <v>333.467326496975</v>
      </c>
      <c r="V169" s="38" t="n">
        <f aca="false">IFERROR(SUMPRODUCT($B$7:$B$206,LN($T169-$C$7:$C$206),LN($T169-$C$7:$C$206)),"")</f>
        <v>1482.69602736135</v>
      </c>
      <c r="W169" s="38" t="n">
        <f aca="false">IFERROR(SUMPRODUCT($B$7:$B$206,LN($T169-$C$7:$C$206),$H$7:$H$206),"")</f>
        <v>-183.80419919105</v>
      </c>
      <c r="X169" s="39" t="n">
        <f aca="false">IFERROR((データ入力!$B$8*W169-U169*$N$22)/SQRT((データ入力!$B$8*V169-U169^2)*(データ入力!$B$8*$N$23-$N$22^2)),-1)</f>
        <v>0.99649225054926</v>
      </c>
      <c r="Z169" s="38" t="n">
        <f aca="false">IFERROR($R$10+($A169-1)*$R$9,"")</f>
        <v>59.7640703517588</v>
      </c>
      <c r="AA169" s="38" t="n">
        <f aca="false">IFERROR(SUMPRODUCT($B$7:$B$206,LN($Z169-$C$7:$C$206)),"")</f>
        <v>240.161445836898</v>
      </c>
      <c r="AB169" s="38" t="n">
        <f aca="false">IFERROR(SUMPRODUCT($B$7:$B$206,LN($Z169-$C$7:$C$206),LN($Z169-$C$7:$C$206)),"")</f>
        <v>769.322836715776</v>
      </c>
      <c r="AC169" s="38" t="n">
        <f aca="false">IFERROR(SUMPRODUCT($B$7:$B$206,LN($Z169-$C$7:$C$206),$H$7:$H$206),"")</f>
        <v>-127.97741230951</v>
      </c>
      <c r="AD169" s="39" t="n">
        <f aca="false">IFERROR((データ入力!$B$8*AC169-AA169*$N$22)/SQRT((データ入力!$B$8*AB169-AA169^2)*(データ入力!$B$8*$N$23-$N$22^2)),-1)</f>
        <v>0.997026910129879</v>
      </c>
    </row>
    <row r="170" customFormat="false" ht="15" hidden="false" customHeight="false" outlineLevel="0" collapsed="false">
      <c r="A170" s="32" t="n">
        <v>164</v>
      </c>
      <c r="B170" s="33" t="n">
        <f aca="false">IF($A170&lt;=データ入力!$B$8,1,0)</f>
        <v>0</v>
      </c>
      <c r="C170" s="34" t="n">
        <f aca="false">IF($B170=1,LARGE(データ入力!$B$12:$B$211,$A170),0)</f>
        <v>0</v>
      </c>
      <c r="D170" s="32" t="str">
        <f aca="false">IF($B170=1,IFERROR(INDEX(データ入力!$A$12:$A$211,MATCH($C170,データ入力!$B$12:$B$211,0)),""),"")</f>
        <v/>
      </c>
      <c r="E170" s="35" t="n">
        <f aca="false">IF($B170=1,1-$A170/(データ入力!$B$8+1),0)</f>
        <v>0</v>
      </c>
      <c r="F170" s="36" t="str">
        <f aca="false">IF($B170=1,(データ入力!$B$8+1)/$A170,"")</f>
        <v/>
      </c>
      <c r="G170" s="37" t="n">
        <f aca="false">IF($B170=1,-LN(-LN($E170)),0)</f>
        <v>0</v>
      </c>
      <c r="H170" s="37" t="n">
        <f aca="false">IF($B170=1,LN(-LN($E170)),0)</f>
        <v>0</v>
      </c>
      <c r="I170" s="36" t="str">
        <f aca="false">IF($B170=1,IFERROR($C170-($N$10+$N$9*$G170),""),"")</f>
        <v/>
      </c>
      <c r="J170" s="36" t="str">
        <f aca="false">IF($B170=1,IFERROR($C170-($N$21-$N$26*EXP(-$G170/$N$24)),""),"")</f>
        <v/>
      </c>
      <c r="T170" s="38" t="n">
        <f aca="false">IFERROR($R$6+($A170-1)*$R$5,"")</f>
        <v>120.95</v>
      </c>
      <c r="U170" s="38" t="n">
        <f aca="false">IFERROR(SUMPRODUCT($B$7:$B$206,LN($T170-$C$7:$C$206)),"")</f>
        <v>333.905710806459</v>
      </c>
      <c r="V170" s="38" t="n">
        <f aca="false">IFERROR(SUMPRODUCT($B$7:$B$206,LN($T170-$C$7:$C$206),LN($T170-$C$7:$C$206)),"")</f>
        <v>1486.59663372961</v>
      </c>
      <c r="W170" s="38" t="n">
        <f aca="false">IFERROR(SUMPRODUCT($B$7:$B$206,LN($T170-$C$7:$C$206),$H$7:$H$206),"")</f>
        <v>-184.057074661056</v>
      </c>
      <c r="X170" s="39" t="n">
        <f aca="false">IFERROR((データ入力!$B$8*W170-U170*$N$22)/SQRT((データ入力!$B$8*V170-U170^2)*(データ入力!$B$8*$N$23-$N$22^2)),-1)</f>
        <v>0.996489841156779</v>
      </c>
      <c r="Z170" s="38" t="n">
        <f aca="false">IFERROR($R$10+($A170-1)*$R$9,"")</f>
        <v>59.7690954773869</v>
      </c>
      <c r="AA170" s="38" t="n">
        <f aca="false">IFERROR(SUMPRODUCT($B$7:$B$206,LN($Z170-$C$7:$C$206)),"")</f>
        <v>240.176803948139</v>
      </c>
      <c r="AB170" s="38" t="n">
        <f aca="false">IFERROR(SUMPRODUCT($B$7:$B$206,LN($Z170-$C$7:$C$206),LN($Z170-$C$7:$C$206)),"")</f>
        <v>769.421076468488</v>
      </c>
      <c r="AC170" s="38" t="n">
        <f aca="false">IFERROR(SUMPRODUCT($B$7:$B$206,LN($Z170-$C$7:$C$206),$H$7:$H$206),"")</f>
        <v>-127.987109589882</v>
      </c>
      <c r="AD170" s="39" t="n">
        <f aca="false">IFERROR((データ入力!$B$8*AC170-AA170*$N$22)/SQRT((データ入力!$B$8*AB170-AA170^2)*(データ入力!$B$8*$N$23-$N$22^2)),-1)</f>
        <v>0.997026904666421</v>
      </c>
    </row>
    <row r="171" customFormat="false" ht="15" hidden="false" customHeight="false" outlineLevel="0" collapsed="false">
      <c r="A171" s="32" t="n">
        <v>165</v>
      </c>
      <c r="B171" s="33" t="n">
        <f aca="false">IF($A171&lt;=データ入力!$B$8,1,0)</f>
        <v>0</v>
      </c>
      <c r="C171" s="34" t="n">
        <f aca="false">IF($B171=1,LARGE(データ入力!$B$12:$B$211,$A171),0)</f>
        <v>0</v>
      </c>
      <c r="D171" s="32" t="str">
        <f aca="false">IF($B171=1,IFERROR(INDEX(データ入力!$A$12:$A$211,MATCH($C171,データ入力!$B$12:$B$211,0)),""),"")</f>
        <v/>
      </c>
      <c r="E171" s="35" t="n">
        <f aca="false">IF($B171=1,1-$A171/(データ入力!$B$8+1),0)</f>
        <v>0</v>
      </c>
      <c r="F171" s="36" t="str">
        <f aca="false">IF($B171=1,(データ入力!$B$8+1)/$A171,"")</f>
        <v/>
      </c>
      <c r="G171" s="37" t="n">
        <f aca="false">IF($B171=1,-LN(-LN($E171)),0)</f>
        <v>0</v>
      </c>
      <c r="H171" s="37" t="n">
        <f aca="false">IF($B171=1,LN(-LN($E171)),0)</f>
        <v>0</v>
      </c>
      <c r="I171" s="36" t="str">
        <f aca="false">IF($B171=1,IFERROR($C171-($N$10+$N$9*$G171),""),"")</f>
        <v/>
      </c>
      <c r="J171" s="36" t="str">
        <f aca="false">IF($B171=1,IFERROR($C171-($N$21-$N$26*EXP(-$G171/$N$24)),""),"")</f>
        <v/>
      </c>
      <c r="T171" s="38" t="n">
        <f aca="false">IFERROR($R$6+($A171-1)*$R$5,"")</f>
        <v>121.45</v>
      </c>
      <c r="U171" s="38" t="n">
        <f aca="false">IFERROR(SUMPRODUCT($B$7:$B$206,LN($T171-$C$7:$C$206)),"")</f>
        <v>334.341546803168</v>
      </c>
      <c r="V171" s="38" t="n">
        <f aca="false">IFERROR(SUMPRODUCT($B$7:$B$206,LN($T171-$C$7:$C$206),LN($T171-$C$7:$C$206)),"")</f>
        <v>1490.47964939136</v>
      </c>
      <c r="W171" s="38" t="n">
        <f aca="false">IFERROR(SUMPRODUCT($B$7:$B$206,LN($T171-$C$7:$C$206),$H$7:$H$206),"")</f>
        <v>-184.308426435448</v>
      </c>
      <c r="X171" s="39" t="n">
        <f aca="false">IFERROR((データ入力!$B$8*W171-U171*$N$22)/SQRT((データ入力!$B$8*V171-U171^2)*(データ入力!$B$8*$N$23-$N$22^2)),-1)</f>
        <v>0.996487454682278</v>
      </c>
      <c r="Z171" s="38" t="n">
        <f aca="false">IFERROR($R$10+($A171-1)*$R$9,"")</f>
        <v>59.7741206030151</v>
      </c>
      <c r="AA171" s="38" t="n">
        <f aca="false">IFERROR(SUMPRODUCT($B$7:$B$206,LN($Z171-$C$7:$C$206)),"")</f>
        <v>240.192158902305</v>
      </c>
      <c r="AB171" s="38" t="n">
        <f aca="false">IFERROR(SUMPRODUCT($B$7:$B$206,LN($Z171-$C$7:$C$206),LN($Z171-$C$7:$C$206)),"")</f>
        <v>769.519302366366</v>
      </c>
      <c r="AC171" s="38" t="n">
        <f aca="false">IFERROR(SUMPRODUCT($B$7:$B$206,LN($Z171-$C$7:$C$206),$H$7:$H$206),"")</f>
        <v>-127.996804626381</v>
      </c>
      <c r="AD171" s="39" t="n">
        <f aca="false">IFERROR((データ入力!$B$8*AC171-AA171*$N$22)/SQRT((データ入力!$B$8*AB171-AA171^2)*(データ入力!$B$8*$N$23-$N$22^2)),-1)</f>
        <v>0.997026899114232</v>
      </c>
    </row>
    <row r="172" customFormat="false" ht="15" hidden="false" customHeight="false" outlineLevel="0" collapsed="false">
      <c r="A172" s="32" t="n">
        <v>166</v>
      </c>
      <c r="B172" s="33" t="n">
        <f aca="false">IF($A172&lt;=データ入力!$B$8,1,0)</f>
        <v>0</v>
      </c>
      <c r="C172" s="34" t="n">
        <f aca="false">IF($B172=1,LARGE(データ入力!$B$12:$B$211,$A172),0)</f>
        <v>0</v>
      </c>
      <c r="D172" s="32" t="str">
        <f aca="false">IF($B172=1,IFERROR(INDEX(データ入力!$A$12:$A$211,MATCH($C172,データ入力!$B$12:$B$211,0)),""),"")</f>
        <v/>
      </c>
      <c r="E172" s="35" t="n">
        <f aca="false">IF($B172=1,1-$A172/(データ入力!$B$8+1),0)</f>
        <v>0</v>
      </c>
      <c r="F172" s="36" t="str">
        <f aca="false">IF($B172=1,(データ入力!$B$8+1)/$A172,"")</f>
        <v/>
      </c>
      <c r="G172" s="37" t="n">
        <f aca="false">IF($B172=1,-LN(-LN($E172)),0)</f>
        <v>0</v>
      </c>
      <c r="H172" s="37" t="n">
        <f aca="false">IF($B172=1,LN(-LN($E172)),0)</f>
        <v>0</v>
      </c>
      <c r="I172" s="36" t="str">
        <f aca="false">IF($B172=1,IFERROR($C172-($N$10+$N$9*$G172),""),"")</f>
        <v/>
      </c>
      <c r="J172" s="36" t="str">
        <f aca="false">IF($B172=1,IFERROR($C172-($N$21-$N$26*EXP(-$G172/$N$24)),""),"")</f>
        <v/>
      </c>
      <c r="T172" s="38" t="n">
        <f aca="false">IFERROR($R$6+($A172-1)*$R$5,"")</f>
        <v>121.95</v>
      </c>
      <c r="U172" s="38" t="n">
        <f aca="false">IFERROR(SUMPRODUCT($B$7:$B$206,LN($T172-$C$7:$C$206)),"")</f>
        <v>334.77486395155</v>
      </c>
      <c r="V172" s="38" t="n">
        <f aca="false">IFERROR(SUMPRODUCT($B$7:$B$206,LN($T172-$C$7:$C$206),LN($T172-$C$7:$C$206)),"")</f>
        <v>1494.3452484241</v>
      </c>
      <c r="W172" s="38" t="n">
        <f aca="false">IFERROR(SUMPRODUCT($B$7:$B$206,LN($T172-$C$7:$C$206),$H$7:$H$206),"")</f>
        <v>-184.558272757145</v>
      </c>
      <c r="X172" s="39" t="n">
        <f aca="false">IFERROR((データ入力!$B$8*W172-U172*$N$22)/SQRT((データ入力!$B$8*V172-U172^2)*(データ入力!$B$8*$N$23-$N$22^2)),-1)</f>
        <v>0.996485090825152</v>
      </c>
      <c r="Z172" s="38" t="n">
        <f aca="false">IFERROR($R$10+($A172-1)*$R$9,"")</f>
        <v>59.7791457286432</v>
      </c>
      <c r="AA172" s="38" t="n">
        <f aca="false">IFERROR(SUMPRODUCT($B$7:$B$206,LN($Z172-$C$7:$C$206)),"")</f>
        <v>240.207510700701</v>
      </c>
      <c r="AB172" s="38" t="n">
        <f aca="false">IFERROR(SUMPRODUCT($B$7:$B$206,LN($Z172-$C$7:$C$206),LN($Z172-$C$7:$C$206)),"")</f>
        <v>769.617514413815</v>
      </c>
      <c r="AC172" s="38" t="n">
        <f aca="false">IFERROR(SUMPRODUCT($B$7:$B$206,LN($Z172-$C$7:$C$206),$H$7:$H$206),"")</f>
        <v>-128.006497420044</v>
      </c>
      <c r="AD172" s="39" t="n">
        <f aca="false">IFERROR((データ入力!$B$8*AC172-AA172*$N$22)/SQRT((データ入力!$B$8*AB172-AA172^2)*(データ入力!$B$8*$N$23-$N$22^2)),-1)</f>
        <v>0.997026893473571</v>
      </c>
    </row>
    <row r="173" customFormat="false" ht="15" hidden="false" customHeight="false" outlineLevel="0" collapsed="false">
      <c r="A173" s="32" t="n">
        <v>167</v>
      </c>
      <c r="B173" s="33" t="n">
        <f aca="false">IF($A173&lt;=データ入力!$B$8,1,0)</f>
        <v>0</v>
      </c>
      <c r="C173" s="34" t="n">
        <f aca="false">IF($B173=1,LARGE(データ入力!$B$12:$B$211,$A173),0)</f>
        <v>0</v>
      </c>
      <c r="D173" s="32" t="str">
        <f aca="false">IF($B173=1,IFERROR(INDEX(データ入力!$A$12:$A$211,MATCH($C173,データ入力!$B$12:$B$211,0)),""),"")</f>
        <v/>
      </c>
      <c r="E173" s="35" t="n">
        <f aca="false">IF($B173=1,1-$A173/(データ入力!$B$8+1),0)</f>
        <v>0</v>
      </c>
      <c r="F173" s="36" t="str">
        <f aca="false">IF($B173=1,(データ入力!$B$8+1)/$A173,"")</f>
        <v/>
      </c>
      <c r="G173" s="37" t="n">
        <f aca="false">IF($B173=1,-LN(-LN($E173)),0)</f>
        <v>0</v>
      </c>
      <c r="H173" s="37" t="n">
        <f aca="false">IF($B173=1,LN(-LN($E173)),0)</f>
        <v>0</v>
      </c>
      <c r="I173" s="36" t="str">
        <f aca="false">IF($B173=1,IFERROR($C173-($N$10+$N$9*$G173),""),"")</f>
        <v/>
      </c>
      <c r="J173" s="36" t="str">
        <f aca="false">IF($B173=1,IFERROR($C173-($N$21-$N$26*EXP(-$G173/$N$24)),""),"")</f>
        <v/>
      </c>
      <c r="T173" s="38" t="n">
        <f aca="false">IFERROR($R$6+($A173-1)*$R$5,"")</f>
        <v>122.45</v>
      </c>
      <c r="U173" s="38" t="n">
        <f aca="false">IFERROR(SUMPRODUCT($B$7:$B$206,LN($T173-$C$7:$C$206)),"")</f>
        <v>335.205691207817</v>
      </c>
      <c r="V173" s="38" t="n">
        <f aca="false">IFERROR(SUMPRODUCT($B$7:$B$206,LN($T173-$C$7:$C$206),LN($T173-$C$7:$C$206)),"")</f>
        <v>1498.19360223885</v>
      </c>
      <c r="W173" s="38" t="n">
        <f aca="false">IFERROR(SUMPRODUCT($B$7:$B$206,LN($T173-$C$7:$C$206),$H$7:$H$206),"")</f>
        <v>-184.806631543533</v>
      </c>
      <c r="X173" s="39" t="n">
        <f aca="false">IFERROR((データ入力!$B$8*W173-U173*$N$22)/SQRT((データ入力!$B$8*V173-U173^2)*(データ入力!$B$8*$N$23-$N$22^2)),-1)</f>
        <v>0.996482749270163</v>
      </c>
      <c r="Z173" s="38" t="n">
        <f aca="false">IFERROR($R$10+($A173-1)*$R$9,"")</f>
        <v>59.7841708542714</v>
      </c>
      <c r="AA173" s="38" t="n">
        <f aca="false">IFERROR(SUMPRODUCT($B$7:$B$206,LN($Z173-$C$7:$C$206)),"")</f>
        <v>240.222859344629</v>
      </c>
      <c r="AB173" s="38" t="n">
        <f aca="false">IFERROR(SUMPRODUCT($B$7:$B$206,LN($Z173-$C$7:$C$206),LN($Z173-$C$7:$C$206)),"")</f>
        <v>769.715712615238</v>
      </c>
      <c r="AC173" s="38" t="n">
        <f aca="false">IFERROR(SUMPRODUCT($B$7:$B$206,LN($Z173-$C$7:$C$206),$H$7:$H$206),"")</f>
        <v>-128.016187971904</v>
      </c>
      <c r="AD173" s="39" t="n">
        <f aca="false">IFERROR((データ入力!$B$8*AC173-AA173*$N$22)/SQRT((データ入力!$B$8*AB173-AA173^2)*(データ入力!$B$8*$N$23-$N$22^2)),-1)</f>
        <v>0.997026887744302</v>
      </c>
    </row>
    <row r="174" customFormat="false" ht="15" hidden="false" customHeight="false" outlineLevel="0" collapsed="false">
      <c r="A174" s="32" t="n">
        <v>168</v>
      </c>
      <c r="B174" s="33" t="n">
        <f aca="false">IF($A174&lt;=データ入力!$B$8,1,0)</f>
        <v>0</v>
      </c>
      <c r="C174" s="34" t="n">
        <f aca="false">IF($B174=1,LARGE(データ入力!$B$12:$B$211,$A174),0)</f>
        <v>0</v>
      </c>
      <c r="D174" s="32" t="str">
        <f aca="false">IF($B174=1,IFERROR(INDEX(データ入力!$A$12:$A$211,MATCH($C174,データ入力!$B$12:$B$211,0)),""),"")</f>
        <v/>
      </c>
      <c r="E174" s="35" t="n">
        <f aca="false">IF($B174=1,1-$A174/(データ入力!$B$8+1),0)</f>
        <v>0</v>
      </c>
      <c r="F174" s="36" t="str">
        <f aca="false">IF($B174=1,(データ入力!$B$8+1)/$A174,"")</f>
        <v/>
      </c>
      <c r="G174" s="37" t="n">
        <f aca="false">IF($B174=1,-LN(-LN($E174)),0)</f>
        <v>0</v>
      </c>
      <c r="H174" s="37" t="n">
        <f aca="false">IF($B174=1,LN(-LN($E174)),0)</f>
        <v>0</v>
      </c>
      <c r="I174" s="36" t="str">
        <f aca="false">IF($B174=1,IFERROR($C174-($N$10+$N$9*$G174),""),"")</f>
        <v/>
      </c>
      <c r="J174" s="36" t="str">
        <f aca="false">IF($B174=1,IFERROR($C174-($N$21-$N$26*EXP(-$G174/$N$24)),""),"")</f>
        <v/>
      </c>
      <c r="T174" s="38" t="n">
        <f aca="false">IFERROR($R$6+($A174-1)*$R$5,"")</f>
        <v>122.95</v>
      </c>
      <c r="U174" s="38" t="n">
        <f aca="false">IFERROR(SUMPRODUCT($B$7:$B$206,LN($T174-$C$7:$C$206)),"")</f>
        <v>335.634057031568</v>
      </c>
      <c r="V174" s="38" t="n">
        <f aca="false">IFERROR(SUMPRODUCT($B$7:$B$206,LN($T174-$C$7:$C$206),LN($T174-$C$7:$C$206)),"")</f>
        <v>1502.02487963539</v>
      </c>
      <c r="W174" s="38" t="n">
        <f aca="false">IFERROR(SUMPRODUCT($B$7:$B$206,LN($T174-$C$7:$C$206),$H$7:$H$206),"")</f>
        <v>-185.05352039416</v>
      </c>
      <c r="X174" s="39" t="n">
        <f aca="false">IFERROR((データ入力!$B$8*W174-U174*$N$22)/SQRT((データ入力!$B$8*V174-U174^2)*(データ入力!$B$8*$N$23-$N$22^2)),-1)</f>
        <v>0.996480429716833</v>
      </c>
      <c r="Z174" s="38" t="n">
        <f aca="false">IFERROR($R$10+($A174-1)*$R$9,"")</f>
        <v>59.7891959798995</v>
      </c>
      <c r="AA174" s="38" t="n">
        <f aca="false">IFERROR(SUMPRODUCT($B$7:$B$206,LN($Z174-$C$7:$C$206)),"")</f>
        <v>240.238204835389</v>
      </c>
      <c r="AB174" s="38" t="n">
        <f aca="false">IFERROR(SUMPRODUCT($B$7:$B$206,LN($Z174-$C$7:$C$206),LN($Z174-$C$7:$C$206)),"")</f>
        <v>769.813896975035</v>
      </c>
      <c r="AC174" s="38" t="n">
        <f aca="false">IFERROR(SUMPRODUCT($B$7:$B$206,LN($Z174-$C$7:$C$206),$H$7:$H$206),"")</f>
        <v>-128.025876282994</v>
      </c>
      <c r="AD174" s="39" t="n">
        <f aca="false">IFERROR((データ入力!$B$8*AC174-AA174*$N$22)/SQRT((データ入力!$B$8*AB174-AA174^2)*(データ入力!$B$8*$N$23-$N$22^2)),-1)</f>
        <v>0.997026881926915</v>
      </c>
    </row>
    <row r="175" customFormat="false" ht="15" hidden="false" customHeight="false" outlineLevel="0" collapsed="false">
      <c r="A175" s="32" t="n">
        <v>169</v>
      </c>
      <c r="B175" s="33" t="n">
        <f aca="false">IF($A175&lt;=データ入力!$B$8,1,0)</f>
        <v>0</v>
      </c>
      <c r="C175" s="34" t="n">
        <f aca="false">IF($B175=1,LARGE(データ入力!$B$12:$B$211,$A175),0)</f>
        <v>0</v>
      </c>
      <c r="D175" s="32" t="str">
        <f aca="false">IF($B175=1,IFERROR(INDEX(データ入力!$A$12:$A$211,MATCH($C175,データ入力!$B$12:$B$211,0)),""),"")</f>
        <v/>
      </c>
      <c r="E175" s="35" t="n">
        <f aca="false">IF($B175=1,1-$A175/(データ入力!$B$8+1),0)</f>
        <v>0</v>
      </c>
      <c r="F175" s="36" t="str">
        <f aca="false">IF($B175=1,(データ入力!$B$8+1)/$A175,"")</f>
        <v/>
      </c>
      <c r="G175" s="37" t="n">
        <f aca="false">IF($B175=1,-LN(-LN($E175)),0)</f>
        <v>0</v>
      </c>
      <c r="H175" s="37" t="n">
        <f aca="false">IF($B175=1,LN(-LN($E175)),0)</f>
        <v>0</v>
      </c>
      <c r="I175" s="36" t="str">
        <f aca="false">IF($B175=1,IFERROR($C175-($N$10+$N$9*$G175),""),"")</f>
        <v/>
      </c>
      <c r="J175" s="36" t="str">
        <f aca="false">IF($B175=1,IFERROR($C175-($N$21-$N$26*EXP(-$G175/$N$24)),""),"")</f>
        <v/>
      </c>
      <c r="T175" s="38" t="n">
        <f aca="false">IFERROR($R$6+($A175-1)*$R$5,"")</f>
        <v>123.45</v>
      </c>
      <c r="U175" s="38" t="n">
        <f aca="false">IFERROR(SUMPRODUCT($B$7:$B$206,LN($T175-$C$7:$C$206)),"")</f>
        <v>336.059989397086</v>
      </c>
      <c r="V175" s="38" t="n">
        <f aca="false">IFERROR(SUMPRODUCT($B$7:$B$206,LN($T175-$C$7:$C$206),LN($T175-$C$7:$C$206)),"")</f>
        <v>1505.83924685605</v>
      </c>
      <c r="W175" s="38" t="n">
        <f aca="false">IFERROR(SUMPRODUCT($B$7:$B$206,LN($T175-$C$7:$C$206),$H$7:$H$206),"")</f>
        <v>-185.298956598209</v>
      </c>
      <c r="X175" s="39" t="n">
        <f aca="false">IFERROR((データ入力!$B$8*W175-U175*$N$22)/SQRT((データ入力!$B$8*V175-U175^2)*(データ入力!$B$8*$N$23-$N$22^2)),-1)</f>
        <v>0.996478131889247</v>
      </c>
      <c r="Z175" s="38" t="n">
        <f aca="false">IFERROR($R$10+($A175-1)*$R$9,"")</f>
        <v>59.7942211055276</v>
      </c>
      <c r="AA175" s="38" t="n">
        <f aca="false">IFERROR(SUMPRODUCT($B$7:$B$206,LN($Z175-$C$7:$C$206)),"")</f>
        <v>240.253547174284</v>
      </c>
      <c r="AB175" s="38" t="n">
        <f aca="false">IFERROR(SUMPRODUCT($B$7:$B$206,LN($Z175-$C$7:$C$206),LN($Z175-$C$7:$C$206)),"")</f>
        <v>769.912067497604</v>
      </c>
      <c r="AC175" s="38" t="n">
        <f aca="false">IFERROR(SUMPRODUCT($B$7:$B$206,LN($Z175-$C$7:$C$206),$H$7:$H$206),"")</f>
        <v>-128.035562354347</v>
      </c>
      <c r="AD175" s="39" t="n">
        <f aca="false">IFERROR((データ入力!$B$8*AC175-AA175*$N$22)/SQRT((データ入力!$B$8*AB175-AA175^2)*(データ入力!$B$8*$N$23-$N$22^2)),-1)</f>
        <v>0.997026876021006</v>
      </c>
    </row>
    <row r="176" customFormat="false" ht="15" hidden="false" customHeight="false" outlineLevel="0" collapsed="false">
      <c r="A176" s="32" t="n">
        <v>170</v>
      </c>
      <c r="B176" s="33" t="n">
        <f aca="false">IF($A176&lt;=データ入力!$B$8,1,0)</f>
        <v>0</v>
      </c>
      <c r="C176" s="34" t="n">
        <f aca="false">IF($B176=1,LARGE(データ入力!$B$12:$B$211,$A176),0)</f>
        <v>0</v>
      </c>
      <c r="D176" s="32" t="str">
        <f aca="false">IF($B176=1,IFERROR(INDEX(データ入力!$A$12:$A$211,MATCH($C176,データ入力!$B$12:$B$211,0)),""),"")</f>
        <v/>
      </c>
      <c r="E176" s="35" t="n">
        <f aca="false">IF($B176=1,1-$A176/(データ入力!$B$8+1),0)</f>
        <v>0</v>
      </c>
      <c r="F176" s="36" t="str">
        <f aca="false">IF($B176=1,(データ入力!$B$8+1)/$A176,"")</f>
        <v/>
      </c>
      <c r="G176" s="37" t="n">
        <f aca="false">IF($B176=1,-LN(-LN($E176)),0)</f>
        <v>0</v>
      </c>
      <c r="H176" s="37" t="n">
        <f aca="false">IF($B176=1,LN(-LN($E176)),0)</f>
        <v>0</v>
      </c>
      <c r="I176" s="36" t="str">
        <f aca="false">IF($B176=1,IFERROR($C176-($N$10+$N$9*$G176),""),"")</f>
        <v/>
      </c>
      <c r="J176" s="36" t="str">
        <f aca="false">IF($B176=1,IFERROR($C176-($N$21-$N$26*EXP(-$G176/$N$24)),""),"")</f>
        <v/>
      </c>
      <c r="T176" s="38" t="n">
        <f aca="false">IFERROR($R$6+($A176-1)*$R$5,"")</f>
        <v>123.95</v>
      </c>
      <c r="U176" s="38" t="n">
        <f aca="false">IFERROR(SUMPRODUCT($B$7:$B$206,LN($T176-$C$7:$C$206)),"")</f>
        <v>336.483515804311</v>
      </c>
      <c r="V176" s="38" t="n">
        <f aca="false">IFERROR(SUMPRODUCT($B$7:$B$206,LN($T176-$C$7:$C$206),LN($T176-$C$7:$C$206)),"")</f>
        <v>1509.63686763816</v>
      </c>
      <c r="W176" s="38" t="n">
        <f aca="false">IFERROR(SUMPRODUCT($B$7:$B$206,LN($T176-$C$7:$C$206),$H$7:$H$206),"")</f>
        <v>-185.542957141745</v>
      </c>
      <c r="X176" s="39" t="n">
        <f aca="false">IFERROR((データ入力!$B$8*W176-U176*$N$22)/SQRT((データ入力!$B$8*V176-U176^2)*(データ入力!$B$8*$N$23-$N$22^2)),-1)</f>
        <v>0.99647585547523</v>
      </c>
      <c r="Z176" s="38" t="n">
        <f aca="false">IFERROR($R$10+($A176-1)*$R$9,"")</f>
        <v>59.7992462311558</v>
      </c>
      <c r="AA176" s="38" t="n">
        <f aca="false">IFERROR(SUMPRODUCT($B$7:$B$206,LN($Z176-$C$7:$C$206)),"")</f>
        <v>240.268886362614</v>
      </c>
      <c r="AB176" s="38" t="n">
        <f aca="false">IFERROR(SUMPRODUCT($B$7:$B$206,LN($Z176-$C$7:$C$206),LN($Z176-$C$7:$C$206)),"")</f>
        <v>770.010224187342</v>
      </c>
      <c r="AC176" s="38" t="n">
        <f aca="false">IFERROR(SUMPRODUCT($B$7:$B$206,LN($Z176-$C$7:$C$206),$H$7:$H$206),"")</f>
        <v>-128.045246186994</v>
      </c>
      <c r="AD176" s="39" t="n">
        <f aca="false">IFERROR((データ入力!$B$8*AC176-AA176*$N$22)/SQRT((データ入力!$B$8*AB176-AA176^2)*(データ入力!$B$8*$N$23-$N$22^2)),-1)</f>
        <v>0.997026870027304</v>
      </c>
    </row>
    <row r="177" customFormat="false" ht="15" hidden="false" customHeight="false" outlineLevel="0" collapsed="false">
      <c r="A177" s="32" t="n">
        <v>171</v>
      </c>
      <c r="B177" s="33" t="n">
        <f aca="false">IF($A177&lt;=データ入力!$B$8,1,0)</f>
        <v>0</v>
      </c>
      <c r="C177" s="34" t="n">
        <f aca="false">IF($B177=1,LARGE(データ入力!$B$12:$B$211,$A177),0)</f>
        <v>0</v>
      </c>
      <c r="D177" s="32" t="str">
        <f aca="false">IF($B177=1,IFERROR(INDEX(データ入力!$A$12:$A$211,MATCH($C177,データ入力!$B$12:$B$211,0)),""),"")</f>
        <v/>
      </c>
      <c r="E177" s="35" t="n">
        <f aca="false">IF($B177=1,1-$A177/(データ入力!$B$8+1),0)</f>
        <v>0</v>
      </c>
      <c r="F177" s="36" t="str">
        <f aca="false">IF($B177=1,(データ入力!$B$8+1)/$A177,"")</f>
        <v/>
      </c>
      <c r="G177" s="37" t="n">
        <f aca="false">IF($B177=1,-LN(-LN($E177)),0)</f>
        <v>0</v>
      </c>
      <c r="H177" s="37" t="n">
        <f aca="false">IF($B177=1,LN(-LN($E177)),0)</f>
        <v>0</v>
      </c>
      <c r="I177" s="36" t="str">
        <f aca="false">IF($B177=1,IFERROR($C177-($N$10+$N$9*$G177),""),"")</f>
        <v/>
      </c>
      <c r="J177" s="36" t="str">
        <f aca="false">IF($B177=1,IFERROR($C177-($N$21-$N$26*EXP(-$G177/$N$24)),""),"")</f>
        <v/>
      </c>
      <c r="T177" s="38" t="n">
        <f aca="false">IFERROR($R$6+($A177-1)*$R$5,"")</f>
        <v>124.45</v>
      </c>
      <c r="U177" s="38" t="n">
        <f aca="false">IFERROR(SUMPRODUCT($B$7:$B$206,LN($T177-$C$7:$C$206)),"")</f>
        <v>336.904663289512</v>
      </c>
      <c r="V177" s="38" t="n">
        <f aca="false">IFERROR(SUMPRODUCT($B$7:$B$206,LN($T177-$C$7:$C$206),LN($T177-$C$7:$C$206)),"")</f>
        <v>1513.41790326502</v>
      </c>
      <c r="W177" s="38" t="n">
        <f aca="false">IFERROR(SUMPRODUCT($B$7:$B$206,LN($T177-$C$7:$C$206),$H$7:$H$206),"")</f>
        <v>-185.785538714764</v>
      </c>
      <c r="X177" s="39" t="n">
        <f aca="false">IFERROR((データ入力!$B$8*W177-U177*$N$22)/SQRT((データ入力!$B$8*V177-U177^2)*(データ入力!$B$8*$N$23-$N$22^2)),-1)</f>
        <v>0.996473600208305</v>
      </c>
      <c r="Z177" s="38" t="n">
        <f aca="false">IFERROR($R$10+($A177-1)*$R$9,"")</f>
        <v>59.8042713567839</v>
      </c>
      <c r="AA177" s="38" t="n">
        <f aca="false">IFERROR(SUMPRODUCT($B$7:$B$206,LN($Z177-$C$7:$C$206)),"")</f>
        <v>240.284222401676</v>
      </c>
      <c r="AB177" s="38" t="n">
        <f aca="false">IFERROR(SUMPRODUCT($B$7:$B$206,LN($Z177-$C$7:$C$206),LN($Z177-$C$7:$C$206)),"")</f>
        <v>770.108367048642</v>
      </c>
      <c r="AC177" s="38" t="n">
        <f aca="false">IFERROR(SUMPRODUCT($B$7:$B$206,LN($Z177-$C$7:$C$206),$H$7:$H$206),"")</f>
        <v>-128.054927781968</v>
      </c>
      <c r="AD177" s="39" t="n">
        <f aca="false">IFERROR((データ入力!$B$8*AC177-AA177*$N$22)/SQRT((データ入力!$B$8*AB177-AA177^2)*(データ入力!$B$8*$N$23-$N$22^2)),-1)</f>
        <v>0.997026863945475</v>
      </c>
    </row>
    <row r="178" customFormat="false" ht="15" hidden="false" customHeight="false" outlineLevel="0" collapsed="false">
      <c r="A178" s="32" t="n">
        <v>172</v>
      </c>
      <c r="B178" s="33" t="n">
        <f aca="false">IF($A178&lt;=データ入力!$B$8,1,0)</f>
        <v>0</v>
      </c>
      <c r="C178" s="34" t="n">
        <f aca="false">IF($B178=1,LARGE(データ入力!$B$12:$B$211,$A178),0)</f>
        <v>0</v>
      </c>
      <c r="D178" s="32" t="str">
        <f aca="false">IF($B178=1,IFERROR(INDEX(データ入力!$A$12:$A$211,MATCH($C178,データ入力!$B$12:$B$211,0)),""),"")</f>
        <v/>
      </c>
      <c r="E178" s="35" t="n">
        <f aca="false">IF($B178=1,1-$A178/(データ入力!$B$8+1),0)</f>
        <v>0</v>
      </c>
      <c r="F178" s="36" t="str">
        <f aca="false">IF($B178=1,(データ入力!$B$8+1)/$A178,"")</f>
        <v/>
      </c>
      <c r="G178" s="37" t="n">
        <f aca="false">IF($B178=1,-LN(-LN($E178)),0)</f>
        <v>0</v>
      </c>
      <c r="H178" s="37" t="n">
        <f aca="false">IF($B178=1,LN(-LN($E178)),0)</f>
        <v>0</v>
      </c>
      <c r="I178" s="36" t="str">
        <f aca="false">IF($B178=1,IFERROR($C178-($N$10+$N$9*$G178),""),"")</f>
        <v/>
      </c>
      <c r="J178" s="36" t="str">
        <f aca="false">IF($B178=1,IFERROR($C178-($N$21-$N$26*EXP(-$G178/$N$24)),""),"")</f>
        <v/>
      </c>
      <c r="T178" s="38" t="n">
        <f aca="false">IFERROR($R$6+($A178-1)*$R$5,"")</f>
        <v>124.95</v>
      </c>
      <c r="U178" s="38" t="n">
        <f aca="false">IFERROR(SUMPRODUCT($B$7:$B$206,LN($T178-$C$7:$C$206)),"")</f>
        <v>337.32345843565</v>
      </c>
      <c r="V178" s="38" t="n">
        <f aca="false">IFERROR(SUMPRODUCT($B$7:$B$206,LN($T178-$C$7:$C$206),LN($T178-$C$7:$C$206)),"")</f>
        <v>1517.18251261573</v>
      </c>
      <c r="W178" s="38" t="n">
        <f aca="false">IFERROR(SUMPRODUCT($B$7:$B$206,LN($T178-$C$7:$C$206),$H$7:$H$206),"")</f>
        <v>-186.026717718026</v>
      </c>
      <c r="X178" s="39" t="n">
        <f aca="false">IFERROR((データ入力!$B$8*W178-U178*$N$22)/SQRT((データ入力!$B$8*V178-U178^2)*(データ入力!$B$8*$N$23-$N$22^2)),-1)</f>
        <v>0.996471365799802</v>
      </c>
      <c r="Z178" s="38" t="n">
        <f aca="false">IFERROR($R$10+($A178-1)*$R$9,"")</f>
        <v>59.8092964824121</v>
      </c>
      <c r="AA178" s="38" t="n">
        <f aca="false">IFERROR(SUMPRODUCT($B$7:$B$206,LN($Z178-$C$7:$C$206)),"")</f>
        <v>240.29955529277</v>
      </c>
      <c r="AB178" s="38" t="n">
        <f aca="false">IFERROR(SUMPRODUCT($B$7:$B$206,LN($Z178-$C$7:$C$206),LN($Z178-$C$7:$C$206)),"")</f>
        <v>770.206496085897</v>
      </c>
      <c r="AC178" s="38" t="n">
        <f aca="false">IFERROR(SUMPRODUCT($B$7:$B$206,LN($Z178-$C$7:$C$206),$H$7:$H$206),"")</f>
        <v>-128.064607140299</v>
      </c>
      <c r="AD178" s="39" t="n">
        <f aca="false">IFERROR((データ入力!$B$8*AC178-AA178*$N$22)/SQRT((データ入力!$B$8*AB178-AA178^2)*(データ入力!$B$8*$N$23-$N$22^2)),-1)</f>
        <v>0.997026857775813</v>
      </c>
    </row>
    <row r="179" customFormat="false" ht="15" hidden="false" customHeight="false" outlineLevel="0" collapsed="false">
      <c r="A179" s="32" t="n">
        <v>173</v>
      </c>
      <c r="B179" s="33" t="n">
        <f aca="false">IF($A179&lt;=データ入力!$B$8,1,0)</f>
        <v>0</v>
      </c>
      <c r="C179" s="34" t="n">
        <f aca="false">IF($B179=1,LARGE(データ入力!$B$12:$B$211,$A179),0)</f>
        <v>0</v>
      </c>
      <c r="D179" s="32" t="str">
        <f aca="false">IF($B179=1,IFERROR(INDEX(データ入力!$A$12:$A$211,MATCH($C179,データ入力!$B$12:$B$211,0)),""),"")</f>
        <v/>
      </c>
      <c r="E179" s="35" t="n">
        <f aca="false">IF($B179=1,1-$A179/(データ入力!$B$8+1),0)</f>
        <v>0</v>
      </c>
      <c r="F179" s="36" t="str">
        <f aca="false">IF($B179=1,(データ入力!$B$8+1)/$A179,"")</f>
        <v/>
      </c>
      <c r="G179" s="37" t="n">
        <f aca="false">IF($B179=1,-LN(-LN($E179)),0)</f>
        <v>0</v>
      </c>
      <c r="H179" s="37" t="n">
        <f aca="false">IF($B179=1,LN(-LN($E179)),0)</f>
        <v>0</v>
      </c>
      <c r="I179" s="36" t="str">
        <f aca="false">IF($B179=1,IFERROR($C179-($N$10+$N$9*$G179),""),"")</f>
        <v/>
      </c>
      <c r="J179" s="36" t="str">
        <f aca="false">IF($B179=1,IFERROR($C179-($N$21-$N$26*EXP(-$G179/$N$24)),""),"")</f>
        <v/>
      </c>
      <c r="T179" s="38" t="n">
        <f aca="false">IFERROR($R$6+($A179-1)*$R$5,"")</f>
        <v>125.45</v>
      </c>
      <c r="U179" s="38" t="n">
        <f aca="false">IFERROR(SUMPRODUCT($B$7:$B$206,LN($T179-$C$7:$C$206)),"")</f>
        <v>337.739927382463</v>
      </c>
      <c r="V179" s="38" t="n">
        <f aca="false">IFERROR(SUMPRODUCT($B$7:$B$206,LN($T179-$C$7:$C$206),LN($T179-$C$7:$C$206)),"")</f>
        <v>1520.93085221361</v>
      </c>
      <c r="W179" s="38" t="n">
        <f aca="false">IFERROR(SUMPRODUCT($B$7:$B$206,LN($T179-$C$7:$C$206),$H$7:$H$206),"")</f>
        <v>-186.266510269697</v>
      </c>
      <c r="X179" s="39" t="n">
        <f aca="false">IFERROR((データ入力!$B$8*W179-U179*$N$22)/SQRT((データ入力!$B$8*V179-U179^2)*(データ入力!$B$8*$N$23-$N$22^2)),-1)</f>
        <v>0.996469151985222</v>
      </c>
      <c r="Z179" s="38" t="n">
        <f aca="false">IFERROR($R$10+($A179-1)*$R$9,"")</f>
        <v>59.8143216080402</v>
      </c>
      <c r="AA179" s="38" t="n">
        <f aca="false">IFERROR(SUMPRODUCT($B$7:$B$206,LN($Z179-$C$7:$C$206)),"")</f>
        <v>240.314885037194</v>
      </c>
      <c r="AB179" s="38" t="n">
        <f aca="false">IFERROR(SUMPRODUCT($B$7:$B$206,LN($Z179-$C$7:$C$206),LN($Z179-$C$7:$C$206)),"")</f>
        <v>770.304611303496</v>
      </c>
      <c r="AC179" s="38" t="n">
        <f aca="false">IFERROR(SUMPRODUCT($B$7:$B$206,LN($Z179-$C$7:$C$206),$H$7:$H$206),"")</f>
        <v>-128.074284263016</v>
      </c>
      <c r="AD179" s="39" t="n">
        <f aca="false">IFERROR((データ入力!$B$8*AC179-AA179*$N$22)/SQRT((データ入力!$B$8*AB179-AA179^2)*(データ入力!$B$8*$N$23-$N$22^2)),-1)</f>
        <v>0.997026851518389</v>
      </c>
    </row>
    <row r="180" customFormat="false" ht="15" hidden="false" customHeight="false" outlineLevel="0" collapsed="false">
      <c r="A180" s="32" t="n">
        <v>174</v>
      </c>
      <c r="B180" s="33" t="n">
        <f aca="false">IF($A180&lt;=データ入力!$B$8,1,0)</f>
        <v>0</v>
      </c>
      <c r="C180" s="34" t="n">
        <f aca="false">IF($B180=1,LARGE(データ入力!$B$12:$B$211,$A180),0)</f>
        <v>0</v>
      </c>
      <c r="D180" s="32" t="str">
        <f aca="false">IF($B180=1,IFERROR(INDEX(データ入力!$A$12:$A$211,MATCH($C180,データ入力!$B$12:$B$211,0)),""),"")</f>
        <v/>
      </c>
      <c r="E180" s="35" t="n">
        <f aca="false">IF($B180=1,1-$A180/(データ入力!$B$8+1),0)</f>
        <v>0</v>
      </c>
      <c r="F180" s="36" t="str">
        <f aca="false">IF($B180=1,(データ入力!$B$8+1)/$A180,"")</f>
        <v/>
      </c>
      <c r="G180" s="37" t="n">
        <f aca="false">IF($B180=1,-LN(-LN($E180)),0)</f>
        <v>0</v>
      </c>
      <c r="H180" s="37" t="n">
        <f aca="false">IF($B180=1,LN(-LN($E180)),0)</f>
        <v>0</v>
      </c>
      <c r="I180" s="36" t="str">
        <f aca="false">IF($B180=1,IFERROR($C180-($N$10+$N$9*$G180),""),"")</f>
        <v/>
      </c>
      <c r="J180" s="36" t="str">
        <f aca="false">IF($B180=1,IFERROR($C180-($N$21-$N$26*EXP(-$G180/$N$24)),""),"")</f>
        <v/>
      </c>
      <c r="T180" s="38" t="n">
        <f aca="false">IFERROR($R$6+($A180-1)*$R$5,"")</f>
        <v>125.95</v>
      </c>
      <c r="U180" s="38" t="n">
        <f aca="false">IFERROR(SUMPRODUCT($B$7:$B$206,LN($T180-$C$7:$C$206)),"")</f>
        <v>338.154095836265</v>
      </c>
      <c r="V180" s="38" t="n">
        <f aca="false">IFERROR(SUMPRODUCT($B$7:$B$206,LN($T180-$C$7:$C$206),LN($T180-$C$7:$C$206)),"")</f>
        <v>1524.66307627347</v>
      </c>
      <c r="W180" s="38" t="n">
        <f aca="false">IFERROR(SUMPRODUCT($B$7:$B$206,LN($T180-$C$7:$C$206),$H$7:$H$206),"")</f>
        <v>-186.504932211808</v>
      </c>
      <c r="X180" s="39" t="n">
        <f aca="false">IFERROR((データ入力!$B$8*W180-U180*$N$22)/SQRT((データ入力!$B$8*V180-U180^2)*(データ入力!$B$8*$N$23-$N$22^2)),-1)</f>
        <v>0.996466958472742</v>
      </c>
      <c r="Z180" s="38" t="n">
        <f aca="false">IFERROR($R$10+($A180-1)*$R$9,"")</f>
        <v>59.8193467336683</v>
      </c>
      <c r="AA180" s="38" t="n">
        <f aca="false">IFERROR(SUMPRODUCT($B$7:$B$206,LN($Z180-$C$7:$C$206)),"")</f>
        <v>240.330211636243</v>
      </c>
      <c r="AB180" s="38" t="n">
        <f aca="false">IFERROR(SUMPRODUCT($B$7:$B$206,LN($Z180-$C$7:$C$206),LN($Z180-$C$7:$C$206)),"")</f>
        <v>770.402712705826</v>
      </c>
      <c r="AC180" s="38" t="n">
        <f aca="false">IFERROR(SUMPRODUCT($B$7:$B$206,LN($Z180-$C$7:$C$206),$H$7:$H$206),"")</f>
        <v>-128.083959151148</v>
      </c>
      <c r="AD180" s="39" t="n">
        <f aca="false">IFERROR((データ入力!$B$8*AC180-AA180*$N$22)/SQRT((データ入力!$B$8*AB180-AA180^2)*(データ入力!$B$8*$N$23-$N$22^2)),-1)</f>
        <v>0.997026845173387</v>
      </c>
    </row>
    <row r="181" customFormat="false" ht="15" hidden="false" customHeight="false" outlineLevel="0" collapsed="false">
      <c r="A181" s="32" t="n">
        <v>175</v>
      </c>
      <c r="B181" s="33" t="n">
        <f aca="false">IF($A181&lt;=データ入力!$B$8,1,0)</f>
        <v>0</v>
      </c>
      <c r="C181" s="34" t="n">
        <f aca="false">IF($B181=1,LARGE(データ入力!$B$12:$B$211,$A181),0)</f>
        <v>0</v>
      </c>
      <c r="D181" s="32" t="str">
        <f aca="false">IF($B181=1,IFERROR(INDEX(データ入力!$A$12:$A$211,MATCH($C181,データ入力!$B$12:$B$211,0)),""),"")</f>
        <v/>
      </c>
      <c r="E181" s="35" t="n">
        <f aca="false">IF($B181=1,1-$A181/(データ入力!$B$8+1),0)</f>
        <v>0</v>
      </c>
      <c r="F181" s="36" t="str">
        <f aca="false">IF($B181=1,(データ入力!$B$8+1)/$A181,"")</f>
        <v/>
      </c>
      <c r="G181" s="37" t="n">
        <f aca="false">IF($B181=1,-LN(-LN($E181)),0)</f>
        <v>0</v>
      </c>
      <c r="H181" s="37" t="n">
        <f aca="false">IF($B181=1,LN(-LN($E181)),0)</f>
        <v>0</v>
      </c>
      <c r="I181" s="36" t="str">
        <f aca="false">IF($B181=1,IFERROR($C181-($N$10+$N$9*$G181),""),"")</f>
        <v/>
      </c>
      <c r="J181" s="36" t="str">
        <f aca="false">IF($B181=1,IFERROR($C181-($N$21-$N$26*EXP(-$G181/$N$24)),""),"")</f>
        <v/>
      </c>
      <c r="T181" s="38" t="n">
        <f aca="false">IFERROR($R$6+($A181-1)*$R$5,"")</f>
        <v>126.45</v>
      </c>
      <c r="U181" s="38" t="n">
        <f aca="false">IFERROR(SUMPRODUCT($B$7:$B$206,LN($T181-$C$7:$C$206)),"")</f>
        <v>338.565989079478</v>
      </c>
      <c r="V181" s="38" t="n">
        <f aca="false">IFERROR(SUMPRODUCT($B$7:$B$206,LN($T181-$C$7:$C$206),LN($T181-$C$7:$C$206)),"")</f>
        <v>1528.37933674765</v>
      </c>
      <c r="W181" s="38" t="n">
        <f aca="false">IFERROR(SUMPRODUCT($B$7:$B$206,LN($T181-$C$7:$C$206),$H$7:$H$206),"")</f>
        <v>-186.741999116515</v>
      </c>
      <c r="X181" s="39" t="n">
        <f aca="false">IFERROR((データ入力!$B$8*W181-U181*$N$22)/SQRT((データ入力!$B$8*V181-U181^2)*(データ入力!$B$8*$N$23-$N$22^2)),-1)</f>
        <v>0.996464785021335</v>
      </c>
      <c r="Z181" s="38" t="n">
        <f aca="false">IFERROR($R$10+($A181-1)*$R$9,"")</f>
        <v>59.8243718592965</v>
      </c>
      <c r="AA181" s="38" t="n">
        <f aca="false">IFERROR(SUMPRODUCT($B$7:$B$206,LN($Z181-$C$7:$C$206)),"")</f>
        <v>240.345535091214</v>
      </c>
      <c r="AB181" s="38" t="n">
        <f aca="false">IFERROR(SUMPRODUCT($B$7:$B$206,LN($Z181-$C$7:$C$206),LN($Z181-$C$7:$C$206)),"")</f>
        <v>770.500800297272</v>
      </c>
      <c r="AC181" s="38" t="n">
        <f aca="false">IFERROR(SUMPRODUCT($B$7:$B$206,LN($Z181-$C$7:$C$206),$H$7:$H$206),"")</f>
        <v>-128.093631805725</v>
      </c>
      <c r="AD181" s="39" t="n">
        <f aca="false">IFERROR((データ入力!$B$8*AC181-AA181*$N$22)/SQRT((データ入力!$B$8*AB181-AA181^2)*(データ入力!$B$8*$N$23-$N$22^2)),-1)</f>
        <v>0.997026838740619</v>
      </c>
    </row>
    <row r="182" customFormat="false" ht="15" hidden="false" customHeight="false" outlineLevel="0" collapsed="false">
      <c r="A182" s="32" t="n">
        <v>176</v>
      </c>
      <c r="B182" s="33" t="n">
        <f aca="false">IF($A182&lt;=データ入力!$B$8,1,0)</f>
        <v>0</v>
      </c>
      <c r="C182" s="34" t="n">
        <f aca="false">IF($B182=1,LARGE(データ入力!$B$12:$B$211,$A182),0)</f>
        <v>0</v>
      </c>
      <c r="D182" s="32" t="str">
        <f aca="false">IF($B182=1,IFERROR(INDEX(データ入力!$A$12:$A$211,MATCH($C182,データ入力!$B$12:$B$211,0)),""),"")</f>
        <v/>
      </c>
      <c r="E182" s="35" t="n">
        <f aca="false">IF($B182=1,1-$A182/(データ入力!$B$8+1),0)</f>
        <v>0</v>
      </c>
      <c r="F182" s="36" t="str">
        <f aca="false">IF($B182=1,(データ入力!$B$8+1)/$A182,"")</f>
        <v/>
      </c>
      <c r="G182" s="37" t="n">
        <f aca="false">IF($B182=1,-LN(-LN($E182)),0)</f>
        <v>0</v>
      </c>
      <c r="H182" s="37" t="n">
        <f aca="false">IF($B182=1,LN(-LN($E182)),0)</f>
        <v>0</v>
      </c>
      <c r="I182" s="36" t="str">
        <f aca="false">IF($B182=1,IFERROR($C182-($N$10+$N$9*$G182),""),"")</f>
        <v/>
      </c>
      <c r="J182" s="36" t="str">
        <f aca="false">IF($B182=1,IFERROR($C182-($N$21-$N$26*EXP(-$G182/$N$24)),""),"")</f>
        <v/>
      </c>
      <c r="T182" s="38" t="n">
        <f aca="false">IFERROR($R$6+($A182-1)*$R$5,"")</f>
        <v>126.95</v>
      </c>
      <c r="U182" s="38" t="n">
        <f aca="false">IFERROR(SUMPRODUCT($B$7:$B$206,LN($T182-$C$7:$C$206)),"")</f>
        <v>338.975631979909</v>
      </c>
      <c r="V182" s="38" t="n">
        <f aca="false">IFERROR(SUMPRODUCT($B$7:$B$206,LN($T182-$C$7:$C$206),LN($T182-$C$7:$C$206)),"")</f>
        <v>1532.07978337093</v>
      </c>
      <c r="W182" s="38" t="n">
        <f aca="false">IFERROR(SUMPRODUCT($B$7:$B$206,LN($T182-$C$7:$C$206),$H$7:$H$206),"")</f>
        <v>-186.977726292202</v>
      </c>
      <c r="X182" s="39" t="n">
        <f aca="false">IFERROR((データ入力!$B$8*W182-U182*$N$22)/SQRT((データ入力!$B$8*V182-U182^2)*(データ入力!$B$8*$N$23-$N$22^2)),-1)</f>
        <v>0.996462631360937</v>
      </c>
      <c r="Z182" s="38" t="n">
        <f aca="false">IFERROR($R$10+($A182-1)*$R$9,"")</f>
        <v>59.8293969849246</v>
      </c>
      <c r="AA182" s="38" t="n">
        <f aca="false">IFERROR(SUMPRODUCT($B$7:$B$206,LN($Z182-$C$7:$C$206)),"")</f>
        <v>240.360855403403</v>
      </c>
      <c r="AB182" s="38" t="n">
        <f aca="false">IFERROR(SUMPRODUCT($B$7:$B$206,LN($Z182-$C$7:$C$206),LN($Z182-$C$7:$C$206)),"")</f>
        <v>770.598874082218</v>
      </c>
      <c r="AC182" s="38" t="n">
        <f aca="false">IFERROR(SUMPRODUCT($B$7:$B$206,LN($Z182-$C$7:$C$206),$H$7:$H$206),"")</f>
        <v>-128.103302227772</v>
      </c>
      <c r="AD182" s="39" t="n">
        <f aca="false">IFERROR((データ入力!$B$8*AC182-AA182*$N$22)/SQRT((データ入力!$B$8*AB182-AA182^2)*(データ入力!$B$8*$N$23-$N$22^2)),-1)</f>
        <v>0.997026832220851</v>
      </c>
    </row>
    <row r="183" customFormat="false" ht="15" hidden="false" customHeight="false" outlineLevel="0" collapsed="false">
      <c r="A183" s="32" t="n">
        <v>177</v>
      </c>
      <c r="B183" s="33" t="n">
        <f aca="false">IF($A183&lt;=データ入力!$B$8,1,0)</f>
        <v>0</v>
      </c>
      <c r="C183" s="34" t="n">
        <f aca="false">IF($B183=1,LARGE(データ入力!$B$12:$B$211,$A183),0)</f>
        <v>0</v>
      </c>
      <c r="D183" s="32" t="str">
        <f aca="false">IF($B183=1,IFERROR(INDEX(データ入力!$A$12:$A$211,MATCH($C183,データ入力!$B$12:$B$211,0)),""),"")</f>
        <v/>
      </c>
      <c r="E183" s="35" t="n">
        <f aca="false">IF($B183=1,1-$A183/(データ入力!$B$8+1),0)</f>
        <v>0</v>
      </c>
      <c r="F183" s="36" t="str">
        <f aca="false">IF($B183=1,(データ入力!$B$8+1)/$A183,"")</f>
        <v/>
      </c>
      <c r="G183" s="37" t="n">
        <f aca="false">IF($B183=1,-LN(-LN($E183)),0)</f>
        <v>0</v>
      </c>
      <c r="H183" s="37" t="n">
        <f aca="false">IF($B183=1,LN(-LN($E183)),0)</f>
        <v>0</v>
      </c>
      <c r="I183" s="36" t="str">
        <f aca="false">IF($B183=1,IFERROR($C183-($N$10+$N$9*$G183),""),"")</f>
        <v/>
      </c>
      <c r="J183" s="36" t="str">
        <f aca="false">IF($B183=1,IFERROR($C183-($N$21-$N$26*EXP(-$G183/$N$24)),""),"")</f>
        <v/>
      </c>
      <c r="T183" s="38" t="n">
        <f aca="false">IFERROR($R$6+($A183-1)*$R$5,"")</f>
        <v>127.45</v>
      </c>
      <c r="U183" s="38" t="n">
        <f aca="false">IFERROR(SUMPRODUCT($B$7:$B$206,LN($T183-$C$7:$C$206)),"")</f>
        <v>339.383048999758</v>
      </c>
      <c r="V183" s="38" t="n">
        <f aca="false">IFERROR(SUMPRODUCT($B$7:$B$206,LN($T183-$C$7:$C$206),LN($T183-$C$7:$C$206)),"")</f>
        <v>1535.76456370428</v>
      </c>
      <c r="W183" s="38" t="n">
        <f aca="false">IFERROR(SUMPRODUCT($B$7:$B$206,LN($T183-$C$7:$C$206),$H$7:$H$206),"")</f>
        <v>-187.212128789394</v>
      </c>
      <c r="X183" s="39" t="n">
        <f aca="false">IFERROR((データ入力!$B$8*W183-U183*$N$22)/SQRT((データ入力!$B$8*V183-U183^2)*(データ入力!$B$8*$N$23-$N$22^2)),-1)</f>
        <v>0.996460497230592</v>
      </c>
      <c r="Z183" s="38" t="n">
        <f aca="false">IFERROR($R$10+($A183-1)*$R$9,"")</f>
        <v>59.8344221105528</v>
      </c>
      <c r="AA183" s="38" t="n">
        <f aca="false">IFERROR(SUMPRODUCT($B$7:$B$206,LN($Z183-$C$7:$C$206)),"")</f>
        <v>240.376172574103</v>
      </c>
      <c r="AB183" s="38" t="n">
        <f aca="false">IFERROR(SUMPRODUCT($B$7:$B$206,LN($Z183-$C$7:$C$206),LN($Z183-$C$7:$C$206)),"")</f>
        <v>770.696934065045</v>
      </c>
      <c r="AC183" s="38" t="n">
        <f aca="false">IFERROR(SUMPRODUCT($B$7:$B$206,LN($Z183-$C$7:$C$206),$H$7:$H$206),"")</f>
        <v>-128.112970418319</v>
      </c>
      <c r="AD183" s="39" t="n">
        <f aca="false">IFERROR((データ入力!$B$8*AC183-AA183*$N$22)/SQRT((データ入力!$B$8*AB183-AA183^2)*(データ入力!$B$8*$N$23-$N$22^2)),-1)</f>
        <v>0.997026825613261</v>
      </c>
    </row>
    <row r="184" customFormat="false" ht="15" hidden="false" customHeight="false" outlineLevel="0" collapsed="false">
      <c r="A184" s="32" t="n">
        <v>178</v>
      </c>
      <c r="B184" s="33" t="n">
        <f aca="false">IF($A184&lt;=データ入力!$B$8,1,0)</f>
        <v>0</v>
      </c>
      <c r="C184" s="34" t="n">
        <f aca="false">IF($B184=1,LARGE(データ入力!$B$12:$B$211,$A184),0)</f>
        <v>0</v>
      </c>
      <c r="D184" s="32" t="str">
        <f aca="false">IF($B184=1,IFERROR(INDEX(データ入力!$A$12:$A$211,MATCH($C184,データ入力!$B$12:$B$211,0)),""),"")</f>
        <v/>
      </c>
      <c r="E184" s="35" t="n">
        <f aca="false">IF($B184=1,1-$A184/(データ入力!$B$8+1),0)</f>
        <v>0</v>
      </c>
      <c r="F184" s="36" t="str">
        <f aca="false">IF($B184=1,(データ入力!$B$8+1)/$A184,"")</f>
        <v/>
      </c>
      <c r="G184" s="37" t="n">
        <f aca="false">IF($B184=1,-LN(-LN($E184)),0)</f>
        <v>0</v>
      </c>
      <c r="H184" s="37" t="n">
        <f aca="false">IF($B184=1,LN(-LN($E184)),0)</f>
        <v>0</v>
      </c>
      <c r="I184" s="36" t="str">
        <f aca="false">IF($B184=1,IFERROR($C184-($N$10+$N$9*$G184),""),"")</f>
        <v/>
      </c>
      <c r="J184" s="36" t="str">
        <f aca="false">IF($B184=1,IFERROR($C184-($N$21-$N$26*EXP(-$G184/$N$24)),""),"")</f>
        <v/>
      </c>
      <c r="T184" s="38" t="n">
        <f aca="false">IFERROR($R$6+($A184-1)*$R$5,"")</f>
        <v>127.95</v>
      </c>
      <c r="U184" s="38" t="n">
        <f aca="false">IFERROR(SUMPRODUCT($B$7:$B$206,LN($T184-$C$7:$C$206)),"")</f>
        <v>339.788264204406</v>
      </c>
      <c r="V184" s="38" t="n">
        <f aca="false">IFERROR(SUMPRODUCT($B$7:$B$206,LN($T184-$C$7:$C$206),LN($T184-$C$7:$C$206)),"")</f>
        <v>1539.43382317756</v>
      </c>
      <c r="W184" s="38" t="n">
        <f aca="false">IFERROR(SUMPRODUCT($B$7:$B$206,LN($T184-$C$7:$C$206),$H$7:$H$206),"")</f>
        <v>-187.44522140652</v>
      </c>
      <c r="X184" s="39" t="n">
        <f aca="false">IFERROR((データ入力!$B$8*W184-U184*$N$22)/SQRT((データ入力!$B$8*V184-U184^2)*(データ入力!$B$8*$N$23-$N$22^2)),-1)</f>
        <v>0.996458382369457</v>
      </c>
      <c r="Z184" s="38" t="n">
        <f aca="false">IFERROR($R$10+($A184-1)*$R$9,"")</f>
        <v>59.8394472361809</v>
      </c>
      <c r="AA184" s="38" t="n">
        <f aca="false">IFERROR(SUMPRODUCT($B$7:$B$206,LN($Z184-$C$7:$C$206)),"")</f>
        <v>240.391486604608</v>
      </c>
      <c r="AB184" s="38" t="n">
        <f aca="false">IFERROR(SUMPRODUCT($B$7:$B$206,LN($Z184-$C$7:$C$206),LN($Z184-$C$7:$C$206)),"")</f>
        <v>770.79498025013</v>
      </c>
      <c r="AC184" s="38" t="n">
        <f aca="false">IFERROR(SUMPRODUCT($B$7:$B$206,LN($Z184-$C$7:$C$206),$H$7:$H$206),"")</f>
        <v>-128.12263637839</v>
      </c>
      <c r="AD184" s="39" t="n">
        <f aca="false">IFERROR((データ入力!$B$8*AC184-AA184*$N$22)/SQRT((データ入力!$B$8*AB184-AA184^2)*(データ入力!$B$8*$N$23-$N$22^2)),-1)</f>
        <v>0.99702681891887</v>
      </c>
    </row>
    <row r="185" customFormat="false" ht="15" hidden="false" customHeight="false" outlineLevel="0" collapsed="false">
      <c r="A185" s="32" t="n">
        <v>179</v>
      </c>
      <c r="B185" s="33" t="n">
        <f aca="false">IF($A185&lt;=データ入力!$B$8,1,0)</f>
        <v>0</v>
      </c>
      <c r="C185" s="34" t="n">
        <f aca="false">IF($B185=1,LARGE(データ入力!$B$12:$B$211,$A185),0)</f>
        <v>0</v>
      </c>
      <c r="D185" s="32" t="str">
        <f aca="false">IF($B185=1,IFERROR(INDEX(データ入力!$A$12:$A$211,MATCH($C185,データ入力!$B$12:$B$211,0)),""),"")</f>
        <v/>
      </c>
      <c r="E185" s="35" t="n">
        <f aca="false">IF($B185=1,1-$A185/(データ入力!$B$8+1),0)</f>
        <v>0</v>
      </c>
      <c r="F185" s="36" t="str">
        <f aca="false">IF($B185=1,(データ入力!$B$8+1)/$A185,"")</f>
        <v/>
      </c>
      <c r="G185" s="37" t="n">
        <f aca="false">IF($B185=1,-LN(-LN($E185)),0)</f>
        <v>0</v>
      </c>
      <c r="H185" s="37" t="n">
        <f aca="false">IF($B185=1,LN(-LN($E185)),0)</f>
        <v>0</v>
      </c>
      <c r="I185" s="36" t="str">
        <f aca="false">IF($B185=1,IFERROR($C185-($N$10+$N$9*$G185),""),"")</f>
        <v/>
      </c>
      <c r="J185" s="36" t="str">
        <f aca="false">IF($B185=1,IFERROR($C185-($N$21-$N$26*EXP(-$G185/$N$24)),""),"")</f>
        <v/>
      </c>
      <c r="T185" s="38" t="n">
        <f aca="false">IFERROR($R$6+($A185-1)*$R$5,"")</f>
        <v>128.45</v>
      </c>
      <c r="U185" s="38" t="n">
        <f aca="false">IFERROR(SUMPRODUCT($B$7:$B$206,LN($T185-$C$7:$C$206)),"")</f>
        <v>340.191301270947</v>
      </c>
      <c r="V185" s="38" t="n">
        <f aca="false">IFERROR(SUMPRODUCT($B$7:$B$206,LN($T185-$C$7:$C$206),LN($T185-$C$7:$C$206)),"")</f>
        <v>1543.08770513116</v>
      </c>
      <c r="W185" s="38" t="n">
        <f aca="false">IFERROR(SUMPRODUCT($B$7:$B$206,LN($T185-$C$7:$C$206),$H$7:$H$206),"")</f>
        <v>-187.677018695507</v>
      </c>
      <c r="X185" s="39" t="n">
        <f aca="false">IFERROR((データ入力!$B$8*W185-U185*$N$22)/SQRT((データ入力!$B$8*V185-U185^2)*(データ入力!$B$8*$N$23-$N$22^2)),-1)</f>
        <v>0.996456286542148</v>
      </c>
      <c r="Z185" s="38" t="n">
        <f aca="false">IFERROR($R$10+($A185-1)*$R$9,"")</f>
        <v>59.844472361809</v>
      </c>
      <c r="AA185" s="38" t="n">
        <f aca="false">IFERROR(SUMPRODUCT($B$7:$B$206,LN($Z185-$C$7:$C$206)),"")</f>
        <v>240.40679749621</v>
      </c>
      <c r="AB185" s="38" t="n">
        <f aca="false">IFERROR(SUMPRODUCT($B$7:$B$206,LN($Z185-$C$7:$C$206),LN($Z185-$C$7:$C$206)),"")</f>
        <v>770.893012641852</v>
      </c>
      <c r="AC185" s="38" t="n">
        <f aca="false">IFERROR(SUMPRODUCT($B$7:$B$206,LN($Z185-$C$7:$C$206),$H$7:$H$206),"")</f>
        <v>-128.132300109011</v>
      </c>
      <c r="AD185" s="39" t="n">
        <f aca="false">IFERROR((データ入力!$B$8*AC185-AA185*$N$22)/SQRT((データ入力!$B$8*AB185-AA185^2)*(データ入力!$B$8*$N$23-$N$22^2)),-1)</f>
        <v>0.997026812137424</v>
      </c>
    </row>
    <row r="186" customFormat="false" ht="15" hidden="false" customHeight="false" outlineLevel="0" collapsed="false">
      <c r="A186" s="32" t="n">
        <v>180</v>
      </c>
      <c r="B186" s="33" t="n">
        <f aca="false">IF($A186&lt;=データ入力!$B$8,1,0)</f>
        <v>0</v>
      </c>
      <c r="C186" s="34" t="n">
        <f aca="false">IF($B186=1,LARGE(データ入力!$B$12:$B$211,$A186),0)</f>
        <v>0</v>
      </c>
      <c r="D186" s="32" t="str">
        <f aca="false">IF($B186=1,IFERROR(INDEX(データ入力!$A$12:$A$211,MATCH($C186,データ入力!$B$12:$B$211,0)),""),"")</f>
        <v/>
      </c>
      <c r="E186" s="35" t="n">
        <f aca="false">IF($B186=1,1-$A186/(データ入力!$B$8+1),0)</f>
        <v>0</v>
      </c>
      <c r="F186" s="36" t="str">
        <f aca="false">IF($B186=1,(データ入力!$B$8+1)/$A186,"")</f>
        <v/>
      </c>
      <c r="G186" s="37" t="n">
        <f aca="false">IF($B186=1,-LN(-LN($E186)),0)</f>
        <v>0</v>
      </c>
      <c r="H186" s="37" t="n">
        <f aca="false">IF($B186=1,LN(-LN($E186)),0)</f>
        <v>0</v>
      </c>
      <c r="I186" s="36" t="str">
        <f aca="false">IF($B186=1,IFERROR($C186-($N$10+$N$9*$G186),""),"")</f>
        <v/>
      </c>
      <c r="J186" s="36" t="str">
        <f aca="false">IF($B186=1,IFERROR($C186-($N$21-$N$26*EXP(-$G186/$N$24)),""),"")</f>
        <v/>
      </c>
      <c r="T186" s="38" t="n">
        <f aca="false">IFERROR($R$6+($A186-1)*$R$5,"")</f>
        <v>128.95</v>
      </c>
      <c r="U186" s="38" t="n">
        <f aca="false">IFERROR(SUMPRODUCT($B$7:$B$206,LN($T186-$C$7:$C$206)),"")</f>
        <v>340.592183496497</v>
      </c>
      <c r="V186" s="38" t="n">
        <f aca="false">IFERROR(SUMPRODUCT($B$7:$B$206,LN($T186-$C$7:$C$206),LN($T186-$C$7:$C$206)),"")</f>
        <v>1546.7263508566</v>
      </c>
      <c r="W186" s="38" t="n">
        <f aca="false">IFERROR(SUMPRODUCT($B$7:$B$206,LN($T186-$C$7:$C$206),$H$7:$H$206),"")</f>
        <v>-187.907534967221</v>
      </c>
      <c r="X186" s="39" t="n">
        <f aca="false">IFERROR((データ入力!$B$8*W186-U186*$N$22)/SQRT((データ入力!$B$8*V186-U186^2)*(データ入力!$B$8*$N$23-$N$22^2)),-1)</f>
        <v>0.996454209492909</v>
      </c>
      <c r="Z186" s="38" t="n">
        <f aca="false">IFERROR($R$10+($A186-1)*$R$9,"")</f>
        <v>59.8494974874372</v>
      </c>
      <c r="AA186" s="38" t="n">
        <f aca="false">IFERROR(SUMPRODUCT($B$7:$B$206,LN($Z186-$C$7:$C$206)),"")</f>
        <v>240.422105250203</v>
      </c>
      <c r="AB186" s="38" t="n">
        <f aca="false">IFERROR(SUMPRODUCT($B$7:$B$206,LN($Z186-$C$7:$C$206),LN($Z186-$C$7:$C$206)),"")</f>
        <v>770.991031244583</v>
      </c>
      <c r="AC186" s="38" t="n">
        <f aca="false">IFERROR(SUMPRODUCT($B$7:$B$206,LN($Z186-$C$7:$C$206),$H$7:$H$206),"")</f>
        <v>-128.141961611207</v>
      </c>
      <c r="AD186" s="39" t="n">
        <f aca="false">IFERROR((データ入力!$B$8*AC186-AA186*$N$22)/SQRT((データ入力!$B$8*AB186-AA186^2)*(データ入力!$B$8*$N$23-$N$22^2)),-1)</f>
        <v>0.997026805269163</v>
      </c>
    </row>
    <row r="187" customFormat="false" ht="15" hidden="false" customHeight="false" outlineLevel="0" collapsed="false">
      <c r="A187" s="32" t="n">
        <v>181</v>
      </c>
      <c r="B187" s="33" t="n">
        <f aca="false">IF($A187&lt;=データ入力!$B$8,1,0)</f>
        <v>0</v>
      </c>
      <c r="C187" s="34" t="n">
        <f aca="false">IF($B187=1,LARGE(データ入力!$B$12:$B$211,$A187),0)</f>
        <v>0</v>
      </c>
      <c r="D187" s="32" t="str">
        <f aca="false">IF($B187=1,IFERROR(INDEX(データ入力!$A$12:$A$211,MATCH($C187,データ入力!$B$12:$B$211,0)),""),"")</f>
        <v/>
      </c>
      <c r="E187" s="35" t="n">
        <f aca="false">IF($B187=1,1-$A187/(データ入力!$B$8+1),0)</f>
        <v>0</v>
      </c>
      <c r="F187" s="36" t="str">
        <f aca="false">IF($B187=1,(データ入力!$B$8+1)/$A187,"")</f>
        <v/>
      </c>
      <c r="G187" s="37" t="n">
        <f aca="false">IF($B187=1,-LN(-LN($E187)),0)</f>
        <v>0</v>
      </c>
      <c r="H187" s="37" t="n">
        <f aca="false">IF($B187=1,LN(-LN($E187)),0)</f>
        <v>0</v>
      </c>
      <c r="I187" s="36" t="str">
        <f aca="false">IF($B187=1,IFERROR($C187-($N$10+$N$9*$G187),""),"")</f>
        <v/>
      </c>
      <c r="J187" s="36" t="str">
        <f aca="false">IF($B187=1,IFERROR($C187-($N$21-$N$26*EXP(-$G187/$N$24)),""),"")</f>
        <v/>
      </c>
      <c r="T187" s="38" t="n">
        <f aca="false">IFERROR($R$6+($A187-1)*$R$5,"")</f>
        <v>129.45</v>
      </c>
      <c r="U187" s="38" t="n">
        <f aca="false">IFERROR(SUMPRODUCT($B$7:$B$206,LN($T187-$C$7:$C$206)),"")</f>
        <v>340.990933806292</v>
      </c>
      <c r="V187" s="38" t="n">
        <f aca="false">IFERROR(SUMPRODUCT($B$7:$B$206,LN($T187-$C$7:$C$206),LN($T187-$C$7:$C$206)),"")</f>
        <v>1550.34989963612</v>
      </c>
      <c r="W187" s="38" t="n">
        <f aca="false">IFERROR(SUMPRODUCT($B$7:$B$206,LN($T187-$C$7:$C$206),$H$7:$H$206),"")</f>
        <v>-188.136784296765</v>
      </c>
      <c r="X187" s="39" t="n">
        <f aca="false">IFERROR((データ入力!$B$8*W187-U187*$N$22)/SQRT((データ入力!$B$8*V187-U187^2)*(データ入力!$B$8*$N$23-$N$22^2)),-1)</f>
        <v>0.99645215099847</v>
      </c>
      <c r="Z187" s="38" t="n">
        <f aca="false">IFERROR($R$10+($A187-1)*$R$9,"")</f>
        <v>59.8545226130653</v>
      </c>
      <c r="AA187" s="38" t="n">
        <f aca="false">IFERROR(SUMPRODUCT($B$7:$B$206,LN($Z187-$C$7:$C$206)),"")</f>
        <v>240.437409867876</v>
      </c>
      <c r="AB187" s="38" t="n">
        <f aca="false">IFERROR(SUMPRODUCT($B$7:$B$206,LN($Z187-$C$7:$C$206),LN($Z187-$C$7:$C$206)),"")</f>
        <v>771.089036062697</v>
      </c>
      <c r="AC187" s="38" t="n">
        <f aca="false">IFERROR(SUMPRODUCT($B$7:$B$206,LN($Z187-$C$7:$C$206),$H$7:$H$206),"")</f>
        <v>-128.151620886003</v>
      </c>
      <c r="AD187" s="39" t="n">
        <f aca="false">IFERROR((データ入力!$B$8*AC187-AA187*$N$22)/SQRT((データ入力!$B$8*AB187-AA187^2)*(データ入力!$B$8*$N$23-$N$22^2)),-1)</f>
        <v>0.997026798313571</v>
      </c>
    </row>
    <row r="188" customFormat="false" ht="15" hidden="false" customHeight="false" outlineLevel="0" collapsed="false">
      <c r="A188" s="32" t="n">
        <v>182</v>
      </c>
      <c r="B188" s="33" t="n">
        <f aca="false">IF($A188&lt;=データ入力!$B$8,1,0)</f>
        <v>0</v>
      </c>
      <c r="C188" s="34" t="n">
        <f aca="false">IF($B188=1,LARGE(データ入力!$B$12:$B$211,$A188),0)</f>
        <v>0</v>
      </c>
      <c r="D188" s="32" t="str">
        <f aca="false">IF($B188=1,IFERROR(INDEX(データ入力!$A$12:$A$211,MATCH($C188,データ入力!$B$12:$B$211,0)),""),"")</f>
        <v/>
      </c>
      <c r="E188" s="35" t="n">
        <f aca="false">IF($B188=1,1-$A188/(データ入力!$B$8+1),0)</f>
        <v>0</v>
      </c>
      <c r="F188" s="36" t="str">
        <f aca="false">IF($B188=1,(データ入力!$B$8+1)/$A188,"")</f>
        <v/>
      </c>
      <c r="G188" s="37" t="n">
        <f aca="false">IF($B188=1,-LN(-LN($E188)),0)</f>
        <v>0</v>
      </c>
      <c r="H188" s="37" t="n">
        <f aca="false">IF($B188=1,LN(-LN($E188)),0)</f>
        <v>0</v>
      </c>
      <c r="I188" s="36" t="str">
        <f aca="false">IF($B188=1,IFERROR($C188-($N$10+$N$9*$G188),""),"")</f>
        <v/>
      </c>
      <c r="J188" s="36" t="str">
        <f aca="false">IF($B188=1,IFERROR($C188-($N$21-$N$26*EXP(-$G188/$N$24)),""),"")</f>
        <v/>
      </c>
      <c r="T188" s="38" t="n">
        <f aca="false">IFERROR($R$6+($A188-1)*$R$5,"")</f>
        <v>129.95</v>
      </c>
      <c r="U188" s="38" t="n">
        <f aca="false">IFERROR(SUMPRODUCT($B$7:$B$206,LN($T188-$C$7:$C$206)),"")</f>
        <v>341.387574761552</v>
      </c>
      <c r="V188" s="38" t="n">
        <f aca="false">IFERROR(SUMPRODUCT($B$7:$B$206,LN($T188-$C$7:$C$206),LN($T188-$C$7:$C$206)),"")</f>
        <v>1553.95848878136</v>
      </c>
      <c r="W188" s="38" t="n">
        <f aca="false">IFERROR(SUMPRODUCT($B$7:$B$206,LN($T188-$C$7:$C$206),$H$7:$H$206),"")</f>
        <v>-188.364780528624</v>
      </c>
      <c r="X188" s="39" t="n">
        <f aca="false">IFERROR((データ入力!$B$8*W188-U188*$N$22)/SQRT((データ入力!$B$8*V188-U188^2)*(データ入力!$B$8*$N$23-$N$22^2)),-1)</f>
        <v>0.996450110802647</v>
      </c>
      <c r="Z188" s="38" t="n">
        <f aca="false">IFERROR($R$10+($A188-1)*$R$9,"")</f>
        <v>59.8595477386935</v>
      </c>
      <c r="AA188" s="38" t="n">
        <f aca="false">IFERROR(SUMPRODUCT($B$7:$B$206,LN($Z188-$C$7:$C$206)),"")</f>
        <v>240.45271135052</v>
      </c>
      <c r="AB188" s="38" t="n">
        <f aca="false">IFERROR(SUMPRODUCT($B$7:$B$206,LN($Z188-$C$7:$C$206),LN($Z188-$C$7:$C$206)),"")</f>
        <v>771.187027100562</v>
      </c>
      <c r="AC188" s="38" t="n">
        <f aca="false">IFERROR(SUMPRODUCT($B$7:$B$206,LN($Z188-$C$7:$C$206),$H$7:$H$206),"")</f>
        <v>-128.161277934421</v>
      </c>
      <c r="AD188" s="39" t="n">
        <f aca="false">IFERROR((データ入力!$B$8*AC188-AA188*$N$22)/SQRT((データ入力!$B$8*AB188-AA188^2)*(データ入力!$B$8*$N$23-$N$22^2)),-1)</f>
        <v>0.997026791271442</v>
      </c>
    </row>
    <row r="189" customFormat="false" ht="15" hidden="false" customHeight="false" outlineLevel="0" collapsed="false">
      <c r="A189" s="32" t="n">
        <v>183</v>
      </c>
      <c r="B189" s="33" t="n">
        <f aca="false">IF($A189&lt;=データ入力!$B$8,1,0)</f>
        <v>0</v>
      </c>
      <c r="C189" s="34" t="n">
        <f aca="false">IF($B189=1,LARGE(データ入力!$B$12:$B$211,$A189),0)</f>
        <v>0</v>
      </c>
      <c r="D189" s="32" t="str">
        <f aca="false">IF($B189=1,IFERROR(INDEX(データ入力!$A$12:$A$211,MATCH($C189,データ入力!$B$12:$B$211,0)),""),"")</f>
        <v/>
      </c>
      <c r="E189" s="35" t="n">
        <f aca="false">IF($B189=1,1-$A189/(データ入力!$B$8+1),0)</f>
        <v>0</v>
      </c>
      <c r="F189" s="36" t="str">
        <f aca="false">IF($B189=1,(データ入力!$B$8+1)/$A189,"")</f>
        <v/>
      </c>
      <c r="G189" s="37" t="n">
        <f aca="false">IF($B189=1,-LN(-LN($E189)),0)</f>
        <v>0</v>
      </c>
      <c r="H189" s="37" t="n">
        <f aca="false">IF($B189=1,LN(-LN($E189)),0)</f>
        <v>0</v>
      </c>
      <c r="I189" s="36" t="str">
        <f aca="false">IF($B189=1,IFERROR($C189-($N$10+$N$9*$G189),""),"")</f>
        <v/>
      </c>
      <c r="J189" s="36" t="str">
        <f aca="false">IF($B189=1,IFERROR($C189-($N$21-$N$26*EXP(-$G189/$N$24)),""),"")</f>
        <v/>
      </c>
      <c r="T189" s="38" t="n">
        <f aca="false">IFERROR($R$6+($A189-1)*$R$5,"")</f>
        <v>130.45</v>
      </c>
      <c r="U189" s="38" t="n">
        <f aca="false">IFERROR(SUMPRODUCT($B$7:$B$206,LN($T189-$C$7:$C$206)),"")</f>
        <v>341.78212856716</v>
      </c>
      <c r="V189" s="38" t="n">
        <f aca="false">IFERROR(SUMPRODUCT($B$7:$B$206,LN($T189-$C$7:$C$206),LN($T189-$C$7:$C$206)),"")</f>
        <v>1557.55225367108</v>
      </c>
      <c r="W189" s="38" t="n">
        <f aca="false">IFERROR(SUMPRODUCT($B$7:$B$206,LN($T189-$C$7:$C$206),$H$7:$H$206),"")</f>
        <v>-188.591537281675</v>
      </c>
      <c r="X189" s="39" t="n">
        <f aca="false">IFERROR((データ入力!$B$8*W189-U189*$N$22)/SQRT((データ入力!$B$8*V189-U189^2)*(データ入力!$B$8*$N$23-$N$22^2)),-1)</f>
        <v>0.996448088670936</v>
      </c>
      <c r="Z189" s="38" t="n">
        <f aca="false">IFERROR($R$10+($A189-1)*$R$9,"")</f>
        <v>59.8645728643216</v>
      </c>
      <c r="AA189" s="38" t="n">
        <f aca="false">IFERROR(SUMPRODUCT($B$7:$B$206,LN($Z189-$C$7:$C$206)),"")</f>
        <v>240.468009699425</v>
      </c>
      <c r="AB189" s="38" t="n">
        <f aca="false">IFERROR(SUMPRODUCT($B$7:$B$206,LN($Z189-$C$7:$C$206),LN($Z189-$C$7:$C$206)),"")</f>
        <v>771.285004362548</v>
      </c>
      <c r="AC189" s="38" t="n">
        <f aca="false">IFERROR(SUMPRODUCT($B$7:$B$206,LN($Z189-$C$7:$C$206),$H$7:$H$206),"")</f>
        <v>-128.170932757485</v>
      </c>
      <c r="AD189" s="39" t="n">
        <f aca="false">IFERROR((データ入力!$B$8*AC189-AA189*$N$22)/SQRT((データ入力!$B$8*AB189-AA189^2)*(データ入力!$B$8*$N$23-$N$22^2)),-1)</f>
        <v>0.997026784143024</v>
      </c>
    </row>
    <row r="190" customFormat="false" ht="15" hidden="false" customHeight="false" outlineLevel="0" collapsed="false">
      <c r="A190" s="32" t="n">
        <v>184</v>
      </c>
      <c r="B190" s="33" t="n">
        <f aca="false">IF($A190&lt;=データ入力!$B$8,1,0)</f>
        <v>0</v>
      </c>
      <c r="C190" s="34" t="n">
        <f aca="false">IF($B190=1,LARGE(データ入力!$B$12:$B$211,$A190),0)</f>
        <v>0</v>
      </c>
      <c r="D190" s="32" t="str">
        <f aca="false">IF($B190=1,IFERROR(INDEX(データ入力!$A$12:$A$211,MATCH($C190,データ入力!$B$12:$B$211,0)),""),"")</f>
        <v/>
      </c>
      <c r="E190" s="35" t="n">
        <f aca="false">IF($B190=1,1-$A190/(データ入力!$B$8+1),0)</f>
        <v>0</v>
      </c>
      <c r="F190" s="36" t="str">
        <f aca="false">IF($B190=1,(データ入力!$B$8+1)/$A190,"")</f>
        <v/>
      </c>
      <c r="G190" s="37" t="n">
        <f aca="false">IF($B190=1,-LN(-LN($E190)),0)</f>
        <v>0</v>
      </c>
      <c r="H190" s="37" t="n">
        <f aca="false">IF($B190=1,LN(-LN($E190)),0)</f>
        <v>0</v>
      </c>
      <c r="I190" s="36" t="str">
        <f aca="false">IF($B190=1,IFERROR($C190-($N$10+$N$9*$G190),""),"")</f>
        <v/>
      </c>
      <c r="J190" s="36" t="str">
        <f aca="false">IF($B190=1,IFERROR($C190-($N$21-$N$26*EXP(-$G190/$N$24)),""),"")</f>
        <v/>
      </c>
      <c r="T190" s="38" t="n">
        <f aca="false">IFERROR($R$6+($A190-1)*$R$5,"")</f>
        <v>130.95</v>
      </c>
      <c r="U190" s="38" t="n">
        <f aca="false">IFERROR(SUMPRODUCT($B$7:$B$206,LN($T190-$C$7:$C$206)),"")</f>
        <v>342.17461707912</v>
      </c>
      <c r="V190" s="38" t="n">
        <f aca="false">IFERROR(SUMPRODUCT($B$7:$B$206,LN($T190-$C$7:$C$206),LN($T190-$C$7:$C$206)),"")</f>
        <v>1561.13132778793</v>
      </c>
      <c r="W190" s="38" t="n">
        <f aca="false">IFERROR(SUMPRODUCT($B$7:$B$206,LN($T190-$C$7:$C$206),$H$7:$H$206),"")</f>
        <v>-188.817067954061</v>
      </c>
      <c r="X190" s="39" t="n">
        <f aca="false">IFERROR((データ入力!$B$8*W190-U190*$N$22)/SQRT((データ入力!$B$8*V190-U190^2)*(データ入力!$B$8*$N$23-$N$22^2)),-1)</f>
        <v>0.996446084387587</v>
      </c>
      <c r="Z190" s="38" t="n">
        <f aca="false">IFERROR($R$10+($A190-1)*$R$9,"")</f>
        <v>59.8695979899497</v>
      </c>
      <c r="AA190" s="38" t="n">
        <f aca="false">IFERROR(SUMPRODUCT($B$7:$B$206,LN($Z190-$C$7:$C$206)),"")</f>
        <v>240.48330491588</v>
      </c>
      <c r="AB190" s="38" t="n">
        <f aca="false">IFERROR(SUMPRODUCT($B$7:$B$206,LN($Z190-$C$7:$C$206),LN($Z190-$C$7:$C$206)),"")</f>
        <v>771.38296785302</v>
      </c>
      <c r="AC190" s="38" t="n">
        <f aca="false">IFERROR(SUMPRODUCT($B$7:$B$206,LN($Z190-$C$7:$C$206),$H$7:$H$206),"")</f>
        <v>-128.180585356215</v>
      </c>
      <c r="AD190" s="39" t="n">
        <f aca="false">IFERROR((データ入力!$B$8*AC190-AA190*$N$22)/SQRT((データ入力!$B$8*AB190-AA190^2)*(データ入力!$B$8*$N$23-$N$22^2)),-1)</f>
        <v>0.997026776927645</v>
      </c>
    </row>
    <row r="191" customFormat="false" ht="15" hidden="false" customHeight="false" outlineLevel="0" collapsed="false">
      <c r="A191" s="32" t="n">
        <v>185</v>
      </c>
      <c r="B191" s="33" t="n">
        <f aca="false">IF($A191&lt;=データ入力!$B$8,1,0)</f>
        <v>0</v>
      </c>
      <c r="C191" s="34" t="n">
        <f aca="false">IF($B191=1,LARGE(データ入力!$B$12:$B$211,$A191),0)</f>
        <v>0</v>
      </c>
      <c r="D191" s="32" t="str">
        <f aca="false">IF($B191=1,IFERROR(INDEX(データ入力!$A$12:$A$211,MATCH($C191,データ入力!$B$12:$B$211,0)),""),"")</f>
        <v/>
      </c>
      <c r="E191" s="35" t="n">
        <f aca="false">IF($B191=1,1-$A191/(データ入力!$B$8+1),0)</f>
        <v>0</v>
      </c>
      <c r="F191" s="36" t="str">
        <f aca="false">IF($B191=1,(データ入力!$B$8+1)/$A191,"")</f>
        <v/>
      </c>
      <c r="G191" s="37" t="n">
        <f aca="false">IF($B191=1,-LN(-LN($E191)),0)</f>
        <v>0</v>
      </c>
      <c r="H191" s="37" t="n">
        <f aca="false">IF($B191=1,LN(-LN($E191)),0)</f>
        <v>0</v>
      </c>
      <c r="I191" s="36" t="str">
        <f aca="false">IF($B191=1,IFERROR($C191-($N$10+$N$9*$G191),""),"")</f>
        <v/>
      </c>
      <c r="J191" s="36" t="str">
        <f aca="false">IF($B191=1,IFERROR($C191-($N$21-$N$26*EXP(-$G191/$N$24)),""),"")</f>
        <v/>
      </c>
      <c r="T191" s="38" t="n">
        <f aca="false">IFERROR($R$6+($A191-1)*$R$5,"")</f>
        <v>131.45</v>
      </c>
      <c r="U191" s="38" t="n">
        <f aca="false">IFERROR(SUMPRODUCT($B$7:$B$206,LN($T191-$C$7:$C$206)),"")</f>
        <v>342.565061811834</v>
      </c>
      <c r="V191" s="38" t="n">
        <f aca="false">IFERROR(SUMPRODUCT($B$7:$B$206,LN($T191-$C$7:$C$206),LN($T191-$C$7:$C$206)),"")</f>
        <v>1564.69584275439</v>
      </c>
      <c r="W191" s="38" t="n">
        <f aca="false">IFERROR(SUMPRODUCT($B$7:$B$206,LN($T191-$C$7:$C$206),$H$7:$H$206),"")</f>
        <v>-189.041385727932</v>
      </c>
      <c r="X191" s="39" t="n">
        <f aca="false">IFERROR((データ入力!$B$8*W191-U191*$N$22)/SQRT((データ入力!$B$8*V191-U191^2)*(データ入力!$B$8*$N$23-$N$22^2)),-1)</f>
        <v>0.996444097725269</v>
      </c>
      <c r="Z191" s="38" t="n">
        <f aca="false">IFERROR($R$10+($A191-1)*$R$9,"")</f>
        <v>59.8746231155779</v>
      </c>
      <c r="AA191" s="38" t="n">
        <f aca="false">IFERROR(SUMPRODUCT($B$7:$B$206,LN($Z191-$C$7:$C$206)),"")</f>
        <v>240.498597001172</v>
      </c>
      <c r="AB191" s="38" t="n">
        <f aca="false">IFERROR(SUMPRODUCT($B$7:$B$206,LN($Z191-$C$7:$C$206),LN($Z191-$C$7:$C$206)),"")</f>
        <v>771.48091757634</v>
      </c>
      <c r="AC191" s="38" t="n">
        <f aca="false">IFERROR(SUMPRODUCT($B$7:$B$206,LN($Z191-$C$7:$C$206),$H$7:$H$206),"")</f>
        <v>-128.190235731635</v>
      </c>
      <c r="AD191" s="39" t="n">
        <f aca="false">IFERROR((データ入力!$B$8*AC191-AA191*$N$22)/SQRT((データ入力!$B$8*AB191-AA191^2)*(データ入力!$B$8*$N$23-$N$22^2)),-1)</f>
        <v>0.997026769626113</v>
      </c>
    </row>
    <row r="192" customFormat="false" ht="15" hidden="false" customHeight="false" outlineLevel="0" collapsed="false">
      <c r="A192" s="32" t="n">
        <v>186</v>
      </c>
      <c r="B192" s="33" t="n">
        <f aca="false">IF($A192&lt;=データ入力!$B$8,1,0)</f>
        <v>0</v>
      </c>
      <c r="C192" s="34" t="n">
        <f aca="false">IF($B192=1,LARGE(データ入力!$B$12:$B$211,$A192),0)</f>
        <v>0</v>
      </c>
      <c r="D192" s="32" t="str">
        <f aca="false">IF($B192=1,IFERROR(INDEX(データ入力!$A$12:$A$211,MATCH($C192,データ入力!$B$12:$B$211,0)),""),"")</f>
        <v/>
      </c>
      <c r="E192" s="35" t="n">
        <f aca="false">IF($B192=1,1-$A192/(データ入力!$B$8+1),0)</f>
        <v>0</v>
      </c>
      <c r="F192" s="36" t="str">
        <f aca="false">IF($B192=1,(データ入力!$B$8+1)/$A192,"")</f>
        <v/>
      </c>
      <c r="G192" s="37" t="n">
        <f aca="false">IF($B192=1,-LN(-LN($E192)),0)</f>
        <v>0</v>
      </c>
      <c r="H192" s="37" t="n">
        <f aca="false">IF($B192=1,LN(-LN($E192)),0)</f>
        <v>0</v>
      </c>
      <c r="I192" s="36" t="str">
        <f aca="false">IF($B192=1,IFERROR($C192-($N$10+$N$9*$G192),""),"")</f>
        <v/>
      </c>
      <c r="J192" s="36" t="str">
        <f aca="false">IF($B192=1,IFERROR($C192-($N$21-$N$26*EXP(-$G192/$N$24)),""),"")</f>
        <v/>
      </c>
      <c r="T192" s="38" t="n">
        <f aca="false">IFERROR($R$6+($A192-1)*$R$5,"")</f>
        <v>131.95</v>
      </c>
      <c r="U192" s="38" t="n">
        <f aca="false">IFERROR(SUMPRODUCT($B$7:$B$206,LN($T192-$C$7:$C$206)),"")</f>
        <v>342.953483945185</v>
      </c>
      <c r="V192" s="38" t="n">
        <f aca="false">IFERROR(SUMPRODUCT($B$7:$B$206,LN($T192-$C$7:$C$206),LN($T192-$C$7:$C$206)),"")</f>
        <v>1568.24592836784</v>
      </c>
      <c r="W192" s="38" t="n">
        <f aca="false">IFERROR(SUMPRODUCT($B$7:$B$206,LN($T192-$C$7:$C$206),$H$7:$H$206),"")</f>
        <v>-189.264503574065</v>
      </c>
      <c r="X192" s="39" t="n">
        <f aca="false">IFERROR((データ入力!$B$8*W192-U192*$N$22)/SQRT((データ入力!$B$8*V192-U192^2)*(データ入力!$B$8*$N$23-$N$22^2)),-1)</f>
        <v>0.996442128436756</v>
      </c>
      <c r="Z192" s="38" t="n">
        <f aca="false">IFERROR($R$10+($A192-1)*$R$9,"")</f>
        <v>59.879648241206</v>
      </c>
      <c r="AA192" s="38" t="n">
        <f aca="false">IFERROR(SUMPRODUCT($B$7:$B$206,LN($Z192-$C$7:$C$206)),"")</f>
        <v>240.513885956588</v>
      </c>
      <c r="AB192" s="38" t="n">
        <f aca="false">IFERROR(SUMPRODUCT($B$7:$B$206,LN($Z192-$C$7:$C$206),LN($Z192-$C$7:$C$206)),"")</f>
        <v>771.578853536872</v>
      </c>
      <c r="AC192" s="38" t="n">
        <f aca="false">IFERROR(SUMPRODUCT($B$7:$B$206,LN($Z192-$C$7:$C$206),$H$7:$H$206),"")</f>
        <v>-128.199883884764</v>
      </c>
      <c r="AD192" s="39" t="n">
        <f aca="false">IFERROR((データ入力!$B$8*AC192-AA192*$N$22)/SQRT((データ入力!$B$8*AB192-AA192^2)*(データ入力!$B$8*$N$23-$N$22^2)),-1)</f>
        <v>0.997026762238176</v>
      </c>
    </row>
    <row r="193" customFormat="false" ht="15" hidden="false" customHeight="false" outlineLevel="0" collapsed="false">
      <c r="A193" s="32" t="n">
        <v>187</v>
      </c>
      <c r="B193" s="33" t="n">
        <f aca="false">IF($A193&lt;=データ入力!$B$8,1,0)</f>
        <v>0</v>
      </c>
      <c r="C193" s="34" t="n">
        <f aca="false">IF($B193=1,LARGE(データ入力!$B$12:$B$211,$A193),0)</f>
        <v>0</v>
      </c>
      <c r="D193" s="32" t="str">
        <f aca="false">IF($B193=1,IFERROR(INDEX(データ入力!$A$12:$A$211,MATCH($C193,データ入力!$B$12:$B$211,0)),""),"")</f>
        <v/>
      </c>
      <c r="E193" s="35" t="n">
        <f aca="false">IF($B193=1,1-$A193/(データ入力!$B$8+1),0)</f>
        <v>0</v>
      </c>
      <c r="F193" s="36" t="str">
        <f aca="false">IF($B193=1,(データ入力!$B$8+1)/$A193,"")</f>
        <v/>
      </c>
      <c r="G193" s="37" t="n">
        <f aca="false">IF($B193=1,-LN(-LN($E193)),0)</f>
        <v>0</v>
      </c>
      <c r="H193" s="37" t="n">
        <f aca="false">IF($B193=1,LN(-LN($E193)),0)</f>
        <v>0</v>
      </c>
      <c r="I193" s="36" t="str">
        <f aca="false">IF($B193=1,IFERROR($C193-($N$10+$N$9*$G193),""),"")</f>
        <v/>
      </c>
      <c r="J193" s="36" t="str">
        <f aca="false">IF($B193=1,IFERROR($C193-($N$21-$N$26*EXP(-$G193/$N$24)),""),"")</f>
        <v/>
      </c>
      <c r="T193" s="38" t="n">
        <f aca="false">IFERROR($R$6+($A193-1)*$R$5,"")</f>
        <v>132.45</v>
      </c>
      <c r="U193" s="38" t="n">
        <f aca="false">IFERROR(SUMPRODUCT($B$7:$B$206,LN($T193-$C$7:$C$206)),"")</f>
        <v>343.339904331438</v>
      </c>
      <c r="V193" s="38" t="n">
        <f aca="false">IFERROR(SUMPRODUCT($B$7:$B$206,LN($T193-$C$7:$C$206),LN($T193-$C$7:$C$206)),"")</f>
        <v>1571.78171263479</v>
      </c>
      <c r="W193" s="38" t="n">
        <f aca="false">IFERROR(SUMPRODUCT($B$7:$B$206,LN($T193-$C$7:$C$206),$H$7:$H$206),"")</f>
        <v>-189.486434256356</v>
      </c>
      <c r="X193" s="39" t="n">
        <f aca="false">IFERROR((データ入力!$B$8*W193-U193*$N$22)/SQRT((データ入力!$B$8*V193-U193^2)*(データ入力!$B$8*$N$23-$N$22^2)),-1)</f>
        <v>0.996440176327444</v>
      </c>
      <c r="Z193" s="38" t="n">
        <f aca="false">IFERROR($R$10+($A193-1)*$R$9,"")</f>
        <v>59.8846733668342</v>
      </c>
      <c r="AA193" s="38" t="n">
        <f aca="false">IFERROR(SUMPRODUCT($B$7:$B$206,LN($Z193-$C$7:$C$206)),"")</f>
        <v>240.529171783415</v>
      </c>
      <c r="AB193" s="38" t="n">
        <f aca="false">IFERROR(SUMPRODUCT($B$7:$B$206,LN($Z193-$C$7:$C$206),LN($Z193-$C$7:$C$206)),"")</f>
        <v>771.676775738973</v>
      </c>
      <c r="AC193" s="38" t="n">
        <f aca="false">IFERROR(SUMPRODUCT($B$7:$B$206,LN($Z193-$C$7:$C$206),$H$7:$H$206),"")</f>
        <v>-128.209529816622</v>
      </c>
      <c r="AD193" s="39" t="n">
        <f aca="false">IFERROR((データ入力!$B$8*AC193-AA193*$N$22)/SQRT((データ入力!$B$8*AB193-AA193^2)*(データ入力!$B$8*$N$23-$N$22^2)),-1)</f>
        <v>0.997026754764362</v>
      </c>
    </row>
    <row r="194" customFormat="false" ht="15" hidden="false" customHeight="false" outlineLevel="0" collapsed="false">
      <c r="A194" s="32" t="n">
        <v>188</v>
      </c>
      <c r="B194" s="33" t="n">
        <f aca="false">IF($A194&lt;=データ入力!$B$8,1,0)</f>
        <v>0</v>
      </c>
      <c r="C194" s="34" t="n">
        <f aca="false">IF($B194=1,LARGE(データ入力!$B$12:$B$211,$A194),0)</f>
        <v>0</v>
      </c>
      <c r="D194" s="32" t="str">
        <f aca="false">IF($B194=1,IFERROR(INDEX(データ入力!$A$12:$A$211,MATCH($C194,データ入力!$B$12:$B$211,0)),""),"")</f>
        <v/>
      </c>
      <c r="E194" s="35" t="n">
        <f aca="false">IF($B194=1,1-$A194/(データ入力!$B$8+1),0)</f>
        <v>0</v>
      </c>
      <c r="F194" s="36" t="str">
        <f aca="false">IF($B194=1,(データ入力!$B$8+1)/$A194,"")</f>
        <v/>
      </c>
      <c r="G194" s="37" t="n">
        <f aca="false">IF($B194=1,-LN(-LN($E194)),0)</f>
        <v>0</v>
      </c>
      <c r="H194" s="37" t="n">
        <f aca="false">IF($B194=1,LN(-LN($E194)),0)</f>
        <v>0</v>
      </c>
      <c r="I194" s="36" t="str">
        <f aca="false">IF($B194=1,IFERROR($C194-($N$10+$N$9*$G194),""),"")</f>
        <v/>
      </c>
      <c r="J194" s="36" t="str">
        <f aca="false">IF($B194=1,IFERROR($C194-($N$21-$N$26*EXP(-$G194/$N$24)),""),"")</f>
        <v/>
      </c>
      <c r="T194" s="38" t="n">
        <f aca="false">IFERROR($R$6+($A194-1)*$R$5,"")</f>
        <v>132.95</v>
      </c>
      <c r="U194" s="38" t="n">
        <f aca="false">IFERROR(SUMPRODUCT($B$7:$B$206,LN($T194-$C$7:$C$206)),"")</f>
        <v>343.724343501964</v>
      </c>
      <c r="V194" s="38" t="n">
        <f aca="false">IFERROR(SUMPRODUCT($B$7:$B$206,LN($T194-$C$7:$C$206),LN($T194-$C$7:$C$206)),"")</f>
        <v>1575.30332180431</v>
      </c>
      <c r="W194" s="38" t="n">
        <f aca="false">IFERROR(SUMPRODUCT($B$7:$B$206,LN($T194-$C$7:$C$206),$H$7:$H$206),"")</f>
        <v>-189.707190336192</v>
      </c>
      <c r="X194" s="39" t="n">
        <f aca="false">IFERROR((データ入力!$B$8*W194-U194*$N$22)/SQRT((データ入力!$B$8*V194-U194^2)*(データ入力!$B$8*$N$23-$N$22^2)),-1)</f>
        <v>0.996438241176921</v>
      </c>
      <c r="Z194" s="38" t="n">
        <f aca="false">IFERROR($R$10+($A194-1)*$R$9,"")</f>
        <v>59.8896984924623</v>
      </c>
      <c r="AA194" s="38" t="n">
        <f aca="false">IFERROR(SUMPRODUCT($B$7:$B$206,LN($Z194-$C$7:$C$206)),"")</f>
        <v>240.544454482939</v>
      </c>
      <c r="AB194" s="38" t="n">
        <f aca="false">IFERROR(SUMPRODUCT($B$7:$B$206,LN($Z194-$C$7:$C$206),LN($Z194-$C$7:$C$206)),"")</f>
        <v>771.774684187</v>
      </c>
      <c r="AC194" s="38" t="n">
        <f aca="false">IFERROR(SUMPRODUCT($B$7:$B$206,LN($Z194-$C$7:$C$206),$H$7:$H$206),"")</f>
        <v>-128.219173528229</v>
      </c>
      <c r="AD194" s="39" t="n">
        <f aca="false">IFERROR((データ入力!$B$8*AC194-AA194*$N$22)/SQRT((データ入力!$B$8*AB194-AA194^2)*(データ入力!$B$8*$N$23-$N$22^2)),-1)</f>
        <v>0.997026747204134</v>
      </c>
    </row>
    <row r="195" customFormat="false" ht="15" hidden="false" customHeight="false" outlineLevel="0" collapsed="false">
      <c r="A195" s="32" t="n">
        <v>189</v>
      </c>
      <c r="B195" s="33" t="n">
        <f aca="false">IF($A195&lt;=データ入力!$B$8,1,0)</f>
        <v>0</v>
      </c>
      <c r="C195" s="34" t="n">
        <f aca="false">IF($B195=1,LARGE(データ入力!$B$12:$B$211,$A195),0)</f>
        <v>0</v>
      </c>
      <c r="D195" s="32" t="str">
        <f aca="false">IF($B195=1,IFERROR(INDEX(データ入力!$A$12:$A$211,MATCH($C195,データ入力!$B$12:$B$211,0)),""),"")</f>
        <v/>
      </c>
      <c r="E195" s="35" t="n">
        <f aca="false">IF($B195=1,1-$A195/(データ入力!$B$8+1),0)</f>
        <v>0</v>
      </c>
      <c r="F195" s="36" t="str">
        <f aca="false">IF($B195=1,(データ入力!$B$8+1)/$A195,"")</f>
        <v/>
      </c>
      <c r="G195" s="37" t="n">
        <f aca="false">IF($B195=1,-LN(-LN($E195)),0)</f>
        <v>0</v>
      </c>
      <c r="H195" s="37" t="n">
        <f aca="false">IF($B195=1,LN(-LN($E195)),0)</f>
        <v>0</v>
      </c>
      <c r="I195" s="36" t="str">
        <f aca="false">IF($B195=1,IFERROR($C195-($N$10+$N$9*$G195),""),"")</f>
        <v/>
      </c>
      <c r="J195" s="36" t="str">
        <f aca="false">IF($B195=1,IFERROR($C195-($N$21-$N$26*EXP(-$G195/$N$24)),""),"")</f>
        <v/>
      </c>
      <c r="T195" s="38" t="n">
        <f aca="false">IFERROR($R$6+($A195-1)*$R$5,"")</f>
        <v>133.45</v>
      </c>
      <c r="U195" s="38" t="n">
        <f aca="false">IFERROR(SUMPRODUCT($B$7:$B$206,LN($T195-$C$7:$C$206)),"")</f>
        <v>344.106821673791</v>
      </c>
      <c r="V195" s="38" t="n">
        <f aca="false">IFERROR(SUMPRODUCT($B$7:$B$206,LN($T195-$C$7:$C$206),LN($T195-$C$7:$C$206)),"")</f>
        <v>1578.81088040065</v>
      </c>
      <c r="W195" s="38" t="n">
        <f aca="false">IFERROR(SUMPRODUCT($B$7:$B$206,LN($T195-$C$7:$C$206),$H$7:$H$206),"")</f>
        <v>-189.926784176716</v>
      </c>
      <c r="X195" s="39" t="n">
        <f aca="false">IFERROR((データ入力!$B$8*W195-U195*$N$22)/SQRT((データ入力!$B$8*V195-U195^2)*(データ入力!$B$8*$N$23-$N$22^2)),-1)</f>
        <v>0.996436322773094</v>
      </c>
      <c r="Z195" s="38" t="n">
        <f aca="false">IFERROR($R$10+($A195-1)*$R$9,"")</f>
        <v>59.8947236180904</v>
      </c>
      <c r="AA195" s="38" t="n">
        <f aca="false">IFERROR(SUMPRODUCT($B$7:$B$206,LN($Z195-$C$7:$C$206)),"")</f>
        <v>240.559734056444</v>
      </c>
      <c r="AB195" s="38" t="n">
        <f aca="false">IFERROR(SUMPRODUCT($B$7:$B$206,LN($Z195-$C$7:$C$206),LN($Z195-$C$7:$C$206)),"")</f>
        <v>771.87257888531</v>
      </c>
      <c r="AC195" s="38" t="n">
        <f aca="false">IFERROR(SUMPRODUCT($B$7:$B$206,LN($Z195-$C$7:$C$206),$H$7:$H$206),"")</f>
        <v>-128.228815020602</v>
      </c>
      <c r="AD195" s="39" t="n">
        <f aca="false">IFERROR((データ入力!$B$8*AC195-AA195*$N$22)/SQRT((データ入力!$B$8*AB195-AA195^2)*(データ入力!$B$8*$N$23-$N$22^2)),-1)</f>
        <v>0.997026739558102</v>
      </c>
    </row>
    <row r="196" customFormat="false" ht="15" hidden="false" customHeight="false" outlineLevel="0" collapsed="false">
      <c r="A196" s="32" t="n">
        <v>190</v>
      </c>
      <c r="B196" s="33" t="n">
        <f aca="false">IF($A196&lt;=データ入力!$B$8,1,0)</f>
        <v>0</v>
      </c>
      <c r="C196" s="34" t="n">
        <f aca="false">IF($B196=1,LARGE(データ入力!$B$12:$B$211,$A196),0)</f>
        <v>0</v>
      </c>
      <c r="D196" s="32" t="str">
        <f aca="false">IF($B196=1,IFERROR(INDEX(データ入力!$A$12:$A$211,MATCH($C196,データ入力!$B$12:$B$211,0)),""),"")</f>
        <v/>
      </c>
      <c r="E196" s="35" t="n">
        <f aca="false">IF($B196=1,1-$A196/(データ入力!$B$8+1),0)</f>
        <v>0</v>
      </c>
      <c r="F196" s="36" t="str">
        <f aca="false">IF($B196=1,(データ入力!$B$8+1)/$A196,"")</f>
        <v/>
      </c>
      <c r="G196" s="37" t="n">
        <f aca="false">IF($B196=1,-LN(-LN($E196)),0)</f>
        <v>0</v>
      </c>
      <c r="H196" s="37" t="n">
        <f aca="false">IF($B196=1,LN(-LN($E196)),0)</f>
        <v>0</v>
      </c>
      <c r="I196" s="36" t="str">
        <f aca="false">IF($B196=1,IFERROR($C196-($N$10+$N$9*$G196),""),"")</f>
        <v/>
      </c>
      <c r="J196" s="36" t="str">
        <f aca="false">IF($B196=1,IFERROR($C196-($N$21-$N$26*EXP(-$G196/$N$24)),""),"")</f>
        <v/>
      </c>
      <c r="T196" s="38" t="n">
        <f aca="false">IFERROR($R$6+($A196-1)*$R$5,"")</f>
        <v>133.95</v>
      </c>
      <c r="U196" s="38" t="n">
        <f aca="false">IFERROR(SUMPRODUCT($B$7:$B$206,LN($T196-$C$7:$C$206)),"")</f>
        <v>344.487358755992</v>
      </c>
      <c r="V196" s="38" t="n">
        <f aca="false">IFERROR(SUMPRODUCT($B$7:$B$206,LN($T196-$C$7:$C$206),LN($T196-$C$7:$C$206)),"")</f>
        <v>1582.30451125513</v>
      </c>
      <c r="W196" s="38" t="n">
        <f aca="false">IFERROR(SUMPRODUCT($B$7:$B$206,LN($T196-$C$7:$C$206),$H$7:$H$206),"")</f>
        <v>-190.145227946972</v>
      </c>
      <c r="X196" s="39" t="n">
        <f aca="false">IFERROR((データ入力!$B$8*W196-U196*$N$22)/SQRT((データ入力!$B$8*V196-U196^2)*(データ入力!$B$8*$N$23-$N$22^2)),-1)</f>
        <v>0.996434420907991</v>
      </c>
      <c r="Z196" s="38" t="n">
        <f aca="false">IFERROR($R$10+($A196-1)*$R$9,"")</f>
        <v>59.8997487437186</v>
      </c>
      <c r="AA196" s="38" t="n">
        <f aca="false">IFERROR(SUMPRODUCT($B$7:$B$206,LN($Z196-$C$7:$C$206)),"")</f>
        <v>240.575010505214</v>
      </c>
      <c r="AB196" s="38" t="n">
        <f aca="false">IFERROR(SUMPRODUCT($B$7:$B$206,LN($Z196-$C$7:$C$206),LN($Z196-$C$7:$C$206)),"")</f>
        <v>771.970459838253</v>
      </c>
      <c r="AC196" s="38" t="n">
        <f aca="false">IFERROR(SUMPRODUCT($B$7:$B$206,LN($Z196-$C$7:$C$206),$H$7:$H$206),"")</f>
        <v>-128.23845429476</v>
      </c>
      <c r="AD196" s="39" t="n">
        <f aca="false">IFERROR((データ入力!$B$8*AC196-AA196*$N$22)/SQRT((データ入力!$B$8*AB196-AA196^2)*(データ入力!$B$8*$N$23-$N$22^2)),-1)</f>
        <v>0.997026731826302</v>
      </c>
    </row>
    <row r="197" customFormat="false" ht="15" hidden="false" customHeight="false" outlineLevel="0" collapsed="false">
      <c r="A197" s="32" t="n">
        <v>191</v>
      </c>
      <c r="B197" s="33" t="n">
        <f aca="false">IF($A197&lt;=データ入力!$B$8,1,0)</f>
        <v>0</v>
      </c>
      <c r="C197" s="34" t="n">
        <f aca="false">IF($B197=1,LARGE(データ入力!$B$12:$B$211,$A197),0)</f>
        <v>0</v>
      </c>
      <c r="D197" s="32" t="str">
        <f aca="false">IF($B197=1,IFERROR(INDEX(データ入力!$A$12:$A$211,MATCH($C197,データ入力!$B$12:$B$211,0)),""),"")</f>
        <v/>
      </c>
      <c r="E197" s="35" t="n">
        <f aca="false">IF($B197=1,1-$A197/(データ入力!$B$8+1),0)</f>
        <v>0</v>
      </c>
      <c r="F197" s="36" t="str">
        <f aca="false">IF($B197=1,(データ入力!$B$8+1)/$A197,"")</f>
        <v/>
      </c>
      <c r="G197" s="37" t="n">
        <f aca="false">IF($B197=1,-LN(-LN($E197)),0)</f>
        <v>0</v>
      </c>
      <c r="H197" s="37" t="n">
        <f aca="false">IF($B197=1,LN(-LN($E197)),0)</f>
        <v>0</v>
      </c>
      <c r="I197" s="36" t="str">
        <f aca="false">IF($B197=1,IFERROR($C197-($N$10+$N$9*$G197),""),"")</f>
        <v/>
      </c>
      <c r="J197" s="36" t="str">
        <f aca="false">IF($B197=1,IFERROR($C197-($N$21-$N$26*EXP(-$G197/$N$24)),""),"")</f>
        <v/>
      </c>
      <c r="T197" s="38" t="n">
        <f aca="false">IFERROR($R$6+($A197-1)*$R$5,"")</f>
        <v>134.45</v>
      </c>
      <c r="U197" s="38" t="n">
        <f aca="false">IFERROR(SUMPRODUCT($B$7:$B$206,LN($T197-$C$7:$C$206)),"")</f>
        <v>344.865974355908</v>
      </c>
      <c r="V197" s="38" t="n">
        <f aca="false">IFERROR(SUMPRODUCT($B$7:$B$206,LN($T197-$C$7:$C$206),LN($T197-$C$7:$C$206)),"")</f>
        <v>1585.78433553728</v>
      </c>
      <c r="W197" s="38" t="n">
        <f aca="false">IFERROR(SUMPRODUCT($B$7:$B$206,LN($T197-$C$7:$C$206),$H$7:$H$206),"")</f>
        <v>-190.362533625946</v>
      </c>
      <c r="X197" s="39" t="n">
        <f aca="false">IFERROR((データ入力!$B$8*W197-U197*$N$22)/SQRT((データ入力!$B$8*V197-U197^2)*(データ入力!$B$8*$N$23-$N$22^2)),-1)</f>
        <v>0.996432535359734</v>
      </c>
      <c r="Z197" s="38" t="n">
        <f aca="false">IFERROR($R$10+($A197-1)*$R$9,"")</f>
        <v>59.9047738693467</v>
      </c>
      <c r="AA197" s="38" t="n">
        <f aca="false">IFERROR(SUMPRODUCT($B$7:$B$206,LN($Z197-$C$7:$C$206)),"")</f>
        <v>240.590283830533</v>
      </c>
      <c r="AB197" s="38" t="n">
        <f aca="false">IFERROR(SUMPRODUCT($B$7:$B$206,LN($Z197-$C$7:$C$206),LN($Z197-$C$7:$C$206)),"")</f>
        <v>772.068327050182</v>
      </c>
      <c r="AC197" s="38" t="n">
        <f aca="false">IFERROR(SUMPRODUCT($B$7:$B$206,LN($Z197-$C$7:$C$206),$H$7:$H$206),"")</f>
        <v>-128.24809135172</v>
      </c>
      <c r="AD197" s="39" t="n">
        <f aca="false">IFERROR((データ入力!$B$8*AC197-AA197*$N$22)/SQRT((データ入力!$B$8*AB197-AA197^2)*(データ入力!$B$8*$N$23-$N$22^2)),-1)</f>
        <v>0.997026724009048</v>
      </c>
    </row>
    <row r="198" customFormat="false" ht="15" hidden="false" customHeight="false" outlineLevel="0" collapsed="false">
      <c r="A198" s="32" t="n">
        <v>192</v>
      </c>
      <c r="B198" s="33" t="n">
        <f aca="false">IF($A198&lt;=データ入力!$B$8,1,0)</f>
        <v>0</v>
      </c>
      <c r="C198" s="34" t="n">
        <f aca="false">IF($B198=1,LARGE(データ入力!$B$12:$B$211,$A198),0)</f>
        <v>0</v>
      </c>
      <c r="D198" s="32" t="str">
        <f aca="false">IF($B198=1,IFERROR(INDEX(データ入力!$A$12:$A$211,MATCH($C198,データ入力!$B$12:$B$211,0)),""),"")</f>
        <v/>
      </c>
      <c r="E198" s="35" t="n">
        <f aca="false">IF($B198=1,1-$A198/(データ入力!$B$8+1),0)</f>
        <v>0</v>
      </c>
      <c r="F198" s="36" t="str">
        <f aca="false">IF($B198=1,(データ入力!$B$8+1)/$A198,"")</f>
        <v/>
      </c>
      <c r="G198" s="37" t="n">
        <f aca="false">IF($B198=1,-LN(-LN($E198)),0)</f>
        <v>0</v>
      </c>
      <c r="H198" s="37" t="n">
        <f aca="false">IF($B198=1,LN(-LN($E198)),0)</f>
        <v>0</v>
      </c>
      <c r="I198" s="36" t="str">
        <f aca="false">IF($B198=1,IFERROR($C198-($N$10+$N$9*$G198),""),"")</f>
        <v/>
      </c>
      <c r="J198" s="36" t="str">
        <f aca="false">IF($B198=1,IFERROR($C198-($N$21-$N$26*EXP(-$G198/$N$24)),""),"")</f>
        <v/>
      </c>
      <c r="T198" s="38" t="n">
        <f aca="false">IFERROR($R$6+($A198-1)*$R$5,"")</f>
        <v>134.95</v>
      </c>
      <c r="U198" s="38" t="n">
        <f aca="false">IFERROR(SUMPRODUCT($B$7:$B$206,LN($T198-$C$7:$C$206)),"")</f>
        <v>345.242687785216</v>
      </c>
      <c r="V198" s="38" t="n">
        <f aca="false">IFERROR(SUMPRODUCT($B$7:$B$206,LN($T198-$C$7:$C$206),LN($T198-$C$7:$C$206)),"")</f>
        <v>1589.25047278524</v>
      </c>
      <c r="W198" s="38" t="n">
        <f aca="false">IFERROR(SUMPRODUCT($B$7:$B$206,LN($T198-$C$7:$C$206),$H$7:$H$206),"")</f>
        <v>-190.578713006502</v>
      </c>
      <c r="X198" s="39" t="n">
        <f aca="false">IFERROR((データ入力!$B$8*W198-U198*$N$22)/SQRT((データ入力!$B$8*V198-U198^2)*(データ入力!$B$8*$N$23-$N$22^2)),-1)</f>
        <v>0.996430665953536</v>
      </c>
      <c r="Z198" s="38" t="n">
        <f aca="false">IFERROR($R$10+($A198-1)*$R$9,"")</f>
        <v>59.9097989949749</v>
      </c>
      <c r="AA198" s="38" t="n">
        <f aca="false">IFERROR(SUMPRODUCT($B$7:$B$206,LN($Z198-$C$7:$C$206)),"")</f>
        <v>240.605554033682</v>
      </c>
      <c r="AB198" s="38" t="n">
        <f aca="false">IFERROR(SUMPRODUCT($B$7:$B$206,LN($Z198-$C$7:$C$206),LN($Z198-$C$7:$C$206)),"")</f>
        <v>772.166180525444</v>
      </c>
      <c r="AC198" s="38" t="n">
        <f aca="false">IFERROR(SUMPRODUCT($B$7:$B$206,LN($Z198-$C$7:$C$206),$H$7:$H$206),"")</f>
        <v>-128.257726192499</v>
      </c>
      <c r="AD198" s="39" t="n">
        <f aca="false">IFERROR((データ入力!$B$8*AC198-AA198*$N$22)/SQRT((データ入力!$B$8*AB198-AA198^2)*(データ入力!$B$8*$N$23-$N$22^2)),-1)</f>
        <v>0.997026716105761</v>
      </c>
    </row>
    <row r="199" customFormat="false" ht="15" hidden="false" customHeight="false" outlineLevel="0" collapsed="false">
      <c r="A199" s="32" t="n">
        <v>193</v>
      </c>
      <c r="B199" s="33" t="n">
        <f aca="false">IF($A199&lt;=データ入力!$B$8,1,0)</f>
        <v>0</v>
      </c>
      <c r="C199" s="34" t="n">
        <f aca="false">IF($B199=1,LARGE(データ入力!$B$12:$B$211,$A199),0)</f>
        <v>0</v>
      </c>
      <c r="D199" s="32" t="str">
        <f aca="false">IF($B199=1,IFERROR(INDEX(データ入力!$A$12:$A$211,MATCH($C199,データ入力!$B$12:$B$211,0)),""),"")</f>
        <v/>
      </c>
      <c r="E199" s="35" t="n">
        <f aca="false">IF($B199=1,1-$A199/(データ入力!$B$8+1),0)</f>
        <v>0</v>
      </c>
      <c r="F199" s="36" t="str">
        <f aca="false">IF($B199=1,(データ入力!$B$8+1)/$A199,"")</f>
        <v/>
      </c>
      <c r="G199" s="37" t="n">
        <f aca="false">IF($B199=1,-LN(-LN($E199)),0)</f>
        <v>0</v>
      </c>
      <c r="H199" s="37" t="n">
        <f aca="false">IF($B199=1,LN(-LN($E199)),0)</f>
        <v>0</v>
      </c>
      <c r="I199" s="36" t="str">
        <f aca="false">IF($B199=1,IFERROR($C199-($N$10+$N$9*$G199),""),"")</f>
        <v/>
      </c>
      <c r="J199" s="36" t="str">
        <f aca="false">IF($B199=1,IFERROR($C199-($N$21-$N$26*EXP(-$G199/$N$24)),""),"")</f>
        <v/>
      </c>
      <c r="T199" s="38" t="n">
        <f aca="false">IFERROR($R$6+($A199-1)*$R$5,"")</f>
        <v>135.45</v>
      </c>
      <c r="U199" s="38" t="n">
        <f aca="false">IFERROR(SUMPRODUCT($B$7:$B$206,LN($T199-$C$7:$C$206)),"")</f>
        <v>345.617518065847</v>
      </c>
      <c r="V199" s="38" t="n">
        <f aca="false">IFERROR(SUMPRODUCT($B$7:$B$206,LN($T199-$C$7:$C$206),LN($T199-$C$7:$C$206)),"")</f>
        <v>1592.70304093549</v>
      </c>
      <c r="W199" s="38" t="n">
        <f aca="false">IFERROR(SUMPRODUCT($B$7:$B$206,LN($T199-$C$7:$C$206),$H$7:$H$206),"")</f>
        <v>-190.793777699218</v>
      </c>
      <c r="X199" s="39" t="n">
        <f aca="false">IFERROR((データ入力!$B$8*W199-U199*$N$22)/SQRT((データ入力!$B$8*V199-U199^2)*(データ入力!$B$8*$N$23-$N$22^2)),-1)</f>
        <v>0.99642881245843</v>
      </c>
      <c r="Z199" s="38" t="n">
        <f aca="false">IFERROR($R$10+($A199-1)*$R$9,"")</f>
        <v>59.914824120603</v>
      </c>
      <c r="AA199" s="38" t="n">
        <f aca="false">IFERROR(SUMPRODUCT($B$7:$B$206,LN($Z199-$C$7:$C$206)),"")</f>
        <v>240.620821115943</v>
      </c>
      <c r="AB199" s="38" t="n">
        <f aca="false">IFERROR(SUMPRODUCT($B$7:$B$206,LN($Z199-$C$7:$C$206),LN($Z199-$C$7:$C$206)),"")</f>
        <v>772.264020268385</v>
      </c>
      <c r="AC199" s="38" t="n">
        <f aca="false">IFERROR(SUMPRODUCT($B$7:$B$206,LN($Z199-$C$7:$C$206),$H$7:$H$206),"")</f>
        <v>-128.267358818111</v>
      </c>
      <c r="AD199" s="39" t="n">
        <f aca="false">IFERROR((データ入力!$B$8*AC199-AA199*$N$22)/SQRT((データ入力!$B$8*AB199-AA199^2)*(データ入力!$B$8*$N$23-$N$22^2)),-1)</f>
        <v>0.997026708117012</v>
      </c>
    </row>
    <row r="200" customFormat="false" ht="15" hidden="false" customHeight="false" outlineLevel="0" collapsed="false">
      <c r="A200" s="32" t="n">
        <v>194</v>
      </c>
      <c r="B200" s="33" t="n">
        <f aca="false">IF($A200&lt;=データ入力!$B$8,1,0)</f>
        <v>0</v>
      </c>
      <c r="C200" s="34" t="n">
        <f aca="false">IF($B200=1,LARGE(データ入力!$B$12:$B$211,$A200),0)</f>
        <v>0</v>
      </c>
      <c r="D200" s="32" t="str">
        <f aca="false">IF($B200=1,IFERROR(INDEX(データ入力!$A$12:$A$211,MATCH($C200,データ入力!$B$12:$B$211,0)),""),"")</f>
        <v/>
      </c>
      <c r="E200" s="35" t="n">
        <f aca="false">IF($B200=1,1-$A200/(データ入力!$B$8+1),0)</f>
        <v>0</v>
      </c>
      <c r="F200" s="36" t="str">
        <f aca="false">IF($B200=1,(データ入力!$B$8+1)/$A200,"")</f>
        <v/>
      </c>
      <c r="G200" s="37" t="n">
        <f aca="false">IF($B200=1,-LN(-LN($E200)),0)</f>
        <v>0</v>
      </c>
      <c r="H200" s="37" t="n">
        <f aca="false">IF($B200=1,LN(-LN($E200)),0)</f>
        <v>0</v>
      </c>
      <c r="I200" s="36" t="str">
        <f aca="false">IF($B200=1,IFERROR($C200-($N$10+$N$9*$G200),""),"")</f>
        <v/>
      </c>
      <c r="J200" s="36" t="str">
        <f aca="false">IF($B200=1,IFERROR($C200-($N$21-$N$26*EXP(-$G200/$N$24)),""),"")</f>
        <v/>
      </c>
      <c r="T200" s="38" t="n">
        <f aca="false">IFERROR($R$6+($A200-1)*$R$5,"")</f>
        <v>135.95</v>
      </c>
      <c r="U200" s="38" t="n">
        <f aca="false">IFERROR(SUMPRODUCT($B$7:$B$206,LN($T200-$C$7:$C$206)),"")</f>
        <v>345.990483935752</v>
      </c>
      <c r="V200" s="38" t="n">
        <f aca="false">IFERROR(SUMPRODUCT($B$7:$B$206,LN($T200-$C$7:$C$206),LN($T200-$C$7:$C$206)),"")</f>
        <v>1596.14215635187</v>
      </c>
      <c r="W200" s="38" t="n">
        <f aca="false">IFERROR(SUMPRODUCT($B$7:$B$206,LN($T200-$C$7:$C$206),$H$7:$H$206),"")</f>
        <v>-191.007739136123</v>
      </c>
      <c r="X200" s="39" t="n">
        <f aca="false">IFERROR((データ入力!$B$8*W200-U200*$N$22)/SQRT((データ入力!$B$8*V200-U200^2)*(データ入力!$B$8*$N$23-$N$22^2)),-1)</f>
        <v>0.996426974707733</v>
      </c>
      <c r="Z200" s="38" t="n">
        <f aca="false">IFERROR($R$10+($A200-1)*$R$9,"")</f>
        <v>59.9198492462312</v>
      </c>
      <c r="AA200" s="38" t="n">
        <f aca="false">IFERROR(SUMPRODUCT($B$7:$B$206,LN($Z200-$C$7:$C$206)),"")</f>
        <v>240.636085078598</v>
      </c>
      <c r="AB200" s="38" t="n">
        <f aca="false">IFERROR(SUMPRODUCT($B$7:$B$206,LN($Z200-$C$7:$C$206),LN($Z200-$C$7:$C$206)),"")</f>
        <v>772.36184628335</v>
      </c>
      <c r="AC200" s="38" t="n">
        <f aca="false">IFERROR(SUMPRODUCT($B$7:$B$206,LN($Z200-$C$7:$C$206),$H$7:$H$206),"")</f>
        <v>-128.276989229573</v>
      </c>
      <c r="AD200" s="39" t="n">
        <f aca="false">IFERROR((データ入力!$B$8*AC200-AA200*$N$22)/SQRT((データ入力!$B$8*AB200-AA200^2)*(データ入力!$B$8*$N$23-$N$22^2)),-1)</f>
        <v>0.99702670004346</v>
      </c>
    </row>
    <row r="201" customFormat="false" ht="15" hidden="false" customHeight="false" outlineLevel="0" collapsed="false">
      <c r="A201" s="32" t="n">
        <v>195</v>
      </c>
      <c r="B201" s="33" t="n">
        <f aca="false">IF($A201&lt;=データ入力!$B$8,1,0)</f>
        <v>0</v>
      </c>
      <c r="C201" s="34" t="n">
        <f aca="false">IF($B201=1,LARGE(データ入力!$B$12:$B$211,$A201),0)</f>
        <v>0</v>
      </c>
      <c r="D201" s="32" t="str">
        <f aca="false">IF($B201=1,IFERROR(INDEX(データ入力!$A$12:$A$211,MATCH($C201,データ入力!$B$12:$B$211,0)),""),"")</f>
        <v/>
      </c>
      <c r="E201" s="35" t="n">
        <f aca="false">IF($B201=1,1-$A201/(データ入力!$B$8+1),0)</f>
        <v>0</v>
      </c>
      <c r="F201" s="36" t="str">
        <f aca="false">IF($B201=1,(データ入力!$B$8+1)/$A201,"")</f>
        <v/>
      </c>
      <c r="G201" s="37" t="n">
        <f aca="false">IF($B201=1,-LN(-LN($E201)),0)</f>
        <v>0</v>
      </c>
      <c r="H201" s="37" t="n">
        <f aca="false">IF($B201=1,LN(-LN($E201)),0)</f>
        <v>0</v>
      </c>
      <c r="I201" s="36" t="str">
        <f aca="false">IF($B201=1,IFERROR($C201-($N$10+$N$9*$G201),""),"")</f>
        <v/>
      </c>
      <c r="J201" s="36" t="str">
        <f aca="false">IF($B201=1,IFERROR($C201-($N$21-$N$26*EXP(-$G201/$N$24)),""),"")</f>
        <v/>
      </c>
      <c r="T201" s="38" t="n">
        <f aca="false">IFERROR($R$6+($A201-1)*$R$5,"")</f>
        <v>136.45</v>
      </c>
      <c r="U201" s="38" t="n">
        <f aca="false">IFERROR(SUMPRODUCT($B$7:$B$206,LN($T201-$C$7:$C$206)),"")</f>
        <v>346.36160385453</v>
      </c>
      <c r="V201" s="38" t="n">
        <f aca="false">IFERROR(SUMPRODUCT($B$7:$B$206,LN($T201-$C$7:$C$206),LN($T201-$C$7:$C$206)),"")</f>
        <v>1599.56793385393</v>
      </c>
      <c r="W201" s="38" t="n">
        <f aca="false">IFERROR(SUMPRODUCT($B$7:$B$206,LN($T201-$C$7:$C$206),$H$7:$H$206),"")</f>
        <v>-191.220608574333</v>
      </c>
      <c r="X201" s="39" t="n">
        <f aca="false">IFERROR((データ入力!$B$8*W201-U201*$N$22)/SQRT((データ入力!$B$8*V201-U201^2)*(データ入力!$B$8*$N$23-$N$22^2)),-1)</f>
        <v>0.996425152486686</v>
      </c>
      <c r="Z201" s="38" t="n">
        <f aca="false">IFERROR($R$10+($A201-1)*$R$9,"")</f>
        <v>59.9248743718593</v>
      </c>
      <c r="AA201" s="38" t="n">
        <f aca="false">IFERROR(SUMPRODUCT($B$7:$B$206,LN($Z201-$C$7:$C$206)),"")</f>
        <v>240.651345922926</v>
      </c>
      <c r="AB201" s="38" t="n">
        <f aca="false">IFERROR(SUMPRODUCT($B$7:$B$206,LN($Z201-$C$7:$C$206),LN($Z201-$C$7:$C$206)),"")</f>
        <v>772.45965857468</v>
      </c>
      <c r="AC201" s="38" t="n">
        <f aca="false">IFERROR(SUMPRODUCT($B$7:$B$206,LN($Z201-$C$7:$C$206),$H$7:$H$206),"")</f>
        <v>-128.286617427897</v>
      </c>
      <c r="AD201" s="39" t="n">
        <f aca="false">IFERROR((データ入力!$B$8*AC201-AA201*$N$22)/SQRT((データ入力!$B$8*AB201-AA201^2)*(データ入力!$B$8*$N$23-$N$22^2)),-1)</f>
        <v>0.997026691884034</v>
      </c>
    </row>
    <row r="202" customFormat="false" ht="15" hidden="false" customHeight="false" outlineLevel="0" collapsed="false">
      <c r="A202" s="32" t="n">
        <v>196</v>
      </c>
      <c r="B202" s="33" t="n">
        <f aca="false">IF($A202&lt;=データ入力!$B$8,1,0)</f>
        <v>0</v>
      </c>
      <c r="C202" s="34" t="n">
        <f aca="false">IF($B202=1,LARGE(データ入力!$B$12:$B$211,$A202),0)</f>
        <v>0</v>
      </c>
      <c r="D202" s="32" t="str">
        <f aca="false">IF($B202=1,IFERROR(INDEX(データ入力!$A$12:$A$211,MATCH($C202,データ入力!$B$12:$B$211,0)),""),"")</f>
        <v/>
      </c>
      <c r="E202" s="35" t="n">
        <f aca="false">IF($B202=1,1-$A202/(データ入力!$B$8+1),0)</f>
        <v>0</v>
      </c>
      <c r="F202" s="36" t="str">
        <f aca="false">IF($B202=1,(データ入力!$B$8+1)/$A202,"")</f>
        <v/>
      </c>
      <c r="G202" s="37" t="n">
        <f aca="false">IF($B202=1,-LN(-LN($E202)),0)</f>
        <v>0</v>
      </c>
      <c r="H202" s="37" t="n">
        <f aca="false">IF($B202=1,LN(-LN($E202)),0)</f>
        <v>0</v>
      </c>
      <c r="I202" s="36" t="str">
        <f aca="false">IF($B202=1,IFERROR($C202-($N$10+$N$9*$G202),""),"")</f>
        <v/>
      </c>
      <c r="J202" s="36" t="str">
        <f aca="false">IF($B202=1,IFERROR($C202-($N$21-$N$26*EXP(-$G202/$N$24)),""),"")</f>
        <v/>
      </c>
      <c r="T202" s="38" t="n">
        <f aca="false">IFERROR($R$6+($A202-1)*$R$5,"")</f>
        <v>136.95</v>
      </c>
      <c r="U202" s="38" t="n">
        <f aca="false">IFERROR(SUMPRODUCT($B$7:$B$206,LN($T202-$C$7:$C$206)),"")</f>
        <v>346.730896008915</v>
      </c>
      <c r="V202" s="38" t="n">
        <f aca="false">IFERROR(SUMPRODUCT($B$7:$B$206,LN($T202-$C$7:$C$206),LN($T202-$C$7:$C$206)),"")</f>
        <v>1602.98048674468</v>
      </c>
      <c r="W202" s="38" t="n">
        <f aca="false">IFERROR(SUMPRODUCT($B$7:$B$206,LN($T202-$C$7:$C$206),$H$7:$H$206),"")</f>
        <v>-191.432397099608</v>
      </c>
      <c r="X202" s="39" t="n">
        <f aca="false">IFERROR((データ入力!$B$8*W202-U202*$N$22)/SQRT((データ入力!$B$8*V202-U202^2)*(データ入力!$B$8*$N$23-$N$22^2)),-1)</f>
        <v>0.996423345620888</v>
      </c>
      <c r="Z202" s="38" t="n">
        <f aca="false">IFERROR($R$10+($A202-1)*$R$9,"")</f>
        <v>59.9298994974874</v>
      </c>
      <c r="AA202" s="38" t="n">
        <f aca="false">IFERROR(SUMPRODUCT($B$7:$B$206,LN($Z202-$C$7:$C$206)),"")</f>
        <v>240.666603650205</v>
      </c>
      <c r="AB202" s="38" t="n">
        <f aca="false">IFERROR(SUMPRODUCT($B$7:$B$206,LN($Z202-$C$7:$C$206),LN($Z202-$C$7:$C$206)),"")</f>
        <v>772.557457146716</v>
      </c>
      <c r="AC202" s="38" t="n">
        <f aca="false">IFERROR(SUMPRODUCT($B$7:$B$206,LN($Z202-$C$7:$C$206),$H$7:$H$206),"")</f>
        <v>-128.296243414099</v>
      </c>
      <c r="AD202" s="39" t="n">
        <f aca="false">IFERROR((データ入力!$B$8*AC202-AA202*$N$22)/SQRT((データ入力!$B$8*AB202-AA202^2)*(データ入力!$B$8*$N$23-$N$22^2)),-1)</f>
        <v>0.997026683639625</v>
      </c>
    </row>
    <row r="203" customFormat="false" ht="15" hidden="false" customHeight="false" outlineLevel="0" collapsed="false">
      <c r="A203" s="32" t="n">
        <v>197</v>
      </c>
      <c r="B203" s="33" t="n">
        <f aca="false">IF($A203&lt;=データ入力!$B$8,1,0)</f>
        <v>0</v>
      </c>
      <c r="C203" s="34" t="n">
        <f aca="false">IF($B203=1,LARGE(データ入力!$B$12:$B$211,$A203),0)</f>
        <v>0</v>
      </c>
      <c r="D203" s="32" t="str">
        <f aca="false">IF($B203=1,IFERROR(INDEX(データ入力!$A$12:$A$211,MATCH($C203,データ入力!$B$12:$B$211,0)),""),"")</f>
        <v/>
      </c>
      <c r="E203" s="35" t="n">
        <f aca="false">IF($B203=1,1-$A203/(データ入力!$B$8+1),0)</f>
        <v>0</v>
      </c>
      <c r="F203" s="36" t="str">
        <f aca="false">IF($B203=1,(データ入力!$B$8+1)/$A203,"")</f>
        <v/>
      </c>
      <c r="G203" s="37" t="n">
        <f aca="false">IF($B203=1,-LN(-LN($E203)),0)</f>
        <v>0</v>
      </c>
      <c r="H203" s="37" t="n">
        <f aca="false">IF($B203=1,LN(-LN($E203)),0)</f>
        <v>0</v>
      </c>
      <c r="I203" s="36" t="str">
        <f aca="false">IF($B203=1,IFERROR($C203-($N$10+$N$9*$G203),""),"")</f>
        <v/>
      </c>
      <c r="J203" s="36" t="str">
        <f aca="false">IF($B203=1,IFERROR($C203-($N$21-$N$26*EXP(-$G203/$N$24)),""),"")</f>
        <v/>
      </c>
      <c r="T203" s="38" t="n">
        <f aca="false">IFERROR($R$6+($A203-1)*$R$5,"")</f>
        <v>137.45</v>
      </c>
      <c r="U203" s="38" t="n">
        <f aca="false">IFERROR(SUMPRODUCT($B$7:$B$206,LN($T203-$C$7:$C$206)),"")</f>
        <v>347.09837831813</v>
      </c>
      <c r="V203" s="38" t="n">
        <f aca="false">IFERROR(SUMPRODUCT($B$7:$B$206,LN($T203-$C$7:$C$206),LN($T203-$C$7:$C$206)),"")</f>
        <v>1606.3799268377</v>
      </c>
      <c r="W203" s="38" t="n">
        <f aca="false">IFERROR(SUMPRODUCT($B$7:$B$206,LN($T203-$C$7:$C$206),$H$7:$H$206),"")</f>
        <v>-191.643115629803</v>
      </c>
      <c r="X203" s="39" t="n">
        <f aca="false">IFERROR((データ入力!$B$8*W203-U203*$N$22)/SQRT((データ入力!$B$8*V203-U203^2)*(データ入力!$B$8*$N$23-$N$22^2)),-1)</f>
        <v>0.996421553912223</v>
      </c>
      <c r="Z203" s="38" t="n">
        <f aca="false">IFERROR($R$10+($A203-1)*$R$9,"")</f>
        <v>59.9349246231156</v>
      </c>
      <c r="AA203" s="38" t="n">
        <f aca="false">IFERROR(SUMPRODUCT($B$7:$B$206,LN($Z203-$C$7:$C$206)),"")</f>
        <v>240.681858261716</v>
      </c>
      <c r="AB203" s="38" t="n">
        <f aca="false">IFERROR(SUMPRODUCT($B$7:$B$206,LN($Z203-$C$7:$C$206),LN($Z203-$C$7:$C$206)),"")</f>
        <v>772.655242003795</v>
      </c>
      <c r="AC203" s="38" t="n">
        <f aca="false">IFERROR(SUMPRODUCT($B$7:$B$206,LN($Z203-$C$7:$C$206),$H$7:$H$206),"")</f>
        <v>-128.305867189191</v>
      </c>
      <c r="AD203" s="39" t="n">
        <f aca="false">IFERROR((データ入力!$B$8*AC203-AA203*$N$22)/SQRT((データ入力!$B$8*AB203-AA203^2)*(データ入力!$B$8*$N$23-$N$22^2)),-1)</f>
        <v>0.997026675310244</v>
      </c>
    </row>
    <row r="204" customFormat="false" ht="15" hidden="false" customHeight="false" outlineLevel="0" collapsed="false">
      <c r="A204" s="32" t="n">
        <v>198</v>
      </c>
      <c r="B204" s="33" t="n">
        <f aca="false">IF($A204&lt;=データ入力!$B$8,1,0)</f>
        <v>0</v>
      </c>
      <c r="C204" s="34" t="n">
        <f aca="false">IF($B204=1,LARGE(データ入力!$B$12:$B$211,$A204),0)</f>
        <v>0</v>
      </c>
      <c r="D204" s="32" t="str">
        <f aca="false">IF($B204=1,IFERROR(INDEX(データ入力!$A$12:$A$211,MATCH($C204,データ入力!$B$12:$B$211,0)),""),"")</f>
        <v/>
      </c>
      <c r="E204" s="35" t="n">
        <f aca="false">IF($B204=1,1-$A204/(データ入力!$B$8+1),0)</f>
        <v>0</v>
      </c>
      <c r="F204" s="36" t="str">
        <f aca="false">IF($B204=1,(データ入力!$B$8+1)/$A204,"")</f>
        <v/>
      </c>
      <c r="G204" s="37" t="n">
        <f aca="false">IF($B204=1,-LN(-LN($E204)),0)</f>
        <v>0</v>
      </c>
      <c r="H204" s="37" t="n">
        <f aca="false">IF($B204=1,LN(-LN($E204)),0)</f>
        <v>0</v>
      </c>
      <c r="I204" s="36" t="str">
        <f aca="false">IF($B204=1,IFERROR($C204-($N$10+$N$9*$G204),""),"")</f>
        <v/>
      </c>
      <c r="J204" s="36" t="str">
        <f aca="false">IF($B204=1,IFERROR($C204-($N$21-$N$26*EXP(-$G204/$N$24)),""),"")</f>
        <v/>
      </c>
      <c r="T204" s="38" t="n">
        <f aca="false">IFERROR($R$6+($A204-1)*$R$5,"")</f>
        <v>137.95</v>
      </c>
      <c r="U204" s="38" t="n">
        <f aca="false">IFERROR(SUMPRODUCT($B$7:$B$206,LN($T204-$C$7:$C$206)),"")</f>
        <v>347.464068439104</v>
      </c>
      <c r="V204" s="38" t="n">
        <f aca="false">IFERROR(SUMPRODUCT($B$7:$B$206,LN($T204-$C$7:$C$206),LN($T204-$C$7:$C$206)),"")</f>
        <v>1609.76636448359</v>
      </c>
      <c r="W204" s="38" t="n">
        <f aca="false">IFERROR(SUMPRODUCT($B$7:$B$206,LN($T204-$C$7:$C$206),$H$7:$H$206),"")</f>
        <v>-191.852774918249</v>
      </c>
      <c r="X204" s="39" t="n">
        <f aca="false">IFERROR((データ入力!$B$8*W204-U204*$N$22)/SQRT((データ入力!$B$8*V204-U204^2)*(データ入力!$B$8*$N$23-$N$22^2)),-1)</f>
        <v>0.996419777187786</v>
      </c>
      <c r="Z204" s="38" t="n">
        <f aca="false">IFERROR($R$10+($A204-1)*$R$9,"")</f>
        <v>59.9399497487437</v>
      </c>
      <c r="AA204" s="38" t="n">
        <f aca="false">IFERROR(SUMPRODUCT($B$7:$B$206,LN($Z204-$C$7:$C$206)),"")</f>
        <v>240.697109758735</v>
      </c>
      <c r="AB204" s="38" t="n">
        <f aca="false">IFERROR(SUMPRODUCT($B$7:$B$206,LN($Z204-$C$7:$C$206),LN($Z204-$C$7:$C$206)),"")</f>
        <v>772.753013150252</v>
      </c>
      <c r="AC204" s="38" t="n">
        <f aca="false">IFERROR(SUMPRODUCT($B$7:$B$206,LN($Z204-$C$7:$C$206),$H$7:$H$206),"")</f>
        <v>-128.315488754185</v>
      </c>
      <c r="AD204" s="39" t="n">
        <f aca="false">IFERROR((データ入力!$B$8*AC204-AA204*$N$22)/SQRT((データ入力!$B$8*AB204-AA204^2)*(データ入力!$B$8*$N$23-$N$22^2)),-1)</f>
        <v>0.997026666895834</v>
      </c>
    </row>
    <row r="205" customFormat="false" ht="15" hidden="false" customHeight="false" outlineLevel="0" collapsed="false">
      <c r="A205" s="32" t="n">
        <v>199</v>
      </c>
      <c r="B205" s="33" t="n">
        <f aca="false">IF($A205&lt;=データ入力!$B$8,1,0)</f>
        <v>0</v>
      </c>
      <c r="C205" s="34" t="n">
        <f aca="false">IF($B205=1,LARGE(データ入力!$B$12:$B$211,$A205),0)</f>
        <v>0</v>
      </c>
      <c r="D205" s="32" t="str">
        <f aca="false">IF($B205=1,IFERROR(INDEX(データ入力!$A$12:$A$211,MATCH($C205,データ入力!$B$12:$B$211,0)),""),"")</f>
        <v/>
      </c>
      <c r="E205" s="35" t="n">
        <f aca="false">IF($B205=1,1-$A205/(データ入力!$B$8+1),0)</f>
        <v>0</v>
      </c>
      <c r="F205" s="36" t="str">
        <f aca="false">IF($B205=1,(データ入力!$B$8+1)/$A205,"")</f>
        <v/>
      </c>
      <c r="G205" s="37" t="n">
        <f aca="false">IF($B205=1,-LN(-LN($E205)),0)</f>
        <v>0</v>
      </c>
      <c r="H205" s="37" t="n">
        <f aca="false">IF($B205=1,LN(-LN($E205)),0)</f>
        <v>0</v>
      </c>
      <c r="I205" s="36" t="str">
        <f aca="false">IF($B205=1,IFERROR($C205-($N$10+$N$9*$G205),""),"")</f>
        <v/>
      </c>
      <c r="J205" s="36" t="str">
        <f aca="false">IF($B205=1,IFERROR($C205-($N$21-$N$26*EXP(-$G205/$N$24)),""),"")</f>
        <v/>
      </c>
      <c r="T205" s="38" t="n">
        <f aca="false">IFERROR($R$6+($A205-1)*$R$5,"")</f>
        <v>138.45</v>
      </c>
      <c r="U205" s="38" t="n">
        <f aca="false">IFERROR(SUMPRODUCT($B$7:$B$206,LN($T205-$C$7:$C$206)),"")</f>
        <v>347.827983771575</v>
      </c>
      <c r="V205" s="38" t="n">
        <f aca="false">IFERROR(SUMPRODUCT($B$7:$B$206,LN($T205-$C$7:$C$206),LN($T205-$C$7:$C$206)),"")</f>
        <v>1613.13990859587</v>
      </c>
      <c r="W205" s="38" t="n">
        <f aca="false">IFERROR(SUMPRODUCT($B$7:$B$206,LN($T205-$C$7:$C$206),$H$7:$H$206),"")</f>
        <v>-192.061385557033</v>
      </c>
      <c r="X205" s="39" t="n">
        <f aca="false">IFERROR((データ入力!$B$8*W205-U205*$N$22)/SQRT((データ入力!$B$8*V205-U205^2)*(データ入力!$B$8*$N$23-$N$22^2)),-1)</f>
        <v>0.996418015249127</v>
      </c>
      <c r="Z205" s="38" t="n">
        <f aca="false">IFERROR($R$10+($A205-1)*$R$9,"")</f>
        <v>59.9449748743719</v>
      </c>
      <c r="AA205" s="38" t="n">
        <f aca="false">IFERROR(SUMPRODUCT($B$7:$B$206,LN($Z205-$C$7:$C$206)),"")</f>
        <v>240.712358142539</v>
      </c>
      <c r="AB205" s="38" t="n">
        <f aca="false">IFERROR(SUMPRODUCT($B$7:$B$206,LN($Z205-$C$7:$C$206),LN($Z205-$C$7:$C$206)),"")</f>
        <v>772.850770590421</v>
      </c>
      <c r="AC205" s="38" t="n">
        <f aca="false">IFERROR(SUMPRODUCT($B$7:$B$206,LN($Z205-$C$7:$C$206),$H$7:$H$206),"")</f>
        <v>-128.325108110092</v>
      </c>
      <c r="AD205" s="39" t="n">
        <f aca="false">IFERROR((データ入力!$B$8*AC205-AA205*$N$22)/SQRT((データ入力!$B$8*AB205-AA205^2)*(データ入力!$B$8*$N$23-$N$22^2)),-1)</f>
        <v>0.997026658396624</v>
      </c>
    </row>
    <row r="206" customFormat="false" ht="15" hidden="false" customHeight="false" outlineLevel="0" collapsed="false">
      <c r="A206" s="32" t="n">
        <v>200</v>
      </c>
      <c r="B206" s="33" t="n">
        <f aca="false">IF($A206&lt;=データ入力!$B$8,1,0)</f>
        <v>0</v>
      </c>
      <c r="C206" s="34" t="n">
        <f aca="false">IF($B206=1,LARGE(データ入力!$B$12:$B$211,$A206),0)</f>
        <v>0</v>
      </c>
      <c r="D206" s="32" t="str">
        <f aca="false">IF($B206=1,IFERROR(INDEX(データ入力!$A$12:$A$211,MATCH($C206,データ入力!$B$12:$B$211,0)),""),"")</f>
        <v/>
      </c>
      <c r="E206" s="35" t="n">
        <f aca="false">IF($B206=1,1-$A206/(データ入力!$B$8+1),0)</f>
        <v>0</v>
      </c>
      <c r="F206" s="36" t="str">
        <f aca="false">IF($B206=1,(データ入力!$B$8+1)/$A206,"")</f>
        <v/>
      </c>
      <c r="G206" s="37" t="n">
        <f aca="false">IF($B206=1,-LN(-LN($E206)),0)</f>
        <v>0</v>
      </c>
      <c r="H206" s="37" t="n">
        <f aca="false">IF($B206=1,LN(-LN($E206)),0)</f>
        <v>0</v>
      </c>
      <c r="I206" s="36" t="str">
        <f aca="false">IF($B206=1,IFERROR($C206-($N$10+$N$9*$G206),""),"")</f>
        <v/>
      </c>
      <c r="J206" s="36" t="str">
        <f aca="false">IF($B206=1,IFERROR($C206-($N$21-$N$26*EXP(-$G206/$N$24)),""),"")</f>
        <v/>
      </c>
      <c r="T206" s="38" t="n">
        <f aca="false">IFERROR($R$6+($A206-1)*$R$5,"")</f>
        <v>138.95</v>
      </c>
      <c r="U206" s="38" t="n">
        <f aca="false">IFERROR(SUMPRODUCT($B$7:$B$206,LN($T206-$C$7:$C$206)),"")</f>
        <v>348.190141463055</v>
      </c>
      <c r="V206" s="38" t="n">
        <f aca="false">IFERROR(SUMPRODUCT($B$7:$B$206,LN($T206-$C$7:$C$206),LN($T206-$C$7:$C$206)),"")</f>
        <v>1616.50066667633</v>
      </c>
      <c r="W206" s="38" t="n">
        <f aca="false">IFERROR(SUMPRODUCT($B$7:$B$206,LN($T206-$C$7:$C$206),$H$7:$H$206),"")</f>
        <v>-192.26895798021</v>
      </c>
      <c r="X206" s="39" t="n">
        <f aca="false">IFERROR((データ入力!$B$8*W206-U206*$N$22)/SQRT((データ入力!$B$8*V206-U206^2)*(データ入力!$B$8*$N$23-$N$22^2)),-1)</f>
        <v>0.996416267935069</v>
      </c>
      <c r="Z206" s="38" t="n">
        <f aca="false">IFERROR($R$10+($A206-1)*$R$9,"")</f>
        <v>59.95</v>
      </c>
      <c r="AA206" s="38" t="n">
        <f aca="false">IFERROR(SUMPRODUCT($B$7:$B$206,LN($Z206-$C$7:$C$206)),"")</f>
        <v>240.727603414404</v>
      </c>
      <c r="AB206" s="38" t="n">
        <f aca="false">IFERROR(SUMPRODUCT($B$7:$B$206,LN($Z206-$C$7:$C$206),LN($Z206-$C$7:$C$206)),"")</f>
        <v>772.948514328633</v>
      </c>
      <c r="AC206" s="38" t="n">
        <f aca="false">IFERROR(SUMPRODUCT($B$7:$B$206,LN($Z206-$C$7:$C$206),$H$7:$H$206),"")</f>
        <v>-128.334725257924</v>
      </c>
      <c r="AD206" s="39" t="n">
        <f aca="false">IFERROR((データ入力!$B$8*AC206-AA206*$N$22)/SQRT((データ入力!$B$8*AB206-AA206^2)*(データ入力!$B$8*$N$23-$N$22^2)),-1)</f>
        <v>0.997026649812626</v>
      </c>
    </row>
  </sheetData>
  <mergeCells count="3">
    <mergeCell ref="A1:AI1"/>
    <mergeCell ref="A2:J2"/>
    <mergeCell ref="N28:R28"/>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5" min="3" style="0" width="20"/>
    <col collapsed="false" customWidth="true" hidden="false" outlineLevel="0" max="7" min="6" style="0" width="15"/>
    <col collapsed="false" customWidth="true" hidden="false" outlineLevel="0" max="9" min="8" style="0" width="13"/>
    <col collapsed="false" customWidth="true" hidden="false" outlineLevel="0" max="10" min="10" style="0" width="3"/>
    <col collapsed="false" customWidth="true" hidden="false" outlineLevel="0" max="12" min="11" style="0" width="12"/>
  </cols>
  <sheetData>
    <row r="1" customFormat="false" ht="25.5" hidden="false" customHeight="true" outlineLevel="0" collapsed="false">
      <c r="A1" s="1" t="s">
        <v>96</v>
      </c>
      <c r="B1" s="1"/>
      <c r="C1" s="1"/>
      <c r="D1" s="1"/>
      <c r="E1" s="1"/>
      <c r="F1" s="1"/>
      <c r="G1" s="1"/>
      <c r="H1" s="1"/>
      <c r="I1" s="1"/>
    </row>
    <row r="2" customFormat="false" ht="15" hidden="false" customHeight="false" outlineLevel="0" collapsed="false">
      <c r="K2" s="46" t="s">
        <v>97</v>
      </c>
      <c r="L2" s="46"/>
      <c r="M2" s="46"/>
      <c r="N2" s="46"/>
      <c r="O2" s="46"/>
      <c r="P2" s="46"/>
      <c r="Q2" s="46"/>
      <c r="R2" s="46"/>
    </row>
    <row r="3" customFormat="false" ht="15" hidden="false" customHeight="false" outlineLevel="0" collapsed="false">
      <c r="A3" s="9" t="s">
        <v>98</v>
      </c>
      <c r="B3" s="15" t="str">
        <f aca="false">データ入力!B4</f>
        <v>（ダミー）東京 相当</v>
      </c>
      <c r="C3" s="15"/>
      <c r="D3" s="9" t="s">
        <v>31</v>
      </c>
      <c r="E3" s="15" t="str">
        <f aca="false">データ入力!B7</f>
        <v>1950 〜 2024　（75年間）</v>
      </c>
      <c r="F3" s="15"/>
      <c r="G3" s="15"/>
      <c r="H3" s="9" t="s">
        <v>33</v>
      </c>
      <c r="I3" s="16" t="n">
        <f aca="false">データ入力!B8</f>
        <v>75</v>
      </c>
    </row>
    <row r="5" customFormat="false" ht="21.75" hidden="false" customHeight="true" outlineLevel="0" collapsed="false">
      <c r="A5" s="47" t="s">
        <v>99</v>
      </c>
      <c r="B5" s="47"/>
      <c r="C5" s="47"/>
      <c r="D5" s="47"/>
      <c r="E5" s="47"/>
      <c r="F5" s="47"/>
      <c r="G5" s="47"/>
      <c r="H5" s="47"/>
      <c r="I5" s="47"/>
    </row>
    <row r="6" customFormat="false" ht="19.5" hidden="false" customHeight="true" outlineLevel="0" collapsed="false">
      <c r="A6" s="48" t="s">
        <v>100</v>
      </c>
      <c r="B6" s="48"/>
      <c r="C6" s="49" t="str">
        <f aca="false">IF(データ入力!$B$8&lt;10,"―",IFERROR(TEXT(ROUND($C$22,1),"0.0")&amp;" ℃","―"))</f>
        <v>39.9 ℃</v>
      </c>
      <c r="D6" s="49"/>
      <c r="E6" s="50" t="s">
        <v>101</v>
      </c>
      <c r="F6" s="50"/>
      <c r="G6" s="51" t="str">
        <f aca="false">IF(データ入力!$B$8&lt;10,"―",IFERROR(TEXT(ROUND($D$22,1),"0.0")&amp;" ℃","―"))</f>
        <v>40.2 ℃</v>
      </c>
      <c r="H6" s="51"/>
      <c r="I6" s="51"/>
    </row>
    <row r="7" customFormat="false" ht="19.5" hidden="false" customHeight="true" outlineLevel="0" collapsed="false">
      <c r="A7" s="48"/>
      <c r="B7" s="48"/>
      <c r="C7" s="49"/>
      <c r="D7" s="49"/>
      <c r="E7" s="50"/>
      <c r="F7" s="50"/>
      <c r="G7" s="51"/>
      <c r="H7" s="51"/>
      <c r="I7" s="51"/>
    </row>
    <row r="8" customFormat="false" ht="19.5" hidden="false" customHeight="true" outlineLevel="0" collapsed="false">
      <c r="A8" s="48"/>
      <c r="B8" s="48"/>
      <c r="C8" s="49"/>
      <c r="D8" s="49"/>
      <c r="E8" s="50"/>
      <c r="F8" s="50"/>
      <c r="G8" s="51"/>
      <c r="H8" s="51"/>
      <c r="I8" s="51"/>
    </row>
    <row r="9" customFormat="false" ht="18" hidden="false" customHeight="true" outlineLevel="0" collapsed="false">
      <c r="A9" s="52" t="str">
        <f aca="false">データ入力!B9&amp;"　／　あてはまり r(ワイブル)="&amp;IFERROR(TEXT(極値統計計算!N27,"0.0000"),"―")&amp;"　r(グンベル)="&amp;IFERROR(TEXT(極値統計計算!N11,"0.0000"),"―")&amp;"　／　"&amp;極値統計計算!N28</f>
        <v>◎ n≧50：良好　／　あてはまり r(ワイブル)=0.9970　r(グンベル)=0.9960　／　○ 上限のあるワイブル形として推定（ω−標本最大値=20.1℃、k=18.9）</v>
      </c>
      <c r="B9" s="52"/>
      <c r="C9" s="52"/>
      <c r="D9" s="52"/>
      <c r="E9" s="52"/>
      <c r="F9" s="52"/>
      <c r="G9" s="52"/>
      <c r="H9" s="52"/>
      <c r="I9" s="52"/>
    </row>
    <row r="10" customFormat="false" ht="30" hidden="false" customHeight="true" outlineLevel="0" collapsed="false">
      <c r="A10" s="53" t="str">
        <f aca="false">IF(データ入力!E10="","※ データを入力してください。",IF(ABS(データ入力!E10)&gt;=1,"⚠ 昇温トレンドが "&amp;TEXT(データ入力!E10,"0.0")&amp;" ℃/100年 と大きく、定常性の前提が崩れている可能性があります（過小評価側）。期間を直近30〜50年に絞った再計算と比較してください。","※ 昇温トレンドは "&amp;TEXT(データ入力!E10,"0.0")&amp;" ℃/100年 です。"))&amp;"　出荷時のデータはダミーです。設計に用いる前に気象庁の実測値へ差し替えてください。"</f>
        <v>⚠ 昇温トレンドが 2.8 ℃/100年 と大きく、定常性の前提が崩れている可能性があります（過小評価側）。期間を直近30〜50年に絞った再計算と比較してください。　出荷時のデータはダミーです。設計に用いる前に気象庁の実測値へ差し替えてください。</v>
      </c>
      <c r="B10" s="53"/>
      <c r="C10" s="53"/>
      <c r="D10" s="53"/>
      <c r="E10" s="53"/>
      <c r="F10" s="53"/>
      <c r="G10" s="53"/>
      <c r="H10" s="53"/>
      <c r="I10" s="53"/>
    </row>
    <row r="12" customFormat="false" ht="15.75" hidden="false" customHeight="true" outlineLevel="0" collapsed="false">
      <c r="A12" s="27" t="s">
        <v>102</v>
      </c>
    </row>
    <row r="13" customFormat="false" ht="31.5" hidden="false" customHeight="true" outlineLevel="0" collapsed="false">
      <c r="A13" s="54" t="s">
        <v>103</v>
      </c>
      <c r="B13" s="20" t="s">
        <v>104</v>
      </c>
      <c r="C13" s="54" t="s">
        <v>105</v>
      </c>
      <c r="D13" s="54" t="s">
        <v>106</v>
      </c>
      <c r="E13" s="54" t="s">
        <v>107</v>
      </c>
      <c r="F13" s="54" t="s">
        <v>108</v>
      </c>
      <c r="G13" s="54" t="s">
        <v>109</v>
      </c>
      <c r="H13" s="20" t="s">
        <v>110</v>
      </c>
      <c r="I13" s="20" t="s">
        <v>111</v>
      </c>
    </row>
    <row r="14" customFormat="false" ht="15" hidden="false" customHeight="false" outlineLevel="0" collapsed="false">
      <c r="A14" s="32" t="n">
        <v>2</v>
      </c>
      <c r="B14" s="35" t="n">
        <f aca="false">1-1/A14</f>
        <v>0.5</v>
      </c>
      <c r="C14" s="36" t="n">
        <f aca="false">IFERROR(極値統計計算!$N$21-極値統計計算!$N$26*(-LN($B14))^(1/極値統計計算!$N$24),"")</f>
        <v>34.9342324500271</v>
      </c>
      <c r="D14" s="36" t="n">
        <f aca="false">IFERROR(極値統計計算!$N$10+極値統計計算!$N$9*(-LN(-LN($B14))),"")</f>
        <v>34.895217945781</v>
      </c>
      <c r="E14" s="36" t="n">
        <f aca="false">IFERROR(極値統計計算!$N$15+極値統計計算!$N$14*(-LN(-LN($B14))),"")</f>
        <v>34.8849835497455</v>
      </c>
      <c r="F14" s="36" t="n">
        <f aca="false">IFERROR($D14-1.96*$I14,"")</f>
        <v>34.5828493959345</v>
      </c>
      <c r="G14" s="36" t="n">
        <f aca="false">IFERROR($D14+1.96*$I14,"")</f>
        <v>35.2075864956275</v>
      </c>
      <c r="H14" s="38" t="n">
        <f aca="false">IFERROR(0.779697*(-LN(-LN($B14))-0.5772),"")</f>
        <v>-0.164272083761238</v>
      </c>
      <c r="I14" s="38" t="n">
        <f aca="false">IFERROR(STDEV(データ入力!$B$12:$B$211)*SQRT((1+1.1396*$H14+1.1*$H14^2)/データ入力!$B$8),"")</f>
        <v>0.159371709105348</v>
      </c>
    </row>
    <row r="15" customFormat="false" ht="15" hidden="false" customHeight="false" outlineLevel="0" collapsed="false">
      <c r="A15" s="32" t="n">
        <v>5</v>
      </c>
      <c r="B15" s="35" t="n">
        <f aca="false">1-1/A15</f>
        <v>0.8</v>
      </c>
      <c r="C15" s="36" t="n">
        <f aca="false">IFERROR(極値統計計算!$N$21-極値統計計算!$N$26*(-LN($B15))^(1/極値統計計算!$N$24),"")</f>
        <v>36.3647467710897</v>
      </c>
      <c r="D15" s="36" t="n">
        <f aca="false">IFERROR(極値統計計算!$N$10+極値統計計算!$N$9*(-LN(-LN($B15))),"")</f>
        <v>36.3123895476382</v>
      </c>
      <c r="E15" s="36" t="n">
        <f aca="false">IFERROR(極値統計計算!$N$15+極値統計計算!$N$14*(-LN(-LN($B15))),"")</f>
        <v>36.2138506605458</v>
      </c>
      <c r="F15" s="36" t="n">
        <f aca="false">IFERROR($D15-1.96*$I15,"")</f>
        <v>35.7863471677767</v>
      </c>
      <c r="G15" s="36" t="n">
        <f aca="false">IFERROR($D15+1.96*$I15,"")</f>
        <v>36.8384319274996</v>
      </c>
      <c r="H15" s="38" t="n">
        <f aca="false">IFERROR(0.779697*(-LN(-LN($B15))-0.5772),"")</f>
        <v>0.719457599456434</v>
      </c>
      <c r="I15" s="38" t="n">
        <f aca="false">IFERROR(STDEV(データ入力!$B$12:$B$211)*SQRT((1+1.1396*$H15+1.1*$H15^2)/データ入力!$B$8),"")</f>
        <v>0.268388969317085</v>
      </c>
    </row>
    <row r="16" customFormat="false" ht="15" hidden="false" customHeight="false" outlineLevel="0" collapsed="false">
      <c r="A16" s="32" t="n">
        <v>10</v>
      </c>
      <c r="B16" s="35" t="n">
        <f aca="false">1-1/A16</f>
        <v>0.9</v>
      </c>
      <c r="C16" s="36" t="n">
        <f aca="false">IFERROR(極値統計計算!$N$21-極値統計計算!$N$26*(-LN($B16))^(1/極値統計計算!$N$24),"")</f>
        <v>37.2656691536414</v>
      </c>
      <c r="D16" s="36" t="n">
        <f aca="false">IFERROR(極値統計計算!$N$10+極値統計計算!$N$9*(-LN(-LN($B16))),"")</f>
        <v>37.2506804602375</v>
      </c>
      <c r="E16" s="36" t="n">
        <f aca="false">IFERROR(極値統計計算!$N$15+極値統計計算!$N$14*(-LN(-LN($B16))),"")</f>
        <v>37.0936763164382</v>
      </c>
      <c r="F16" s="36" t="n">
        <f aca="false">IFERROR($D16-1.96*$I16,"")</f>
        <v>36.5401725732525</v>
      </c>
      <c r="G16" s="36" t="n">
        <f aca="false">IFERROR($D16+1.96*$I16,"")</f>
        <v>37.9611883472224</v>
      </c>
      <c r="H16" s="38" t="n">
        <f aca="false">IFERROR(0.779697*(-LN(-LN($B16))-0.5772),"")</f>
        <v>1.30456354560353</v>
      </c>
      <c r="I16" s="38" t="n">
        <f aca="false">IFERROR(STDEV(データ入力!$B$12:$B$211)*SQRT((1+1.1396*$H16+1.1*$H16^2)/データ入力!$B$8),"")</f>
        <v>0.362504023971917</v>
      </c>
    </row>
    <row r="17" customFormat="false" ht="15" hidden="false" customHeight="false" outlineLevel="0" collapsed="false">
      <c r="A17" s="32" t="n">
        <v>20</v>
      </c>
      <c r="B17" s="35" t="n">
        <f aca="false">1-1/A17</f>
        <v>0.95</v>
      </c>
      <c r="C17" s="36" t="n">
        <f aca="false">IFERROR(極値統計計算!$N$21-極値統計計算!$N$26*(-LN($B17))^(1/極値統計計算!$N$24),"")</f>
        <v>38.0968249678169</v>
      </c>
      <c r="D17" s="36" t="n">
        <f aca="false">IFERROR(極値統計計算!$N$10+極値統計計算!$N$9*(-LN(-LN($B17))),"")</f>
        <v>38.1507116306058</v>
      </c>
      <c r="E17" s="36" t="n">
        <f aca="false">IFERROR(極値統計計算!$N$15+極値統計計算!$N$14*(-LN(-LN($B17))),"")</f>
        <v>37.9376262089072</v>
      </c>
      <c r="F17" s="36" t="n">
        <f aca="false">IFERROR($D17-1.96*$I17,"")</f>
        <v>37.2531657035491</v>
      </c>
      <c r="G17" s="36" t="n">
        <f aca="false">IFERROR($D17+1.96*$I17,"")</f>
        <v>39.0482575576625</v>
      </c>
      <c r="H17" s="38" t="n">
        <f aca="false">IFERROR(0.779697*(-LN(-LN($B17))-0.5772),"")</f>
        <v>1.86581121669243</v>
      </c>
      <c r="I17" s="38" t="n">
        <f aca="false">IFERROR(STDEV(データ入力!$B$12:$B$211)*SQRT((1+1.1396*$H17+1.1*$H17^2)/データ入力!$B$8),"")</f>
        <v>0.457931595437078</v>
      </c>
    </row>
    <row r="18" customFormat="false" ht="15" hidden="false" customHeight="false" outlineLevel="0" collapsed="false">
      <c r="A18" s="32" t="n">
        <v>25</v>
      </c>
      <c r="B18" s="35" t="n">
        <f aca="false">1-1/A18</f>
        <v>0.96</v>
      </c>
      <c r="C18" s="36" t="n">
        <f aca="false">IFERROR(極値統計計算!$N$21-極値統計計算!$N$26*(-LN($B18))^(1/極値統計計算!$N$24),"")</f>
        <v>38.3539218171036</v>
      </c>
      <c r="D18" s="36" t="n">
        <f aca="false">IFERROR(極値統計計算!$N$10+極値統計計算!$N$9*(-LN(-LN($B18))),"")</f>
        <v>38.4362135156677</v>
      </c>
      <c r="E18" s="36" t="n">
        <f aca="false">IFERROR(極値統計計算!$N$15+極値統計計算!$N$14*(-LN(-LN($B18))),"")</f>
        <v>38.2053383650308</v>
      </c>
      <c r="F18" s="36" t="n">
        <f aca="false">IFERROR($D18-1.96*$I18,"")</f>
        <v>37.4782134123123</v>
      </c>
      <c r="G18" s="36" t="n">
        <f aca="false">IFERROR($D18+1.96*$I18,"")</f>
        <v>39.3942136190232</v>
      </c>
      <c r="H18" s="38" t="n">
        <f aca="false">IFERROR(0.779697*(-LN(-LN($B18))-0.5772),"")</f>
        <v>2.04384645964618</v>
      </c>
      <c r="I18" s="38" t="n">
        <f aca="false">IFERROR(STDEV(データ入力!$B$12:$B$211)*SQRT((1+1.1396*$H18+1.1*$H18^2)/データ入力!$B$8),"")</f>
        <v>0.488775562936457</v>
      </c>
    </row>
    <row r="19" customFormat="false" ht="15" hidden="false" customHeight="false" outlineLevel="0" collapsed="false">
      <c r="A19" s="32" t="n">
        <v>30</v>
      </c>
      <c r="B19" s="35" t="n">
        <f aca="false">1-1/A19</f>
        <v>0.966666666666667</v>
      </c>
      <c r="C19" s="36" t="n">
        <f aca="false">IFERROR(極値統計計算!$N$21-極値統計計算!$N$26*(-LN($B19))^(1/極値統計計算!$N$24),"")</f>
        <v>38.5607940441355</v>
      </c>
      <c r="D19" s="36" t="n">
        <f aca="false">IFERROR(極値統計計算!$N$10+極値統計計算!$N$9*(-LN(-LN($B19))),"")</f>
        <v>38.6684773582005</v>
      </c>
      <c r="E19" s="36" t="n">
        <f aca="false">IFERROR(極値統計計算!$N$15+極値統計計算!$N$14*(-LN(-LN($B19))),"")</f>
        <v>38.4231297609107</v>
      </c>
      <c r="F19" s="36" t="n">
        <f aca="false">IFERROR($D19-1.96*$I19,"")</f>
        <v>37.6610152915305</v>
      </c>
      <c r="G19" s="36" t="n">
        <f aca="false">IFERROR($D19+1.96*$I19,"")</f>
        <v>39.6759394248705</v>
      </c>
      <c r="H19" s="38" t="n">
        <f aca="false">IFERROR(0.779697*(-LN(-LN($B19))-0.5772),"")</f>
        <v>2.18868315529789</v>
      </c>
      <c r="I19" s="38" t="n">
        <f aca="false">IFERROR(STDEV(データ入力!$B$12:$B$211)*SQRT((1+1.1396*$H19+1.1*$H19^2)/データ入力!$B$8),"")</f>
        <v>0.514011258505123</v>
      </c>
    </row>
    <row r="20" customFormat="false" ht="15" hidden="false" customHeight="false" outlineLevel="0" collapsed="false">
      <c r="A20" s="32" t="n">
        <v>50</v>
      </c>
      <c r="B20" s="35" t="n">
        <f aca="false">1-1/A20</f>
        <v>0.98</v>
      </c>
      <c r="C20" s="36" t="n">
        <f aca="false">IFERROR(極値統計計算!$N$21-極値統計計算!$N$26*(-LN($B20))^(1/極値統計計算!$N$24),"")</f>
        <v>39.1266376728949</v>
      </c>
      <c r="D20" s="36" t="n">
        <f aca="false">IFERROR(極値統計計算!$N$10+極値統計計算!$N$9*(-LN(-LN($B20))),"")</f>
        <v>39.3157096606551</v>
      </c>
      <c r="E20" s="36" t="n">
        <f aca="false">IFERROR(極値統計計算!$N$15+極値統計計算!$N$14*(-LN(-LN($B20))),"")</f>
        <v>39.030032777209</v>
      </c>
      <c r="F20" s="36" t="n">
        <f aca="false">IFERROR($D20-1.96*$I20,"")</f>
        <v>38.1693747300945</v>
      </c>
      <c r="G20" s="36" t="n">
        <f aca="false">IFERROR($D20+1.96*$I20,"")</f>
        <v>40.4620445912157</v>
      </c>
      <c r="H20" s="38" t="n">
        <f aca="false">IFERROR(0.779697*(-LN(-LN($B20))-0.5772),"")</f>
        <v>2.5922887573766</v>
      </c>
      <c r="I20" s="38" t="n">
        <f aca="false">IFERROR(STDEV(データ入力!$B$12:$B$211)*SQRT((1+1.1396*$H20+1.1*$H20^2)/データ入力!$B$8),"")</f>
        <v>0.5848647604901</v>
      </c>
    </row>
    <row r="21" customFormat="false" ht="15" hidden="false" customHeight="false" outlineLevel="0" collapsed="false">
      <c r="A21" s="32" t="n">
        <v>75</v>
      </c>
      <c r="B21" s="35" t="n">
        <f aca="false">1-1/A21</f>
        <v>0.986666666666667</v>
      </c>
      <c r="C21" s="36" t="n">
        <f aca="false">IFERROR(極値統計計算!$N$21-極値統計計算!$N$26*(-LN($B21))^(1/極値統計計算!$N$24),"")</f>
        <v>39.5627066904539</v>
      </c>
      <c r="D21" s="36" t="n">
        <f aca="false">IFERROR(極値統計計算!$N$10+極値統計計算!$N$9*(-LN(-LN($B21))),"")</f>
        <v>39.8269063512686</v>
      </c>
      <c r="E21" s="36" t="n">
        <f aca="false">IFERROR(極値統計計算!$N$15+極値統計計算!$N$14*(-LN(-LN($B21))),"")</f>
        <v>39.5093766113757</v>
      </c>
      <c r="F21" s="36" t="n">
        <f aca="false">IFERROR($D21-1.96*$I21,"")</f>
        <v>38.5700614269909</v>
      </c>
      <c r="G21" s="36" t="n">
        <f aca="false">IFERROR($D21+1.96*$I21,"")</f>
        <v>41.0837512755464</v>
      </c>
      <c r="H21" s="38" t="n">
        <f aca="false">IFERROR(0.779697*(-LN(-LN($B21))-0.5772),"")</f>
        <v>2.91106433040237</v>
      </c>
      <c r="I21" s="38" t="n">
        <f aca="false">IFERROR(STDEV(データ入力!$B$12:$B$211)*SQRT((1+1.1396*$H21+1.1*$H21^2)/データ入力!$B$8),"")</f>
        <v>0.641247410345786</v>
      </c>
    </row>
    <row r="22" customFormat="false" ht="15" hidden="false" customHeight="false" outlineLevel="0" collapsed="false">
      <c r="A22" s="55" t="n">
        <v>100</v>
      </c>
      <c r="B22" s="56" t="n">
        <f aca="false">1-1/A22</f>
        <v>0.99</v>
      </c>
      <c r="C22" s="57" t="n">
        <f aca="false">IFERROR(極値統計計算!$N$21-極値統計計算!$N$26*(-LN($B22))^(1/極値統計計算!$N$24),"")</f>
        <v>39.8656780443957</v>
      </c>
      <c r="D22" s="57" t="n">
        <f aca="false">IFERROR(極値統計計算!$N$10+極値統計計算!$N$9*(-LN(-LN($B22))),"")</f>
        <v>40.1887117441631</v>
      </c>
      <c r="E22" s="57" t="n">
        <f aca="false">IFERROR(極値統計計算!$N$15+極値統計計算!$N$14*(-LN(-LN($B22))),"")</f>
        <v>39.8486377753007</v>
      </c>
      <c r="F22" s="57" t="n">
        <f aca="false">IFERROR($D22-1.96*$I22,"")</f>
        <v>38.8533200431301</v>
      </c>
      <c r="G22" s="57" t="n">
        <f aca="false">IFERROR($D22+1.96*$I22,"")</f>
        <v>41.524103445196</v>
      </c>
      <c r="H22" s="58" t="n">
        <f aca="false">IFERROR(0.779697*(-LN(-LN($B22))-0.5772),"")</f>
        <v>3.13668144327002</v>
      </c>
      <c r="I22" s="58" t="n">
        <f aca="false">IFERROR(STDEV(データ入力!$B$12:$B$211)*SQRT((1+1.1396*$H22+1.1*$H22^2)/データ入力!$B$8),"")</f>
        <v>0.681322296445371</v>
      </c>
    </row>
    <row r="23" customFormat="false" ht="15" hidden="false" customHeight="false" outlineLevel="0" collapsed="false">
      <c r="A23" s="32" t="n">
        <v>150</v>
      </c>
      <c r="B23" s="35" t="n">
        <f aca="false">1-1/A23</f>
        <v>0.993333333333333</v>
      </c>
      <c r="C23" s="36" t="n">
        <f aca="false">IFERROR(極値統計計算!$N$21-極値統計計算!$N$26*(-LN($B23))^(1/極値統計計算!$N$24),"")</f>
        <v>40.2841729434058</v>
      </c>
      <c r="D23" s="36" t="n">
        <f aca="false">IFERROR(極値統計計算!$N$10+極値統計計算!$N$9*(-LN(-LN($B23))),"")</f>
        <v>40.6977803333554</v>
      </c>
      <c r="E23" s="36" t="n">
        <f aca="false">IFERROR(極値統計計算!$N$15+極値統計計算!$N$14*(-LN(-LN($B23))),"")</f>
        <v>40.3259861108394</v>
      </c>
      <c r="F23" s="36" t="n">
        <f aca="false">IFERROR($D23-1.96*$I23,"")</f>
        <v>39.2515021203254</v>
      </c>
      <c r="G23" s="36" t="n">
        <f aca="false">IFERROR($D23+1.96*$I23,"")</f>
        <v>42.1440585463855</v>
      </c>
      <c r="H23" s="38" t="n">
        <f aca="false">IFERROR(0.779697*(-LN(-LN($B23))-0.5772),"")</f>
        <v>3.45412996007172</v>
      </c>
      <c r="I23" s="38" t="n">
        <f aca="false">IFERROR(STDEV(データ入力!$B$12:$B$211)*SQRT((1+1.1396*$H23+1.1*$H23^2)/データ入力!$B$8),"")</f>
        <v>0.737897047464309</v>
      </c>
    </row>
    <row r="24" customFormat="false" ht="15" hidden="false" customHeight="false" outlineLevel="0" collapsed="false">
      <c r="A24" s="32" t="n">
        <v>200</v>
      </c>
      <c r="B24" s="35" t="n">
        <f aca="false">1-1/A24</f>
        <v>0.995</v>
      </c>
      <c r="C24" s="36" t="n">
        <f aca="false">IFERROR(極値統計計算!$N$21-極値統計計算!$N$26*(-LN($B24))^(1/極値統計計算!$N$24),"")</f>
        <v>40.5753160898361</v>
      </c>
      <c r="D24" s="36" t="n">
        <f aca="false">IFERROR(極値統計計算!$N$10+極値統計計算!$N$9*(-LN(-LN($B24))),"")</f>
        <v>41.0585283897127</v>
      </c>
      <c r="E24" s="36" t="n">
        <f aca="false">IFERROR(極値統計計算!$N$15+極値統計計算!$N$14*(-LN(-LN($B24))),"")</f>
        <v>40.6642558212613</v>
      </c>
      <c r="F24" s="36" t="n">
        <f aca="false">IFERROR($D24-1.96*$I24,"")</f>
        <v>39.5334557426728</v>
      </c>
      <c r="G24" s="36" t="n">
        <f aca="false">IFERROR($D24+1.96*$I24,"")</f>
        <v>42.5836010367526</v>
      </c>
      <c r="H24" s="38" t="n">
        <f aca="false">IFERROR(0.779697*(-LN(-LN($B24))-0.5772),"")</f>
        <v>3.67908773169813</v>
      </c>
      <c r="I24" s="38" t="n">
        <f aca="false">IFERROR(STDEV(データ入力!$B$12:$B$211)*SQRT((1+1.1396*$H24+1.1*$H24^2)/データ入力!$B$8),"")</f>
        <v>0.778098289306068</v>
      </c>
    </row>
    <row r="26" customFormat="false" ht="15" hidden="false" customHeight="false" outlineLevel="0" collapsed="false">
      <c r="A26" s="27" t="s">
        <v>112</v>
      </c>
    </row>
    <row r="27" customFormat="false" ht="15" hidden="false" customHeight="false" outlineLevel="0" collapsed="false">
      <c r="A27" s="59" t="s">
        <v>113</v>
      </c>
      <c r="B27" s="59"/>
      <c r="C27" s="60" t="n">
        <f aca="false">極値統計計算!N21</f>
        <v>59.4675879396985</v>
      </c>
    </row>
    <row r="28" customFormat="false" ht="15" hidden="false" customHeight="false" outlineLevel="0" collapsed="false">
      <c r="A28" s="59" t="s">
        <v>114</v>
      </c>
      <c r="B28" s="59"/>
      <c r="C28" s="60" t="n">
        <f aca="false">極値統計計算!N26</f>
        <v>25.0146310321757</v>
      </c>
    </row>
    <row r="29" customFormat="false" ht="15" hidden="false" customHeight="false" outlineLevel="0" collapsed="false">
      <c r="A29" s="59" t="s">
        <v>115</v>
      </c>
      <c r="B29" s="59"/>
      <c r="C29" s="60" t="n">
        <f aca="false">極値統計計算!N24</f>
        <v>18.8659141260913</v>
      </c>
    </row>
    <row r="30" customFormat="false" ht="15" hidden="false" customHeight="false" outlineLevel="0" collapsed="false">
      <c r="A30" s="59" t="s">
        <v>116</v>
      </c>
      <c r="B30" s="59"/>
      <c r="C30" s="61" t="n">
        <f aca="false">極値統計計算!N27</f>
        <v>0.997027071267757</v>
      </c>
    </row>
    <row r="31" customFormat="false" ht="15" hidden="false" customHeight="false" outlineLevel="0" collapsed="false">
      <c r="A31" s="59" t="s">
        <v>117</v>
      </c>
      <c r="B31" s="59"/>
      <c r="C31" s="60" t="n">
        <f aca="false">極値統計計算!N9</f>
        <v>1.25034212094135</v>
      </c>
    </row>
    <row r="32" customFormat="false" ht="15" hidden="false" customHeight="false" outlineLevel="0" collapsed="false">
      <c r="A32" s="59" t="s">
        <v>118</v>
      </c>
      <c r="B32" s="59"/>
      <c r="C32" s="60" t="n">
        <f aca="false">極値統計計算!N10</f>
        <v>34.4369514033085</v>
      </c>
    </row>
    <row r="33" customFormat="false" ht="15" hidden="false" customHeight="false" outlineLevel="0" collapsed="false">
      <c r="A33" s="59" t="s">
        <v>119</v>
      </c>
      <c r="B33" s="59"/>
      <c r="C33" s="61" t="n">
        <f aca="false">極値統計計算!N11</f>
        <v>0.996005795082333</v>
      </c>
    </row>
    <row r="35" customFormat="false" ht="15" hidden="false" customHeight="true" outlineLevel="0" collapsed="false">
      <c r="A35" s="62" t="s">
        <v>120</v>
      </c>
      <c r="B35" s="62"/>
      <c r="C35" s="62"/>
      <c r="D35" s="62"/>
      <c r="E35" s="62"/>
      <c r="F35" s="62"/>
      <c r="G35" s="62"/>
      <c r="H35" s="62"/>
      <c r="I35" s="62"/>
    </row>
    <row r="36" customFormat="false" ht="15" hidden="false" customHeight="false" outlineLevel="0" collapsed="false">
      <c r="A36" s="62"/>
      <c r="B36" s="62"/>
      <c r="C36" s="62"/>
      <c r="D36" s="62"/>
      <c r="E36" s="62"/>
      <c r="F36" s="62"/>
      <c r="G36" s="62"/>
      <c r="H36" s="62"/>
      <c r="I36" s="62"/>
    </row>
    <row r="37" customFormat="false" ht="15" hidden="false" customHeight="false" outlineLevel="0" collapsed="false">
      <c r="A37" s="62"/>
      <c r="B37" s="62"/>
      <c r="C37" s="62"/>
      <c r="D37" s="62"/>
      <c r="E37" s="62"/>
      <c r="F37" s="62"/>
      <c r="G37" s="62"/>
      <c r="H37" s="62"/>
      <c r="I37" s="62"/>
    </row>
    <row r="38" customFormat="false" ht="15" hidden="false" customHeight="false" outlineLevel="0" collapsed="false">
      <c r="A38" s="62"/>
      <c r="B38" s="62"/>
      <c r="C38" s="62"/>
      <c r="D38" s="62"/>
      <c r="E38" s="62"/>
      <c r="F38" s="62"/>
      <c r="G38" s="62"/>
      <c r="H38" s="62"/>
      <c r="I38" s="62"/>
    </row>
  </sheetData>
  <mergeCells count="19">
    <mergeCell ref="A1:I1"/>
    <mergeCell ref="K2:R2"/>
    <mergeCell ref="B3:C3"/>
    <mergeCell ref="E3:G3"/>
    <mergeCell ref="A5:I5"/>
    <mergeCell ref="A6:B8"/>
    <mergeCell ref="C6:D8"/>
    <mergeCell ref="E6:F8"/>
    <mergeCell ref="G6:I8"/>
    <mergeCell ref="A9:I9"/>
    <mergeCell ref="A10:I10"/>
    <mergeCell ref="A27:B27"/>
    <mergeCell ref="A28:B28"/>
    <mergeCell ref="A29:B29"/>
    <mergeCell ref="A30:B30"/>
    <mergeCell ref="A31:B31"/>
    <mergeCell ref="A32:B32"/>
    <mergeCell ref="A33:B33"/>
    <mergeCell ref="A35:I38"/>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60"/>
  </cols>
  <sheetData>
    <row r="1" customFormat="false" ht="25.5" hidden="false" customHeight="true" outlineLevel="0" collapsed="false">
      <c r="A1" s="1" t="s">
        <v>121</v>
      </c>
      <c r="B1" s="1"/>
      <c r="C1" s="1"/>
    </row>
    <row r="2" customFormat="false" ht="30" hidden="false" customHeight="true" outlineLevel="0" collapsed="false">
      <c r="A2" s="63" t="s">
        <v>122</v>
      </c>
      <c r="B2" s="63"/>
      <c r="C2" s="63"/>
    </row>
    <row r="4" customFormat="false" ht="15" hidden="false" customHeight="false" outlineLevel="0" collapsed="false">
      <c r="A4" s="20" t="s">
        <v>39</v>
      </c>
      <c r="B4" s="20" t="s">
        <v>40</v>
      </c>
      <c r="C4" s="20" t="s">
        <v>41</v>
      </c>
    </row>
    <row r="5" customFormat="false" ht="15" hidden="false" customHeight="false" outlineLevel="0" collapsed="false">
      <c r="A5" s="32" t="n">
        <v>1950</v>
      </c>
      <c r="B5" s="34" t="n">
        <v>36</v>
      </c>
      <c r="C5" s="64" t="s">
        <v>123</v>
      </c>
    </row>
    <row r="6" customFormat="false" ht="15" hidden="false" customHeight="false" outlineLevel="0" collapsed="false">
      <c r="A6" s="32" t="n">
        <v>1951</v>
      </c>
      <c r="B6" s="34" t="n">
        <v>33.3</v>
      </c>
      <c r="C6" s="64"/>
    </row>
    <row r="7" customFormat="false" ht="15" hidden="false" customHeight="false" outlineLevel="0" collapsed="false">
      <c r="A7" s="32" t="n">
        <v>1952</v>
      </c>
      <c r="B7" s="34" t="n">
        <v>33</v>
      </c>
      <c r="C7" s="64"/>
    </row>
    <row r="8" customFormat="false" ht="15" hidden="false" customHeight="false" outlineLevel="0" collapsed="false">
      <c r="A8" s="32" t="n">
        <v>1953</v>
      </c>
      <c r="B8" s="34" t="n">
        <v>34.7</v>
      </c>
      <c r="C8" s="64"/>
    </row>
    <row r="9" customFormat="false" ht="15" hidden="false" customHeight="false" outlineLevel="0" collapsed="false">
      <c r="A9" s="32" t="n">
        <v>1954</v>
      </c>
      <c r="B9" s="34" t="n">
        <v>34.9</v>
      </c>
      <c r="C9" s="64"/>
    </row>
    <row r="10" customFormat="false" ht="15" hidden="false" customHeight="false" outlineLevel="0" collapsed="false">
      <c r="A10" s="32" t="n">
        <v>1955</v>
      </c>
      <c r="B10" s="34" t="n">
        <v>34.4</v>
      </c>
      <c r="C10" s="64"/>
    </row>
    <row r="11" customFormat="false" ht="15" hidden="false" customHeight="false" outlineLevel="0" collapsed="false">
      <c r="A11" s="32" t="n">
        <v>1956</v>
      </c>
      <c r="B11" s="34" t="n">
        <v>35.6</v>
      </c>
      <c r="C11" s="64"/>
    </row>
    <row r="12" customFormat="false" ht="15" hidden="false" customHeight="false" outlineLevel="0" collapsed="false">
      <c r="A12" s="32" t="n">
        <v>1957</v>
      </c>
      <c r="B12" s="34" t="n">
        <v>32.7</v>
      </c>
      <c r="C12" s="64"/>
    </row>
    <row r="13" customFormat="false" ht="15" hidden="false" customHeight="false" outlineLevel="0" collapsed="false">
      <c r="A13" s="32" t="n">
        <v>1958</v>
      </c>
      <c r="B13" s="34" t="n">
        <v>33.2</v>
      </c>
      <c r="C13" s="64"/>
    </row>
    <row r="14" customFormat="false" ht="15" hidden="false" customHeight="false" outlineLevel="0" collapsed="false">
      <c r="A14" s="32" t="n">
        <v>1959</v>
      </c>
      <c r="B14" s="34" t="n">
        <v>33</v>
      </c>
      <c r="C14" s="64"/>
    </row>
    <row r="15" customFormat="false" ht="15" hidden="false" customHeight="false" outlineLevel="0" collapsed="false">
      <c r="A15" s="32" t="n">
        <v>1960</v>
      </c>
      <c r="B15" s="34" t="n">
        <v>35</v>
      </c>
      <c r="C15" s="64"/>
    </row>
    <row r="16" customFormat="false" ht="15" hidden="false" customHeight="false" outlineLevel="0" collapsed="false">
      <c r="A16" s="32" t="n">
        <v>1961</v>
      </c>
      <c r="B16" s="34" t="n">
        <v>35.5</v>
      </c>
      <c r="C16" s="64"/>
    </row>
    <row r="17" customFormat="false" ht="15" hidden="false" customHeight="false" outlineLevel="0" collapsed="false">
      <c r="A17" s="32" t="n">
        <v>1962</v>
      </c>
      <c r="B17" s="34" t="n">
        <v>33.8</v>
      </c>
      <c r="C17" s="64"/>
    </row>
    <row r="18" customFormat="false" ht="15" hidden="false" customHeight="false" outlineLevel="0" collapsed="false">
      <c r="A18" s="32" t="n">
        <v>1963</v>
      </c>
      <c r="B18" s="34" t="n">
        <v>32.9</v>
      </c>
      <c r="C18" s="64"/>
    </row>
    <row r="19" customFormat="false" ht="15" hidden="false" customHeight="false" outlineLevel="0" collapsed="false">
      <c r="A19" s="32" t="n">
        <v>1964</v>
      </c>
      <c r="B19" s="34" t="n">
        <v>35.3</v>
      </c>
      <c r="C19" s="64"/>
    </row>
    <row r="20" customFormat="false" ht="15" hidden="false" customHeight="false" outlineLevel="0" collapsed="false">
      <c r="A20" s="32" t="n">
        <v>1965</v>
      </c>
      <c r="B20" s="34" t="n">
        <v>33.5</v>
      </c>
      <c r="C20" s="64"/>
    </row>
    <row r="21" customFormat="false" ht="15" hidden="false" customHeight="false" outlineLevel="0" collapsed="false">
      <c r="A21" s="32" t="n">
        <v>1966</v>
      </c>
      <c r="B21" s="34" t="n">
        <v>33.1</v>
      </c>
      <c r="C21" s="64"/>
    </row>
    <row r="22" customFormat="false" ht="15" hidden="false" customHeight="false" outlineLevel="0" collapsed="false">
      <c r="A22" s="32" t="n">
        <v>1967</v>
      </c>
      <c r="B22" s="34" t="n">
        <v>33.6</v>
      </c>
      <c r="C22" s="64"/>
    </row>
    <row r="23" customFormat="false" ht="15" hidden="false" customHeight="false" outlineLevel="0" collapsed="false">
      <c r="A23" s="32" t="n">
        <v>1968</v>
      </c>
      <c r="B23" s="34" t="n">
        <v>33.5</v>
      </c>
      <c r="C23" s="64"/>
    </row>
    <row r="24" customFormat="false" ht="15" hidden="false" customHeight="false" outlineLevel="0" collapsed="false">
      <c r="A24" s="32" t="n">
        <v>1969</v>
      </c>
      <c r="B24" s="34" t="n">
        <v>34.2</v>
      </c>
      <c r="C24" s="64"/>
    </row>
    <row r="25" customFormat="false" ht="15" hidden="false" customHeight="false" outlineLevel="0" collapsed="false">
      <c r="A25" s="32" t="n">
        <v>1970</v>
      </c>
      <c r="B25" s="34" t="n">
        <v>35.7</v>
      </c>
      <c r="C25" s="64"/>
    </row>
    <row r="26" customFormat="false" ht="15" hidden="false" customHeight="false" outlineLevel="0" collapsed="false">
      <c r="A26" s="32" t="n">
        <v>1971</v>
      </c>
      <c r="B26" s="34" t="n">
        <v>35.1</v>
      </c>
      <c r="C26" s="64"/>
    </row>
    <row r="27" customFormat="false" ht="15" hidden="false" customHeight="false" outlineLevel="0" collapsed="false">
      <c r="A27" s="32" t="n">
        <v>1972</v>
      </c>
      <c r="B27" s="34" t="n">
        <v>36.9</v>
      </c>
      <c r="C27" s="64"/>
    </row>
    <row r="28" customFormat="false" ht="15" hidden="false" customHeight="false" outlineLevel="0" collapsed="false">
      <c r="A28" s="32" t="n">
        <v>1973</v>
      </c>
      <c r="B28" s="34" t="n">
        <v>34.9</v>
      </c>
      <c r="C28" s="64"/>
    </row>
    <row r="29" customFormat="false" ht="15" hidden="false" customHeight="false" outlineLevel="0" collapsed="false">
      <c r="A29" s="32" t="n">
        <v>1974</v>
      </c>
      <c r="B29" s="34" t="n">
        <v>34.7</v>
      </c>
      <c r="C29" s="64"/>
    </row>
    <row r="30" customFormat="false" ht="15" hidden="false" customHeight="false" outlineLevel="0" collapsed="false">
      <c r="A30" s="32" t="n">
        <v>1975</v>
      </c>
      <c r="B30" s="34" t="n">
        <v>33.4</v>
      </c>
      <c r="C30" s="64"/>
    </row>
    <row r="31" customFormat="false" ht="15" hidden="false" customHeight="false" outlineLevel="0" collapsed="false">
      <c r="A31" s="32" t="n">
        <v>1976</v>
      </c>
      <c r="B31" s="34" t="n">
        <v>35</v>
      </c>
      <c r="C31" s="64"/>
    </row>
    <row r="32" customFormat="false" ht="15" hidden="false" customHeight="false" outlineLevel="0" collapsed="false">
      <c r="A32" s="32" t="n">
        <v>1977</v>
      </c>
      <c r="B32" s="34" t="n">
        <v>34.9</v>
      </c>
      <c r="C32" s="64"/>
    </row>
    <row r="33" customFormat="false" ht="15" hidden="false" customHeight="false" outlineLevel="0" collapsed="false">
      <c r="A33" s="32" t="n">
        <v>1978</v>
      </c>
      <c r="B33" s="34" t="n">
        <v>38.5</v>
      </c>
      <c r="C33" s="64"/>
    </row>
    <row r="34" customFormat="false" ht="15" hidden="false" customHeight="false" outlineLevel="0" collapsed="false">
      <c r="A34" s="32" t="n">
        <v>1979</v>
      </c>
      <c r="B34" s="34" t="n">
        <v>32.4</v>
      </c>
      <c r="C34" s="64"/>
    </row>
    <row r="35" customFormat="false" ht="15" hidden="false" customHeight="false" outlineLevel="0" collapsed="false">
      <c r="A35" s="32" t="n">
        <v>1980</v>
      </c>
      <c r="B35" s="34" t="n">
        <v>34.2</v>
      </c>
      <c r="C35" s="64"/>
    </row>
    <row r="36" customFormat="false" ht="15" hidden="false" customHeight="false" outlineLevel="0" collapsed="false">
      <c r="A36" s="32" t="n">
        <v>1981</v>
      </c>
      <c r="B36" s="34" t="n">
        <v>35.3</v>
      </c>
      <c r="C36" s="64"/>
    </row>
    <row r="37" customFormat="false" ht="15" hidden="false" customHeight="false" outlineLevel="0" collapsed="false">
      <c r="A37" s="32" t="n">
        <v>1982</v>
      </c>
      <c r="B37" s="34" t="n">
        <v>33.9</v>
      </c>
      <c r="C37" s="64"/>
    </row>
    <row r="38" customFormat="false" ht="15" hidden="false" customHeight="false" outlineLevel="0" collapsed="false">
      <c r="A38" s="32" t="n">
        <v>1983</v>
      </c>
      <c r="B38" s="34" t="n">
        <v>39.4</v>
      </c>
      <c r="C38" s="64"/>
    </row>
    <row r="39" customFormat="false" ht="15" hidden="false" customHeight="false" outlineLevel="0" collapsed="false">
      <c r="A39" s="32" t="n">
        <v>1984</v>
      </c>
      <c r="B39" s="34" t="n">
        <v>33.8</v>
      </c>
      <c r="C39" s="64"/>
    </row>
    <row r="40" customFormat="false" ht="15" hidden="false" customHeight="false" outlineLevel="0" collapsed="false">
      <c r="A40" s="32" t="n">
        <v>1985</v>
      </c>
      <c r="B40" s="34" t="n">
        <v>34.6</v>
      </c>
      <c r="C40" s="64"/>
    </row>
    <row r="41" customFormat="false" ht="15" hidden="false" customHeight="false" outlineLevel="0" collapsed="false">
      <c r="A41" s="32" t="n">
        <v>1986</v>
      </c>
      <c r="B41" s="34" t="n">
        <v>34.8</v>
      </c>
      <c r="C41" s="64"/>
    </row>
    <row r="42" customFormat="false" ht="15" hidden="false" customHeight="false" outlineLevel="0" collapsed="false">
      <c r="A42" s="32" t="n">
        <v>1987</v>
      </c>
      <c r="B42" s="34" t="n">
        <v>34.2</v>
      </c>
      <c r="C42" s="64"/>
    </row>
    <row r="43" customFormat="false" ht="15" hidden="false" customHeight="false" outlineLevel="0" collapsed="false">
      <c r="A43" s="32" t="n">
        <v>1988</v>
      </c>
      <c r="B43" s="34" t="n">
        <v>37.6</v>
      </c>
      <c r="C43" s="64"/>
    </row>
    <row r="44" customFormat="false" ht="15" hidden="false" customHeight="false" outlineLevel="0" collapsed="false">
      <c r="A44" s="32" t="n">
        <v>1989</v>
      </c>
      <c r="B44" s="34" t="n">
        <v>34.7</v>
      </c>
      <c r="C44" s="64"/>
    </row>
    <row r="45" customFormat="false" ht="15" hidden="false" customHeight="false" outlineLevel="0" collapsed="false">
      <c r="A45" s="32" t="n">
        <v>1990</v>
      </c>
      <c r="B45" s="34" t="n">
        <v>35.5</v>
      </c>
      <c r="C45" s="64"/>
    </row>
    <row r="46" customFormat="false" ht="15" hidden="false" customHeight="false" outlineLevel="0" collapsed="false">
      <c r="A46" s="32" t="n">
        <v>1991</v>
      </c>
      <c r="B46" s="34" t="n">
        <v>35.2</v>
      </c>
      <c r="C46" s="64"/>
    </row>
    <row r="47" customFormat="false" ht="15" hidden="false" customHeight="false" outlineLevel="0" collapsed="false">
      <c r="A47" s="32" t="n">
        <v>1992</v>
      </c>
      <c r="B47" s="34" t="n">
        <v>36.8</v>
      </c>
      <c r="C47" s="64"/>
    </row>
    <row r="48" customFormat="false" ht="15" hidden="false" customHeight="false" outlineLevel="0" collapsed="false">
      <c r="A48" s="32" t="n">
        <v>1993</v>
      </c>
      <c r="B48" s="34" t="n">
        <v>36.8</v>
      </c>
      <c r="C48" s="64"/>
    </row>
    <row r="49" customFormat="false" ht="15" hidden="false" customHeight="false" outlineLevel="0" collapsed="false">
      <c r="A49" s="32" t="n">
        <v>1994</v>
      </c>
      <c r="B49" s="34" t="n">
        <v>36.3</v>
      </c>
      <c r="C49" s="64"/>
    </row>
    <row r="50" customFormat="false" ht="15" hidden="false" customHeight="false" outlineLevel="0" collapsed="false">
      <c r="A50" s="32" t="n">
        <v>1995</v>
      </c>
      <c r="B50" s="34" t="n">
        <v>35.5</v>
      </c>
      <c r="C50" s="64"/>
    </row>
    <row r="51" customFormat="false" ht="15" hidden="false" customHeight="false" outlineLevel="0" collapsed="false">
      <c r="A51" s="32" t="n">
        <v>1996</v>
      </c>
      <c r="B51" s="34" t="n">
        <v>33.1</v>
      </c>
      <c r="C51" s="64"/>
    </row>
    <row r="52" customFormat="false" ht="15" hidden="false" customHeight="false" outlineLevel="0" collapsed="false">
      <c r="A52" s="32" t="n">
        <v>1997</v>
      </c>
      <c r="B52" s="34" t="n">
        <v>36.4</v>
      </c>
      <c r="C52" s="64"/>
    </row>
    <row r="53" customFormat="false" ht="15" hidden="false" customHeight="false" outlineLevel="0" collapsed="false">
      <c r="A53" s="32" t="n">
        <v>1998</v>
      </c>
      <c r="B53" s="34" t="n">
        <v>36.1</v>
      </c>
      <c r="C53" s="64"/>
    </row>
    <row r="54" customFormat="false" ht="15" hidden="false" customHeight="false" outlineLevel="0" collapsed="false">
      <c r="A54" s="32" t="n">
        <v>1999</v>
      </c>
      <c r="B54" s="34" t="n">
        <v>36.1</v>
      </c>
      <c r="C54" s="64"/>
    </row>
    <row r="55" customFormat="false" ht="15" hidden="false" customHeight="false" outlineLevel="0" collapsed="false">
      <c r="A55" s="32" t="n">
        <v>2000</v>
      </c>
      <c r="B55" s="34" t="n">
        <v>35.1</v>
      </c>
      <c r="C55" s="64"/>
    </row>
    <row r="56" customFormat="false" ht="15" hidden="false" customHeight="false" outlineLevel="0" collapsed="false">
      <c r="A56" s="32" t="n">
        <v>2001</v>
      </c>
      <c r="B56" s="34" t="n">
        <v>35.3</v>
      </c>
      <c r="C56" s="64"/>
    </row>
    <row r="57" customFormat="false" ht="15" hidden="false" customHeight="false" outlineLevel="0" collapsed="false">
      <c r="A57" s="32" t="n">
        <v>2002</v>
      </c>
      <c r="B57" s="34" t="n">
        <v>34.2</v>
      </c>
      <c r="C57" s="64"/>
    </row>
    <row r="58" customFormat="false" ht="15" hidden="false" customHeight="false" outlineLevel="0" collapsed="false">
      <c r="A58" s="32" t="n">
        <v>2003</v>
      </c>
      <c r="B58" s="34" t="n">
        <v>36.5</v>
      </c>
      <c r="C58" s="64"/>
    </row>
    <row r="59" customFormat="false" ht="15" hidden="false" customHeight="false" outlineLevel="0" collapsed="false">
      <c r="A59" s="32" t="n">
        <v>2004</v>
      </c>
      <c r="B59" s="34" t="n">
        <v>34.3</v>
      </c>
      <c r="C59" s="64"/>
    </row>
    <row r="60" customFormat="false" ht="15" hidden="false" customHeight="false" outlineLevel="0" collapsed="false">
      <c r="A60" s="32" t="n">
        <v>2005</v>
      </c>
      <c r="B60" s="34" t="n">
        <v>37.2</v>
      </c>
      <c r="C60" s="64"/>
    </row>
    <row r="61" customFormat="false" ht="15" hidden="false" customHeight="false" outlineLevel="0" collapsed="false">
      <c r="A61" s="32" t="n">
        <v>2006</v>
      </c>
      <c r="B61" s="34" t="n">
        <v>35.8</v>
      </c>
      <c r="C61" s="64"/>
    </row>
    <row r="62" customFormat="false" ht="15" hidden="false" customHeight="false" outlineLevel="0" collapsed="false">
      <c r="A62" s="32" t="n">
        <v>2007</v>
      </c>
      <c r="B62" s="34" t="n">
        <v>35</v>
      </c>
      <c r="C62" s="64"/>
    </row>
    <row r="63" customFormat="false" ht="15" hidden="false" customHeight="false" outlineLevel="0" collapsed="false">
      <c r="A63" s="32" t="n">
        <v>2008</v>
      </c>
      <c r="B63" s="34" t="n">
        <v>36.9</v>
      </c>
      <c r="C63" s="64"/>
    </row>
    <row r="64" customFormat="false" ht="15" hidden="false" customHeight="false" outlineLevel="0" collapsed="false">
      <c r="A64" s="32" t="n">
        <v>2009</v>
      </c>
      <c r="B64" s="34" t="n">
        <v>39.1</v>
      </c>
      <c r="C64" s="64"/>
    </row>
    <row r="65" customFormat="false" ht="15" hidden="false" customHeight="false" outlineLevel="0" collapsed="false">
      <c r="A65" s="32" t="n">
        <v>2010</v>
      </c>
      <c r="B65" s="34" t="n">
        <v>34.7</v>
      </c>
      <c r="C65" s="64"/>
    </row>
    <row r="66" customFormat="false" ht="15" hidden="false" customHeight="false" outlineLevel="0" collapsed="false">
      <c r="A66" s="32" t="n">
        <v>2011</v>
      </c>
      <c r="B66" s="34" t="n">
        <v>34.4</v>
      </c>
      <c r="C66" s="64"/>
    </row>
    <row r="67" customFormat="false" ht="15" hidden="false" customHeight="false" outlineLevel="0" collapsed="false">
      <c r="A67" s="32" t="n">
        <v>2012</v>
      </c>
      <c r="B67" s="34" t="n">
        <v>34</v>
      </c>
      <c r="C67" s="64"/>
    </row>
    <row r="68" customFormat="false" ht="15" hidden="false" customHeight="false" outlineLevel="0" collapsed="false">
      <c r="A68" s="32" t="n">
        <v>2013</v>
      </c>
      <c r="B68" s="34" t="n">
        <v>36.2</v>
      </c>
      <c r="C68" s="64"/>
    </row>
    <row r="69" customFormat="false" ht="15" hidden="false" customHeight="false" outlineLevel="0" collapsed="false">
      <c r="A69" s="32" t="n">
        <v>2014</v>
      </c>
      <c r="B69" s="34" t="n">
        <v>36</v>
      </c>
      <c r="C69" s="64"/>
    </row>
    <row r="70" customFormat="false" ht="15" hidden="false" customHeight="false" outlineLevel="0" collapsed="false">
      <c r="A70" s="32" t="n">
        <v>2015</v>
      </c>
      <c r="B70" s="34" t="n">
        <v>34.6</v>
      </c>
      <c r="C70" s="64"/>
    </row>
    <row r="71" customFormat="false" ht="15" hidden="false" customHeight="false" outlineLevel="0" collapsed="false">
      <c r="A71" s="32" t="n">
        <v>2016</v>
      </c>
      <c r="B71" s="34" t="n">
        <v>33.6</v>
      </c>
      <c r="C71" s="64"/>
    </row>
    <row r="72" customFormat="false" ht="15" hidden="false" customHeight="false" outlineLevel="0" collapsed="false">
      <c r="A72" s="32" t="n">
        <v>2017</v>
      </c>
      <c r="B72" s="34" t="n">
        <v>34.6</v>
      </c>
      <c r="C72" s="64"/>
    </row>
    <row r="73" customFormat="false" ht="15" hidden="false" customHeight="false" outlineLevel="0" collapsed="false">
      <c r="A73" s="32" t="n">
        <v>2018</v>
      </c>
      <c r="B73" s="34" t="n">
        <v>34.9</v>
      </c>
      <c r="C73" s="64"/>
    </row>
    <row r="74" customFormat="false" ht="15" hidden="false" customHeight="false" outlineLevel="0" collapsed="false">
      <c r="A74" s="32" t="n">
        <v>2019</v>
      </c>
      <c r="B74" s="34" t="n">
        <v>35.9</v>
      </c>
      <c r="C74" s="64"/>
    </row>
    <row r="75" customFormat="false" ht="15" hidden="false" customHeight="false" outlineLevel="0" collapsed="false">
      <c r="A75" s="32" t="n">
        <v>2020</v>
      </c>
      <c r="B75" s="34" t="n">
        <v>35.6</v>
      </c>
      <c r="C75" s="64"/>
    </row>
    <row r="76" customFormat="false" ht="15" hidden="false" customHeight="false" outlineLevel="0" collapsed="false">
      <c r="A76" s="32" t="n">
        <v>2021</v>
      </c>
      <c r="B76" s="34" t="n">
        <v>36.9</v>
      </c>
      <c r="C76" s="64"/>
    </row>
    <row r="77" customFormat="false" ht="15" hidden="false" customHeight="false" outlineLevel="0" collapsed="false">
      <c r="A77" s="32" t="n">
        <v>2022</v>
      </c>
      <c r="B77" s="34" t="n">
        <v>35.3</v>
      </c>
      <c r="C77" s="64"/>
    </row>
    <row r="78" customFormat="false" ht="15" hidden="false" customHeight="false" outlineLevel="0" collapsed="false">
      <c r="A78" s="32" t="n">
        <v>2023</v>
      </c>
      <c r="B78" s="34" t="n">
        <v>37.5</v>
      </c>
      <c r="C78" s="64"/>
    </row>
    <row r="79" customFormat="false" ht="15" hidden="false" customHeight="false" outlineLevel="0" collapsed="false">
      <c r="A79" s="32" t="n">
        <v>2024</v>
      </c>
      <c r="B79" s="34" t="n">
        <v>38.3</v>
      </c>
      <c r="C79" s="64"/>
    </row>
  </sheetData>
  <mergeCells count="2">
    <mergeCell ref="A1:C1"/>
    <mergeCell ref="A2:C2"/>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2026-09-10T06:00:37Z</dcterms:created>
  <dc:creator>openpyxl</dc:creator>
  <dc:description/>
  <dc:language>en-US</dc:language>
  <cp:lastModifiedBy/>
  <dcterms:modified xsi:type="dcterms:W3CDTF">2026-09-10T06:00:38Z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