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年間区分表" sheetId="1" state="visible" r:id="rId3"/>
    <sheet name="年間カレンダー" sheetId="2" state="visible" r:id="rId4"/>
    <sheet name="前提条件" sheetId="3" state="visible" r:id="rId5"/>
    <sheet name="日別データ" sheetId="4" state="visible" r:id="rId6"/>
  </sheets>
  <definedNames>
    <definedName function="false" hidden="true" localSheetId="3" name="_xlnm._FilterDatabase" vbProcedure="false">日別データ!$A$3:$H$368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WenQuanYi Zen Hei"/>
            <family val="2"/>
          </rPr>
          <t xml:space="preserve">入力欄：ご提示条件どおり </t>
        </r>
        <r>
          <rPr>
            <sz val="10"/>
            <rFont val="Arial"/>
            <family val="2"/>
          </rPr>
          <t xml:space="preserve">6/30</t>
        </r>
        <r>
          <rPr>
            <sz val="10"/>
            <rFont val="WenQuanYi Zen Hei"/>
            <family val="2"/>
          </rPr>
          <t xml:space="preserve">～</t>
        </r>
        <r>
          <rPr>
            <sz val="10"/>
            <rFont val="Arial"/>
            <family val="2"/>
          </rPr>
          <t xml:space="preserve">9/14 </t>
        </r>
        <r>
          <rPr>
            <sz val="10"/>
            <rFont val="WenQuanYi Zen Hei"/>
            <family val="2"/>
          </rPr>
          <t xml:space="preserve">を設定。</t>
        </r>
      </text>
    </comment>
    <comment ref="D12" authorId="0">
      <text>
        <r>
          <rPr>
            <sz val="10"/>
            <rFont val="WenQuanYi Zen Hei"/>
            <family val="2"/>
          </rPr>
          <t xml:space="preserve">入力欄：ご提示条件どおり 標準期① </t>
        </r>
        <r>
          <rPr>
            <sz val="10"/>
            <rFont val="Arial"/>
            <family val="2"/>
          </rPr>
          <t xml:space="preserve">3/8</t>
        </r>
        <r>
          <rPr>
            <sz val="10"/>
            <rFont val="WenQuanYi Zen Hei"/>
            <family val="2"/>
          </rPr>
          <t xml:space="preserve">～</t>
        </r>
        <r>
          <rPr>
            <sz val="10"/>
            <rFont val="Arial"/>
            <family val="2"/>
          </rPr>
          <t xml:space="preserve">6/15 </t>
        </r>
        <r>
          <rPr>
            <sz val="10"/>
            <rFont val="WenQuanYi Zen Hei"/>
            <family val="2"/>
          </rPr>
          <t xml:space="preserve">を設定。</t>
        </r>
      </text>
    </comment>
  </commentList>
</comments>
</file>

<file path=xl/sharedStrings.xml><?xml version="1.0" encoding="utf-8"?>
<sst xmlns="http://schemas.openxmlformats.org/spreadsheetml/2006/main" count="140" uniqueCount="112">
  <si>
    <r>
      <rPr>
        <b val="true"/>
        <sz val="14"/>
        <color rgb="FF1F4E79"/>
        <rFont val="WenQuanYi Zen Hei"/>
        <family val="2"/>
      </rPr>
      <t xml:space="preserve">コンクリート配合　年間期間区分表（</t>
    </r>
    <r>
      <rPr>
        <b val="true"/>
        <sz val="14"/>
        <color rgb="FF1F4E79"/>
        <rFont val="Meiryo"/>
        <family val="0"/>
        <charset val="1"/>
      </rPr>
      <t xml:space="preserve">S</t>
    </r>
    <r>
      <rPr>
        <b val="true"/>
        <sz val="14"/>
        <color rgb="FF1F4E79"/>
        <rFont val="WenQuanYi Zen Hei"/>
        <family val="2"/>
      </rPr>
      <t xml:space="preserve">値補正 </t>
    </r>
    <r>
      <rPr>
        <b val="true"/>
        <sz val="14"/>
        <color rgb="FF1F4E79"/>
        <rFont val="Meiryo"/>
        <family val="0"/>
        <charset val="1"/>
      </rPr>
      <t xml:space="preserve">× </t>
    </r>
    <r>
      <rPr>
        <b val="true"/>
        <sz val="14"/>
        <color rgb="FF1F4E79"/>
        <rFont val="WenQuanYi Zen Hei"/>
        <family val="2"/>
      </rPr>
      <t xml:space="preserve">混和剤の種類）</t>
    </r>
  </si>
  <si>
    <r>
      <rPr>
        <sz val="9"/>
        <color rgb="FF595959"/>
        <rFont val="Meiryo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値の補正期間と混和剤の切替期間が一致しないため、両方を重ね合わせて年間</t>
    </r>
    <r>
      <rPr>
        <sz val="9"/>
        <color rgb="FF595959"/>
        <rFont val="Meiryo"/>
        <family val="0"/>
        <charset val="1"/>
      </rPr>
      <t xml:space="preserve">9</t>
    </r>
    <r>
      <rPr>
        <sz val="9"/>
        <color rgb="FF595959"/>
        <rFont val="WenQuanYi Zen Hei"/>
        <family val="2"/>
      </rPr>
      <t xml:space="preserve">区分に整理したものです。（</t>
    </r>
    <r>
      <rPr>
        <sz val="9"/>
        <color rgb="FF595959"/>
        <rFont val="Meiryo"/>
        <family val="0"/>
        <charset val="1"/>
      </rPr>
      <t xml:space="preserve">1/1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Meiryo"/>
        <family val="0"/>
        <charset val="1"/>
      </rPr>
      <t xml:space="preserve">2/20 </t>
    </r>
    <r>
      <rPr>
        <sz val="9"/>
        <color rgb="FF595959"/>
        <rFont val="WenQuanYi Zen Hei"/>
        <family val="2"/>
      </rPr>
      <t xml:space="preserve">と </t>
    </r>
    <r>
      <rPr>
        <sz val="9"/>
        <color rgb="FF595959"/>
        <rFont val="Meiryo"/>
        <family val="0"/>
        <charset val="1"/>
      </rPr>
      <t xml:space="preserve">12/8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Meiryo"/>
        <family val="0"/>
        <charset val="1"/>
      </rPr>
      <t xml:space="preserve">12/31 </t>
    </r>
    <r>
      <rPr>
        <sz val="9"/>
        <color rgb="FF595959"/>
        <rFont val="WenQuanYi Zen Hei"/>
        <family val="2"/>
      </rPr>
      <t xml:space="preserve">は年をまたいで連続＝</t>
    </r>
    <r>
      <rPr>
        <sz val="9"/>
        <color rgb="FF595959"/>
        <rFont val="Meiryo"/>
        <family val="0"/>
        <charset val="1"/>
      </rPr>
      <t xml:space="preserve">12/8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Meiryo"/>
        <family val="0"/>
        <charset val="1"/>
      </rPr>
      <t xml:space="preserve">2/20</t>
    </r>
    <r>
      <rPr>
        <sz val="9"/>
        <color rgb="FF595959"/>
        <rFont val="WenQuanYi Zen Hei"/>
        <family val="2"/>
      </rPr>
      <t xml:space="preserve">）</t>
    </r>
  </si>
  <si>
    <t xml:space="preserve">▼ 計算用</t>
  </si>
  <si>
    <t xml:space="preserve">区分</t>
  </si>
  <si>
    <t xml:space="preserve">開始</t>
  </si>
  <si>
    <t xml:space="preserve">終了</t>
  </si>
  <si>
    <t xml:space="preserve">日数
（平年）</t>
  </si>
  <si>
    <r>
      <rPr>
        <b val="true"/>
        <sz val="11"/>
        <color rgb="FF000000"/>
        <rFont val="Meiryo"/>
        <family val="0"/>
        <charset val="1"/>
      </rPr>
      <t xml:space="preserve">S</t>
    </r>
    <r>
      <rPr>
        <b val="true"/>
        <sz val="11"/>
        <color rgb="FF000000"/>
        <rFont val="WenQuanYi Zen Hei"/>
        <family val="2"/>
      </rPr>
      <t xml:space="preserve">値補正</t>
    </r>
  </si>
  <si>
    <t xml:space="preserve">混和剤の
適用期</t>
  </si>
  <si>
    <r>
      <rPr>
        <b val="true"/>
        <sz val="11"/>
        <color rgb="FF000000"/>
        <rFont val="Meiryo"/>
        <family val="0"/>
        <charset val="1"/>
      </rPr>
      <t xml:space="preserve">AE</t>
    </r>
    <r>
      <rPr>
        <b val="true"/>
        <sz val="11"/>
        <color rgb="FF000000"/>
        <rFont val="WenQuanYi Zen Hei"/>
        <family val="2"/>
      </rPr>
      <t xml:space="preserve">減水剤</t>
    </r>
  </si>
  <si>
    <r>
      <rPr>
        <b val="true"/>
        <sz val="11"/>
        <color rgb="FF000000"/>
        <rFont val="WenQuanYi Zen Hei"/>
        <family val="2"/>
      </rPr>
      <t xml:space="preserve">高性能</t>
    </r>
    <r>
      <rPr>
        <b val="true"/>
        <sz val="11"/>
        <color rgb="FF000000"/>
        <rFont val="Meiryo"/>
        <family val="0"/>
        <charset val="1"/>
      </rPr>
      <t xml:space="preserve">AE</t>
    </r>
    <r>
      <rPr>
        <b val="true"/>
        <sz val="11"/>
        <color rgb="FF000000"/>
        <rFont val="WenQuanYi Zen Hei"/>
        <family val="2"/>
      </rPr>
      <t xml:space="preserve">減水剤</t>
    </r>
  </si>
  <si>
    <t xml:space="preserve">備考</t>
  </si>
  <si>
    <t xml:space="preserve">検証</t>
  </si>
  <si>
    <t xml:space="preserve">開始キー</t>
  </si>
  <si>
    <t xml:space="preserve">終了キー</t>
  </si>
  <si>
    <t xml:space="preserve">組合せ</t>
  </si>
  <si>
    <t xml:space="preserve">①</t>
  </si>
  <si>
    <t xml:space="preserve">1/1</t>
  </si>
  <si>
    <t xml:space="preserve">2/20</t>
  </si>
  <si>
    <r>
      <rPr>
        <sz val="10"/>
        <color rgb="FF000000"/>
        <rFont val="WenQuanYi Zen Hei"/>
        <family val="2"/>
      </rPr>
      <t xml:space="preserve">冬期。</t>
    </r>
    <r>
      <rPr>
        <sz val="10"/>
        <color rgb="FF000000"/>
        <rFont val="Meiryo"/>
        <family val="0"/>
        <charset val="1"/>
      </rPr>
      <t xml:space="preserve">12/8</t>
    </r>
    <r>
      <rPr>
        <sz val="10"/>
        <color rgb="FF000000"/>
        <rFont val="WenQuanYi Zen Hei"/>
        <family val="2"/>
      </rPr>
      <t xml:space="preserve">からの継続期間</t>
    </r>
  </si>
  <si>
    <t xml:space="preserve">②</t>
  </si>
  <si>
    <t xml:space="preserve">2/21</t>
  </si>
  <si>
    <t xml:space="preserve">3/7</t>
  </si>
  <si>
    <r>
      <rPr>
        <sz val="10"/>
        <color rgb="FF000000"/>
        <rFont val="Meiryo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値のみ</t>
    </r>
    <r>
      <rPr>
        <sz val="10"/>
        <color rgb="FF000000"/>
        <rFont val="Meiryo"/>
        <family val="0"/>
        <charset val="1"/>
      </rPr>
      <t xml:space="preserve">+3</t>
    </r>
    <r>
      <rPr>
        <sz val="10"/>
        <color rgb="FF000000"/>
        <rFont val="WenQuanYi Zen Hei"/>
        <family val="2"/>
      </rPr>
      <t xml:space="preserve">へ切替（混和剤は冬期のまま）</t>
    </r>
  </si>
  <si>
    <t xml:space="preserve">③</t>
  </si>
  <si>
    <t xml:space="preserve">3/8</t>
  </si>
  <si>
    <t xml:space="preserve">6/15</t>
  </si>
  <si>
    <t xml:space="preserve">冬期→標準期へ切替</t>
  </si>
  <si>
    <t xml:space="preserve">④</t>
  </si>
  <si>
    <t xml:space="preserve">6/16</t>
  </si>
  <si>
    <t xml:space="preserve">6/29</t>
  </si>
  <si>
    <r>
      <rPr>
        <sz val="10"/>
        <color rgb="FF000000"/>
        <rFont val="WenQuanYi Zen Hei"/>
        <family val="2"/>
      </rPr>
      <t xml:space="preserve">混和剤のみ遅延形へ先行切替（</t>
    </r>
    <r>
      <rPr>
        <sz val="10"/>
        <color rgb="FF000000"/>
        <rFont val="Meiryo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値は</t>
    </r>
    <r>
      <rPr>
        <sz val="10"/>
        <color rgb="FF000000"/>
        <rFont val="Meiryo"/>
        <family val="0"/>
        <charset val="1"/>
      </rPr>
      <t xml:space="preserve">+3</t>
    </r>
    <r>
      <rPr>
        <sz val="10"/>
        <color rgb="FF000000"/>
        <rFont val="WenQuanYi Zen Hei"/>
        <family val="2"/>
      </rPr>
      <t xml:space="preserve">のまま）</t>
    </r>
  </si>
  <si>
    <t xml:space="preserve">⑤</t>
  </si>
  <si>
    <t xml:space="preserve">6/30</t>
  </si>
  <si>
    <t xml:space="preserve">9/14</t>
  </si>
  <si>
    <t xml:space="preserve">夏期のピーク期間</t>
  </si>
  <si>
    <t xml:space="preserve">⑥</t>
  </si>
  <si>
    <t xml:space="preserve">9/15</t>
  </si>
  <si>
    <t xml:space="preserve">9/23</t>
  </si>
  <si>
    <r>
      <rPr>
        <sz val="10"/>
        <color rgb="FF000000"/>
        <rFont val="Meiryo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値のみ</t>
    </r>
    <r>
      <rPr>
        <sz val="10"/>
        <color rgb="FF000000"/>
        <rFont val="Meiryo"/>
        <family val="0"/>
        <charset val="1"/>
      </rPr>
      <t xml:space="preserve">+3</t>
    </r>
    <r>
      <rPr>
        <sz val="10"/>
        <color rgb="FF000000"/>
        <rFont val="WenQuanYi Zen Hei"/>
        <family val="2"/>
      </rPr>
      <t xml:space="preserve">へ戻る（混和剤は夏期のまま）</t>
    </r>
  </si>
  <si>
    <t xml:space="preserve">⑦</t>
  </si>
  <si>
    <t xml:space="preserve">9/24</t>
  </si>
  <si>
    <t xml:space="preserve">11/26</t>
  </si>
  <si>
    <t xml:space="preserve">夏期→標準期へ切替</t>
  </si>
  <si>
    <t xml:space="preserve">⑧</t>
  </si>
  <si>
    <t xml:space="preserve">11/27</t>
  </si>
  <si>
    <t xml:space="preserve">12/7</t>
  </si>
  <si>
    <r>
      <rPr>
        <sz val="10"/>
        <color rgb="FF000000"/>
        <rFont val="Meiryo"/>
        <family val="0"/>
        <charset val="1"/>
      </rPr>
      <t xml:space="preserve">S</t>
    </r>
    <r>
      <rPr>
        <sz val="10"/>
        <color rgb="FF000000"/>
        <rFont val="WenQuanYi Zen Hei"/>
        <family val="2"/>
      </rPr>
      <t xml:space="preserve">値のみ</t>
    </r>
    <r>
      <rPr>
        <sz val="10"/>
        <color rgb="FF000000"/>
        <rFont val="Meiryo"/>
        <family val="0"/>
        <charset val="1"/>
      </rPr>
      <t xml:space="preserve">+6</t>
    </r>
    <r>
      <rPr>
        <sz val="10"/>
        <color rgb="FF000000"/>
        <rFont val="WenQuanYi Zen Hei"/>
        <family val="2"/>
      </rPr>
      <t xml:space="preserve">へ先行切替（混和剤は標準期のまま）</t>
    </r>
  </si>
  <si>
    <t xml:space="preserve">⑨</t>
  </si>
  <si>
    <t xml:space="preserve">12/8</t>
  </si>
  <si>
    <t xml:space="preserve">12/31</t>
  </si>
  <si>
    <r>
      <rPr>
        <sz val="10"/>
        <color rgb="FF000000"/>
        <rFont val="WenQuanYi Zen Hei"/>
        <family val="2"/>
      </rPr>
      <t xml:space="preserve">標準期→冬期へ切替。翌年</t>
    </r>
    <r>
      <rPr>
        <sz val="10"/>
        <color rgb="FF000000"/>
        <rFont val="Meiryo"/>
        <family val="0"/>
        <charset val="1"/>
      </rPr>
      <t xml:space="preserve">2/20</t>
    </r>
    <r>
      <rPr>
        <sz val="10"/>
        <color rgb="FF000000"/>
        <rFont val="WenQuanYi Zen Hei"/>
        <family val="2"/>
      </rPr>
      <t xml:space="preserve">まで継続</t>
    </r>
  </si>
  <si>
    <t xml:space="preserve">合計</t>
  </si>
  <si>
    <r>
      <rPr>
        <sz val="9"/>
        <color rgb="FF000000"/>
        <rFont val="WenQuanYi Zen Hei"/>
        <family val="2"/>
      </rPr>
      <t xml:space="preserve">平年の年間日数と一致すれば</t>
    </r>
    <r>
      <rPr>
        <sz val="9"/>
        <color rgb="FF000000"/>
        <rFont val="Meiryo"/>
        <family val="0"/>
        <charset val="1"/>
      </rPr>
      <t xml:space="preserve">OK</t>
    </r>
  </si>
  <si>
    <r>
      <rPr>
        <b val="true"/>
        <sz val="10"/>
        <color rgb="FF000000"/>
        <rFont val="WenQuanYi Zen Hei"/>
        <family val="2"/>
      </rPr>
      <t xml:space="preserve">【</t>
    </r>
    <r>
      <rPr>
        <b val="true"/>
        <sz val="10"/>
        <color rgb="FF000000"/>
        <rFont val="Meiryo"/>
        <family val="0"/>
        <charset val="1"/>
      </rPr>
      <t xml:space="preserve">S</t>
    </r>
    <r>
      <rPr>
        <b val="true"/>
        <sz val="10"/>
        <color rgb="FF000000"/>
        <rFont val="WenQuanYi Zen Hei"/>
        <family val="2"/>
      </rPr>
      <t xml:space="preserve">値と混和剤の切替日の比較】</t>
    </r>
  </si>
  <si>
    <t xml:space="preserve">【この表の見方・前提】</t>
  </si>
  <si>
    <r>
      <rPr>
        <sz val="9"/>
        <color rgb="FF404040"/>
        <rFont val="WenQuanYi Zen Hei"/>
        <family val="2"/>
      </rPr>
      <t xml:space="preserve">・</t>
    </r>
    <r>
      <rPr>
        <sz val="9"/>
        <color rgb="FF404040"/>
        <rFont val="Meiryo"/>
        <family val="0"/>
        <charset val="1"/>
      </rPr>
      <t xml:space="preserve">S</t>
    </r>
    <r>
      <rPr>
        <sz val="9"/>
        <color rgb="FF404040"/>
        <rFont val="WenQuanYi Zen Hei"/>
        <family val="2"/>
      </rPr>
      <t xml:space="preserve">値補正：</t>
    </r>
    <r>
      <rPr>
        <sz val="9"/>
        <color rgb="FF404040"/>
        <rFont val="Meiryo"/>
        <family val="0"/>
        <charset val="1"/>
      </rPr>
      <t xml:space="preserve">+6</t>
    </r>
    <r>
      <rPr>
        <sz val="9"/>
        <color rgb="FF404040"/>
        <rFont val="WenQuanYi Zen Hei"/>
        <family val="2"/>
      </rPr>
      <t xml:space="preserve">＝</t>
    </r>
    <r>
      <rPr>
        <sz val="9"/>
        <color rgb="FF404040"/>
        <rFont val="Meiryo"/>
        <family val="0"/>
        <charset val="1"/>
      </rPr>
      <t xml:space="preserve">6/30</t>
    </r>
    <r>
      <rPr>
        <sz val="9"/>
        <color rgb="FF404040"/>
        <rFont val="WenQuanYi Zen Hei"/>
        <family val="2"/>
      </rPr>
      <t xml:space="preserve">～</t>
    </r>
    <r>
      <rPr>
        <sz val="9"/>
        <color rgb="FF404040"/>
        <rFont val="Meiryo"/>
        <family val="0"/>
        <charset val="1"/>
      </rPr>
      <t xml:space="preserve">9/14, 11/27</t>
    </r>
    <r>
      <rPr>
        <sz val="9"/>
        <color rgb="FF404040"/>
        <rFont val="WenQuanYi Zen Hei"/>
        <family val="2"/>
      </rPr>
      <t xml:space="preserve">～</t>
    </r>
    <r>
      <rPr>
        <sz val="9"/>
        <color rgb="FF404040"/>
        <rFont val="Meiryo"/>
        <family val="0"/>
        <charset val="1"/>
      </rPr>
      <t xml:space="preserve">2/20</t>
    </r>
    <r>
      <rPr>
        <sz val="9"/>
        <color rgb="FF404040"/>
        <rFont val="WenQuanYi Zen Hei"/>
        <family val="2"/>
      </rPr>
      <t xml:space="preserve">／</t>
    </r>
    <r>
      <rPr>
        <sz val="9"/>
        <color rgb="FF404040"/>
        <rFont val="Meiryo"/>
        <family val="0"/>
        <charset val="1"/>
      </rPr>
      <t xml:space="preserve">+3</t>
    </r>
    <r>
      <rPr>
        <sz val="9"/>
        <color rgb="FF404040"/>
        <rFont val="WenQuanYi Zen Hei"/>
        <family val="2"/>
      </rPr>
      <t xml:space="preserve">＝それ以外（ご提示条件）。</t>
    </r>
  </si>
  <si>
    <r>
      <rPr>
        <sz val="9"/>
        <color rgb="FF404040"/>
        <rFont val="WenQuanYi Zen Hei"/>
        <family val="2"/>
      </rPr>
      <t xml:space="preserve">・混和剤：</t>
    </r>
    <r>
      <rPr>
        <sz val="9"/>
        <color rgb="FF404040"/>
        <rFont val="Meiryo"/>
        <family val="0"/>
        <charset val="1"/>
      </rPr>
      <t xml:space="preserve">AE</t>
    </r>
    <r>
      <rPr>
        <sz val="9"/>
        <color rgb="FF404040"/>
        <rFont val="WenQuanYi Zen Hei"/>
        <family val="2"/>
      </rPr>
      <t xml:space="preserve">減水剤・高性能</t>
    </r>
    <r>
      <rPr>
        <sz val="9"/>
        <color rgb="FF404040"/>
        <rFont val="Meiryo"/>
        <family val="0"/>
        <charset val="1"/>
      </rPr>
      <t xml:space="preserve">AE</t>
    </r>
    <r>
      <rPr>
        <sz val="9"/>
        <color rgb="FF404040"/>
        <rFont val="WenQuanYi Zen Hei"/>
        <family val="2"/>
      </rPr>
      <t xml:space="preserve">減水剤とも、標準期 </t>
    </r>
    <r>
      <rPr>
        <sz val="9"/>
        <color rgb="FF404040"/>
        <rFont val="Meiryo"/>
        <family val="0"/>
        <charset val="1"/>
      </rPr>
      <t xml:space="preserve">3/8</t>
    </r>
    <r>
      <rPr>
        <sz val="9"/>
        <color rgb="FF404040"/>
        <rFont val="WenQuanYi Zen Hei"/>
        <family val="2"/>
      </rPr>
      <t xml:space="preserve">～</t>
    </r>
    <r>
      <rPr>
        <sz val="9"/>
        <color rgb="FF404040"/>
        <rFont val="Meiryo"/>
        <family val="0"/>
        <charset val="1"/>
      </rPr>
      <t xml:space="preserve">6/15</t>
    </r>
    <r>
      <rPr>
        <sz val="9"/>
        <color rgb="FF404040"/>
        <rFont val="WenQuanYi Zen Hei"/>
        <family val="2"/>
      </rPr>
      <t xml:space="preserve">・</t>
    </r>
    <r>
      <rPr>
        <sz val="9"/>
        <color rgb="FF404040"/>
        <rFont val="Meiryo"/>
        <family val="0"/>
        <charset val="1"/>
      </rPr>
      <t xml:space="preserve">9/24</t>
    </r>
    <r>
      <rPr>
        <sz val="9"/>
        <color rgb="FF404040"/>
        <rFont val="WenQuanYi Zen Hei"/>
        <family val="2"/>
      </rPr>
      <t xml:space="preserve">～</t>
    </r>
    <r>
      <rPr>
        <sz val="9"/>
        <color rgb="FF404040"/>
        <rFont val="Meiryo"/>
        <family val="0"/>
        <charset val="1"/>
      </rPr>
      <t xml:space="preserve">12/7</t>
    </r>
    <r>
      <rPr>
        <sz val="9"/>
        <color rgb="FF404040"/>
        <rFont val="WenQuanYi Zen Hei"/>
        <family val="2"/>
      </rPr>
      <t xml:space="preserve">＝標準形、夏期 </t>
    </r>
    <r>
      <rPr>
        <sz val="9"/>
        <color rgb="FF404040"/>
        <rFont val="Meiryo"/>
        <family val="0"/>
        <charset val="1"/>
      </rPr>
      <t xml:space="preserve">6/16</t>
    </r>
    <r>
      <rPr>
        <sz val="9"/>
        <color rgb="FF404040"/>
        <rFont val="WenQuanYi Zen Hei"/>
        <family val="2"/>
      </rPr>
      <t xml:space="preserve">～</t>
    </r>
    <r>
      <rPr>
        <sz val="9"/>
        <color rgb="FF404040"/>
        <rFont val="Meiryo"/>
        <family val="0"/>
        <charset val="1"/>
      </rPr>
      <t xml:space="preserve">9/23</t>
    </r>
    <r>
      <rPr>
        <sz val="9"/>
        <color rgb="FF404040"/>
        <rFont val="WenQuanYi Zen Hei"/>
        <family val="2"/>
      </rPr>
      <t xml:space="preserve">＝遅延形、冬期 </t>
    </r>
    <r>
      <rPr>
        <sz val="9"/>
        <color rgb="FF404040"/>
        <rFont val="Meiryo"/>
        <family val="0"/>
        <charset val="1"/>
      </rPr>
      <t xml:space="preserve">12/8</t>
    </r>
    <r>
      <rPr>
        <sz val="9"/>
        <color rgb="FF404040"/>
        <rFont val="WenQuanYi Zen Hei"/>
        <family val="2"/>
      </rPr>
      <t xml:space="preserve">～</t>
    </r>
    <r>
      <rPr>
        <sz val="9"/>
        <color rgb="FF404040"/>
        <rFont val="Meiryo"/>
        <family val="0"/>
        <charset val="1"/>
      </rPr>
      <t xml:space="preserve">3/7</t>
    </r>
    <r>
      <rPr>
        <sz val="9"/>
        <color rgb="FF404040"/>
        <rFont val="WenQuanYi Zen Hei"/>
        <family val="2"/>
      </rPr>
      <t xml:space="preserve">＝標準形。両剤の日程は同一のため </t>
    </r>
    <r>
      <rPr>
        <sz val="9"/>
        <color rgb="FF404040"/>
        <rFont val="Meiryo"/>
        <family val="0"/>
        <charset val="1"/>
      </rPr>
      <t xml:space="preserve">H</t>
    </r>
    <r>
      <rPr>
        <sz val="9"/>
        <color rgb="FF404040"/>
        <rFont val="WenQuanYi Zen Hei"/>
        <family val="2"/>
      </rPr>
      <t xml:space="preserve">列は </t>
    </r>
    <r>
      <rPr>
        <sz val="9"/>
        <color rgb="FF404040"/>
        <rFont val="Meiryo"/>
        <family val="0"/>
        <charset val="1"/>
      </rPr>
      <t xml:space="preserve">G</t>
    </r>
    <r>
      <rPr>
        <sz val="9"/>
        <color rgb="FF404040"/>
        <rFont val="WenQuanYi Zen Hei"/>
        <family val="2"/>
      </rPr>
      <t xml:space="preserve">列を参照しています。</t>
    </r>
  </si>
  <si>
    <r>
      <rPr>
        <sz val="9"/>
        <color rgb="FF404040"/>
        <rFont val="WenQuanYi Zen Hei"/>
        <family val="2"/>
      </rPr>
      <t xml:space="preserve">・青字の開始／終了日は、上記</t>
    </r>
    <r>
      <rPr>
        <sz val="9"/>
        <color rgb="FF404040"/>
        <rFont val="Meiryo"/>
        <family val="0"/>
        <charset val="1"/>
      </rPr>
      <t xml:space="preserve">2</t>
    </r>
    <r>
      <rPr>
        <sz val="9"/>
        <color rgb="FF404040"/>
        <rFont val="WenQuanYi Zen Hei"/>
        <family val="2"/>
      </rPr>
      <t xml:space="preserve">つの条件を重ね合わせて切り替わる日（区切り日）です。「前提条件」シートの期間を変更した場合は、この青字の日付も合わせて見直してください。</t>
    </r>
  </si>
  <si>
    <r>
      <rPr>
        <sz val="9"/>
        <color rgb="FF404040"/>
        <rFont val="WenQuanYi Zen Hei"/>
        <family val="2"/>
      </rPr>
      <t xml:space="preserve">・</t>
    </r>
    <r>
      <rPr>
        <sz val="9"/>
        <color rgb="FF404040"/>
        <rFont val="Meiryo"/>
        <family val="0"/>
        <charset val="1"/>
      </rPr>
      <t xml:space="preserve">J</t>
    </r>
    <r>
      <rPr>
        <sz val="9"/>
        <color rgb="FF404040"/>
        <rFont val="WenQuanYi Zen Hei"/>
        <family val="2"/>
      </rPr>
      <t xml:space="preserve">列「検証」は、その区分の全日が同じ組合せかどうかを日別データから数式で照合した結果です（すべて</t>
    </r>
    <r>
      <rPr>
        <sz val="9"/>
        <color rgb="FF404040"/>
        <rFont val="Meiryo"/>
        <family val="0"/>
        <charset val="1"/>
      </rPr>
      <t xml:space="preserve">OK</t>
    </r>
    <r>
      <rPr>
        <sz val="9"/>
        <color rgb="FF404040"/>
        <rFont val="WenQuanYi Zen Hei"/>
        <family val="2"/>
      </rPr>
      <t xml:space="preserve">で整合）。</t>
    </r>
  </si>
  <si>
    <r>
      <rPr>
        <sz val="9"/>
        <color rgb="FF404040"/>
        <rFont val="WenQuanYi Zen Hei"/>
        <family val="2"/>
      </rPr>
      <t xml:space="preserve">・日数は平年（</t>
    </r>
    <r>
      <rPr>
        <sz val="9"/>
        <color rgb="FF404040"/>
        <rFont val="Meiryo"/>
        <family val="0"/>
        <charset val="1"/>
      </rPr>
      <t xml:space="preserve">365</t>
    </r>
    <r>
      <rPr>
        <sz val="9"/>
        <color rgb="FF404040"/>
        <rFont val="WenQuanYi Zen Hei"/>
        <family val="2"/>
      </rPr>
      <t xml:space="preserve">日）。うるう年は </t>
    </r>
    <r>
      <rPr>
        <sz val="9"/>
        <color rgb="FF404040"/>
        <rFont val="Meiryo"/>
        <family val="0"/>
        <charset val="1"/>
      </rPr>
      <t xml:space="preserve">2/29 </t>
    </r>
    <r>
      <rPr>
        <sz val="9"/>
        <color rgb="FF404040"/>
        <rFont val="WenQuanYi Zen Hei"/>
        <family val="2"/>
      </rPr>
      <t xml:space="preserve">が区分②に入り、区分②が</t>
    </r>
    <r>
      <rPr>
        <sz val="9"/>
        <color rgb="FF404040"/>
        <rFont val="Meiryo"/>
        <family val="0"/>
        <charset val="1"/>
      </rPr>
      <t xml:space="preserve">16</t>
    </r>
    <r>
      <rPr>
        <sz val="9"/>
        <color rgb="FF404040"/>
        <rFont val="WenQuanYi Zen Hei"/>
        <family val="2"/>
      </rPr>
      <t xml:space="preserve">日・合計</t>
    </r>
    <r>
      <rPr>
        <sz val="9"/>
        <color rgb="FF404040"/>
        <rFont val="Meiryo"/>
        <family val="0"/>
        <charset val="1"/>
      </rPr>
      <t xml:space="preserve">366</t>
    </r>
    <r>
      <rPr>
        <sz val="9"/>
        <color rgb="FF404040"/>
        <rFont val="WenQuanYi Zen Hei"/>
        <family val="2"/>
      </rPr>
      <t xml:space="preserve">日になります。</t>
    </r>
  </si>
  <si>
    <r>
      <rPr>
        <sz val="9"/>
        <color rgb="FF404040"/>
        <rFont val="WenQuanYi Zen Hei"/>
        <family val="2"/>
      </rPr>
      <t xml:space="preserve">・備考欄が黄色の区分（②④⑥⑧）は、</t>
    </r>
    <r>
      <rPr>
        <sz val="9"/>
        <color rgb="FF404040"/>
        <rFont val="Meiryo"/>
        <family val="0"/>
        <charset val="1"/>
      </rPr>
      <t xml:space="preserve">S</t>
    </r>
    <r>
      <rPr>
        <sz val="9"/>
        <color rgb="FF404040"/>
        <rFont val="WenQuanYi Zen Hei"/>
        <family val="2"/>
      </rPr>
      <t xml:space="preserve">値と混和剤のどちらか一方だけが切り替わる「ずれ期間」です。</t>
    </r>
  </si>
  <si>
    <r>
      <rPr>
        <sz val="9"/>
        <color rgb="FF404040"/>
        <rFont val="WenQuanYi Zen Hei"/>
        <family val="2"/>
      </rPr>
      <t xml:space="preserve">・出典：ご提示条件（</t>
    </r>
    <r>
      <rPr>
        <sz val="9"/>
        <color rgb="FF404040"/>
        <rFont val="Meiryo"/>
        <family val="0"/>
        <charset val="1"/>
      </rPr>
      <t xml:space="preserve">2026-08-24 </t>
    </r>
    <r>
      <rPr>
        <sz val="9"/>
        <color rgb="FF404040"/>
        <rFont val="WenQuanYi Zen Hei"/>
        <family val="2"/>
      </rPr>
      <t xml:space="preserve">受領）。</t>
    </r>
  </si>
  <si>
    <r>
      <rPr>
        <b val="true"/>
        <sz val="14"/>
        <color rgb="FF1F4E79"/>
        <rFont val="WenQuanYi Zen Hei"/>
        <family val="2"/>
      </rPr>
      <t xml:space="preserve">年間カレンダー（</t>
    </r>
    <r>
      <rPr>
        <b val="true"/>
        <sz val="14"/>
        <color rgb="FF1F4E79"/>
        <rFont val="Meiryo"/>
        <family val="0"/>
        <charset val="1"/>
      </rPr>
      <t xml:space="preserve">S</t>
    </r>
    <r>
      <rPr>
        <b val="true"/>
        <sz val="14"/>
        <color rgb="FF1F4E79"/>
        <rFont val="WenQuanYi Zen Hei"/>
        <family val="2"/>
      </rPr>
      <t xml:space="preserve">値補正／混和剤の適用期）</t>
    </r>
  </si>
  <si>
    <r>
      <rPr>
        <sz val="9"/>
        <color rgb="FF595959"/>
        <rFont val="Meiryo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日ごとの判定を月</t>
    </r>
    <r>
      <rPr>
        <sz val="9"/>
        <color rgb="FF595959"/>
        <rFont val="Meiryo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日のマトリクスで表示します。値は「日別データ」から自動参照しています。</t>
    </r>
  </si>
  <si>
    <r>
      <rPr>
        <b val="true"/>
        <sz val="11"/>
        <color rgb="FF000000"/>
        <rFont val="Meiryo"/>
        <family val="0"/>
        <charset val="1"/>
      </rPr>
      <t xml:space="preserve">■ S</t>
    </r>
    <r>
      <rPr>
        <b val="true"/>
        <sz val="11"/>
        <color rgb="FF000000"/>
        <rFont val="WenQuanYi Zen Hei"/>
        <family val="2"/>
      </rPr>
      <t xml:space="preserve">値補正（</t>
    </r>
    <r>
      <rPr>
        <b val="true"/>
        <sz val="11"/>
        <color rgb="FF000000"/>
        <rFont val="Meiryo"/>
        <family val="0"/>
        <charset val="1"/>
      </rPr>
      <t xml:space="preserve">+6</t>
    </r>
    <r>
      <rPr>
        <b val="true"/>
        <sz val="11"/>
        <color rgb="FF000000"/>
        <rFont val="WenQuanYi Zen Hei"/>
        <family val="2"/>
      </rPr>
      <t xml:space="preserve">／</t>
    </r>
    <r>
      <rPr>
        <b val="true"/>
        <sz val="11"/>
        <color rgb="FF000000"/>
        <rFont val="Meiryo"/>
        <family val="0"/>
        <charset val="1"/>
      </rPr>
      <t xml:space="preserve">+3</t>
    </r>
    <r>
      <rPr>
        <b val="true"/>
        <sz val="11"/>
        <color rgb="FF000000"/>
        <rFont val="WenQuanYi Zen Hei"/>
        <family val="2"/>
      </rPr>
      <t xml:space="preserve">）</t>
    </r>
  </si>
  <si>
    <t xml:space="preserve">月＼日</t>
  </si>
  <si>
    <t xml:space="preserve">■ 混和剤の適用期（標＝標準期・標準形／夏＝夏期・遅延形／冬＝冬期・標準形）</t>
  </si>
  <si>
    <t xml:space="preserve">【凡例】</t>
  </si>
  <si>
    <r>
      <rPr>
        <sz val="9"/>
        <color rgb="FF000000"/>
        <rFont val="Meiryo"/>
        <family val="0"/>
        <charset val="1"/>
      </rPr>
      <t xml:space="preserve">S</t>
    </r>
    <r>
      <rPr>
        <sz val="9"/>
        <color rgb="FF000000"/>
        <rFont val="WenQuanYi Zen Hei"/>
        <family val="2"/>
      </rPr>
      <t xml:space="preserve">値</t>
    </r>
    <r>
      <rPr>
        <sz val="9"/>
        <color rgb="FF000000"/>
        <rFont val="Meiryo"/>
        <family val="0"/>
        <charset val="1"/>
      </rPr>
      <t xml:space="preserve">+6</t>
    </r>
  </si>
  <si>
    <r>
      <rPr>
        <sz val="9"/>
        <color rgb="FF000000"/>
        <rFont val="Meiryo"/>
        <family val="0"/>
        <charset val="1"/>
      </rPr>
      <t xml:space="preserve">S</t>
    </r>
    <r>
      <rPr>
        <sz val="9"/>
        <color rgb="FF000000"/>
        <rFont val="WenQuanYi Zen Hei"/>
        <family val="2"/>
      </rPr>
      <t xml:space="preserve">値</t>
    </r>
    <r>
      <rPr>
        <sz val="9"/>
        <color rgb="FF000000"/>
        <rFont val="Meiryo"/>
        <family val="0"/>
        <charset val="1"/>
      </rPr>
      <t xml:space="preserve">+3</t>
    </r>
  </si>
  <si>
    <t xml:space="preserve">標＝標準期（標準形）</t>
  </si>
  <si>
    <t xml:space="preserve">夏＝夏期（遅延形）</t>
  </si>
  <si>
    <t xml:space="preserve">冬＝冬期（標準形）</t>
  </si>
  <si>
    <r>
      <rPr>
        <sz val="9"/>
        <color rgb="FF404040"/>
        <rFont val="WenQuanYi Zen Hei"/>
        <family val="2"/>
      </rPr>
      <t xml:space="preserve">※ 空欄はその月に存在しない日（例：</t>
    </r>
    <r>
      <rPr>
        <sz val="9"/>
        <color rgb="FF404040"/>
        <rFont val="Meiryo"/>
        <family val="0"/>
        <charset val="1"/>
      </rPr>
      <t xml:space="preserve">2/30</t>
    </r>
    <r>
      <rPr>
        <sz val="9"/>
        <color rgb="FF404040"/>
        <rFont val="WenQuanYi Zen Hei"/>
        <family val="2"/>
      </rPr>
      <t xml:space="preserve">）です。日数は平年基準のため </t>
    </r>
    <r>
      <rPr>
        <sz val="9"/>
        <color rgb="FF404040"/>
        <rFont val="Meiryo"/>
        <family val="0"/>
        <charset val="1"/>
      </rPr>
      <t xml:space="preserve">2/29 </t>
    </r>
    <r>
      <rPr>
        <sz val="9"/>
        <color rgb="FF404040"/>
        <rFont val="WenQuanYi Zen Hei"/>
        <family val="2"/>
      </rPr>
      <t xml:space="preserve">は表示されません。</t>
    </r>
  </si>
  <si>
    <t xml:space="preserve">前提条件（入力シート）</t>
  </si>
  <si>
    <t xml:space="preserve">黄色のセルが入力欄です。月・日を書き換えると「日別データ」「年間カレンダー」「年間区分表」が自動で再計算されます。</t>
  </si>
  <si>
    <r>
      <rPr>
        <b val="true"/>
        <sz val="11"/>
        <color rgb="FF000000"/>
        <rFont val="WenQuanYi Zen Hei"/>
        <family val="2"/>
      </rPr>
      <t xml:space="preserve">■ スランプ（</t>
    </r>
    <r>
      <rPr>
        <b val="true"/>
        <sz val="11"/>
        <color rgb="FF000000"/>
        <rFont val="Meiryo"/>
        <family val="0"/>
        <charset val="1"/>
      </rPr>
      <t xml:space="preserve">S</t>
    </r>
    <r>
      <rPr>
        <b val="true"/>
        <sz val="11"/>
        <color rgb="FF000000"/>
        <rFont val="WenQuanYi Zen Hei"/>
        <family val="2"/>
      </rPr>
      <t xml:space="preserve">値）の補正期間</t>
    </r>
  </si>
  <si>
    <t xml:space="preserve">開始月</t>
  </si>
  <si>
    <t xml:space="preserve">開始日</t>
  </si>
  <si>
    <t xml:space="preserve">終了月</t>
  </si>
  <si>
    <t xml:space="preserve">終了日</t>
  </si>
  <si>
    <r>
      <rPr>
        <sz val="11"/>
        <color rgb="FF000000"/>
        <rFont val="Meiryo"/>
        <family val="0"/>
        <charset val="1"/>
      </rPr>
      <t xml:space="preserve">S</t>
    </r>
    <r>
      <rPr>
        <sz val="11"/>
        <color rgb="FF000000"/>
        <rFont val="WenQuanYi Zen Hei"/>
        <family val="2"/>
      </rPr>
      <t xml:space="preserve">値</t>
    </r>
    <r>
      <rPr>
        <sz val="11"/>
        <color rgb="FF000000"/>
        <rFont val="Meiryo"/>
        <family val="0"/>
        <charset val="1"/>
      </rPr>
      <t xml:space="preserve">+6</t>
    </r>
    <r>
      <rPr>
        <sz val="11"/>
        <color rgb="FF000000"/>
        <rFont val="WenQuanYi Zen Hei"/>
        <family val="2"/>
      </rPr>
      <t xml:space="preserve">　期間①</t>
    </r>
  </si>
  <si>
    <r>
      <rPr>
        <sz val="11"/>
        <color rgb="FF000000"/>
        <rFont val="Meiryo"/>
        <family val="0"/>
        <charset val="1"/>
      </rPr>
      <t xml:space="preserve">S</t>
    </r>
    <r>
      <rPr>
        <sz val="11"/>
        <color rgb="FF000000"/>
        <rFont val="WenQuanYi Zen Hei"/>
        <family val="2"/>
      </rPr>
      <t xml:space="preserve">値</t>
    </r>
    <r>
      <rPr>
        <sz val="11"/>
        <color rgb="FF000000"/>
        <rFont val="Meiryo"/>
        <family val="0"/>
        <charset val="1"/>
      </rPr>
      <t xml:space="preserve">+6</t>
    </r>
    <r>
      <rPr>
        <sz val="11"/>
        <color rgb="FF000000"/>
        <rFont val="WenQuanYi Zen Hei"/>
        <family val="2"/>
      </rPr>
      <t xml:space="preserve">　期間②（年をまたぐ）</t>
    </r>
  </si>
  <si>
    <r>
      <rPr>
        <sz val="11"/>
        <color rgb="FF000000"/>
        <rFont val="Meiryo"/>
        <family val="0"/>
        <charset val="1"/>
      </rPr>
      <t xml:space="preserve">S</t>
    </r>
    <r>
      <rPr>
        <sz val="11"/>
        <color rgb="FF000000"/>
        <rFont val="WenQuanYi Zen Hei"/>
        <family val="2"/>
      </rPr>
      <t xml:space="preserve">値</t>
    </r>
    <r>
      <rPr>
        <sz val="11"/>
        <color rgb="FF000000"/>
        <rFont val="Meiryo"/>
        <family val="0"/>
        <charset val="1"/>
      </rPr>
      <t xml:space="preserve">+3</t>
    </r>
    <r>
      <rPr>
        <sz val="11"/>
        <color rgb="FF000000"/>
        <rFont val="WenQuanYi Zen Hei"/>
        <family val="2"/>
      </rPr>
      <t xml:space="preserve">（上記以外の期間）</t>
    </r>
  </si>
  <si>
    <t xml:space="preserve">－</t>
  </si>
  <si>
    <r>
      <rPr>
        <b val="true"/>
        <sz val="11"/>
        <color rgb="FF000000"/>
        <rFont val="WenQuanYi Zen Hei"/>
        <family val="2"/>
      </rPr>
      <t xml:space="preserve">■ 混和剤の適用期間（</t>
    </r>
    <r>
      <rPr>
        <b val="true"/>
        <sz val="11"/>
        <color rgb="FF000000"/>
        <rFont val="Meiryo"/>
        <family val="0"/>
        <charset val="1"/>
      </rPr>
      <t xml:space="preserve">AE</t>
    </r>
    <r>
      <rPr>
        <b val="true"/>
        <sz val="11"/>
        <color rgb="FF000000"/>
        <rFont val="WenQuanYi Zen Hei"/>
        <family val="2"/>
      </rPr>
      <t xml:space="preserve">減水剤／高性能</t>
    </r>
    <r>
      <rPr>
        <b val="true"/>
        <sz val="11"/>
        <color rgb="FF000000"/>
        <rFont val="Meiryo"/>
        <family val="0"/>
        <charset val="1"/>
      </rPr>
      <t xml:space="preserve">AE</t>
    </r>
    <r>
      <rPr>
        <b val="true"/>
        <sz val="11"/>
        <color rgb="FF000000"/>
        <rFont val="WenQuanYi Zen Hei"/>
        <family val="2"/>
      </rPr>
      <t xml:space="preserve">減水剤 共通）</t>
    </r>
  </si>
  <si>
    <t xml:space="preserve">混和剤の種類（形式）</t>
  </si>
  <si>
    <t xml:space="preserve">適用期</t>
  </si>
  <si>
    <t xml:space="preserve">標準形</t>
  </si>
  <si>
    <t xml:space="preserve">標準期</t>
  </si>
  <si>
    <t xml:space="preserve">遅延形</t>
  </si>
  <si>
    <t xml:space="preserve">夏期</t>
  </si>
  <si>
    <t xml:space="preserve">冬期</t>
  </si>
  <si>
    <t xml:space="preserve">【前提・注記】</t>
  </si>
  <si>
    <r>
      <rPr>
        <sz val="9"/>
        <color rgb="FF404040"/>
        <rFont val="WenQuanYi Zen Hei"/>
        <family val="2"/>
      </rPr>
      <t xml:space="preserve">・出典：ご提示条件（</t>
    </r>
    <r>
      <rPr>
        <sz val="9"/>
        <color rgb="FF404040"/>
        <rFont val="Meiryo"/>
        <family val="0"/>
        <charset val="1"/>
      </rPr>
      <t xml:space="preserve">2026-08-24 </t>
    </r>
    <r>
      <rPr>
        <sz val="9"/>
        <color rgb="FF404040"/>
        <rFont val="WenQuanYi Zen Hei"/>
        <family val="2"/>
      </rPr>
      <t xml:space="preserve">受領）。</t>
    </r>
    <r>
      <rPr>
        <sz val="9"/>
        <color rgb="FF404040"/>
        <rFont val="Meiryo"/>
        <family val="0"/>
        <charset val="1"/>
      </rPr>
      <t xml:space="preserve">S</t>
    </r>
    <r>
      <rPr>
        <sz val="9"/>
        <color rgb="FF404040"/>
        <rFont val="WenQuanYi Zen Hei"/>
        <family val="2"/>
      </rPr>
      <t xml:space="preserve">値</t>
    </r>
    <r>
      <rPr>
        <sz val="9"/>
        <color rgb="FF404040"/>
        <rFont val="Meiryo"/>
        <family val="0"/>
        <charset val="1"/>
      </rPr>
      <t xml:space="preserve">+6</t>
    </r>
    <r>
      <rPr>
        <sz val="9"/>
        <color rgb="FF404040"/>
        <rFont val="WenQuanYi Zen Hei"/>
        <family val="2"/>
      </rPr>
      <t xml:space="preserve">＝</t>
    </r>
    <r>
      <rPr>
        <sz val="9"/>
        <color rgb="FF404040"/>
        <rFont val="Meiryo"/>
        <family val="0"/>
        <charset val="1"/>
      </rPr>
      <t xml:space="preserve">6/30</t>
    </r>
    <r>
      <rPr>
        <sz val="9"/>
        <color rgb="FF404040"/>
        <rFont val="WenQuanYi Zen Hei"/>
        <family val="2"/>
      </rPr>
      <t xml:space="preserve">～</t>
    </r>
    <r>
      <rPr>
        <sz val="9"/>
        <color rgb="FF404040"/>
        <rFont val="Meiryo"/>
        <family val="0"/>
        <charset val="1"/>
      </rPr>
      <t xml:space="preserve">9/14, 11/27</t>
    </r>
    <r>
      <rPr>
        <sz val="9"/>
        <color rgb="FF404040"/>
        <rFont val="WenQuanYi Zen Hei"/>
        <family val="2"/>
      </rPr>
      <t xml:space="preserve">～</t>
    </r>
    <r>
      <rPr>
        <sz val="9"/>
        <color rgb="FF404040"/>
        <rFont val="Meiryo"/>
        <family val="0"/>
        <charset val="1"/>
      </rPr>
      <t xml:space="preserve">2/20</t>
    </r>
    <r>
      <rPr>
        <sz val="9"/>
        <color rgb="FF404040"/>
        <rFont val="WenQuanYi Zen Hei"/>
        <family val="2"/>
      </rPr>
      <t xml:space="preserve">／それ以外は</t>
    </r>
    <r>
      <rPr>
        <sz val="9"/>
        <color rgb="FF404040"/>
        <rFont val="Meiryo"/>
        <family val="0"/>
        <charset val="1"/>
      </rPr>
      <t xml:space="preserve">S</t>
    </r>
    <r>
      <rPr>
        <sz val="9"/>
        <color rgb="FF404040"/>
        <rFont val="WenQuanYi Zen Hei"/>
        <family val="2"/>
      </rPr>
      <t xml:space="preserve">値</t>
    </r>
    <r>
      <rPr>
        <sz val="9"/>
        <color rgb="FF404040"/>
        <rFont val="Meiryo"/>
        <family val="0"/>
        <charset val="1"/>
      </rPr>
      <t xml:space="preserve">+3</t>
    </r>
    <r>
      <rPr>
        <sz val="9"/>
        <color rgb="FF404040"/>
        <rFont val="WenQuanYi Zen Hei"/>
        <family val="2"/>
      </rPr>
      <t xml:space="preserve">。</t>
    </r>
  </si>
  <si>
    <r>
      <rPr>
        <sz val="9"/>
        <color rgb="FF404040"/>
        <rFont val="WenQuanYi Zen Hei"/>
        <family val="2"/>
      </rPr>
      <t xml:space="preserve">・混和剤は</t>
    </r>
    <r>
      <rPr>
        <sz val="9"/>
        <color rgb="FF404040"/>
        <rFont val="Meiryo"/>
        <family val="0"/>
        <charset val="1"/>
      </rPr>
      <t xml:space="preserve">AE</t>
    </r>
    <r>
      <rPr>
        <sz val="9"/>
        <color rgb="FF404040"/>
        <rFont val="WenQuanYi Zen Hei"/>
        <family val="2"/>
      </rPr>
      <t xml:space="preserve">減水剤・高性能</t>
    </r>
    <r>
      <rPr>
        <sz val="9"/>
        <color rgb="FF404040"/>
        <rFont val="Meiryo"/>
        <family val="0"/>
        <charset val="1"/>
      </rPr>
      <t xml:space="preserve">AE</t>
    </r>
    <r>
      <rPr>
        <sz val="9"/>
        <color rgb="FF404040"/>
        <rFont val="WenQuanYi Zen Hei"/>
        <family val="2"/>
      </rPr>
      <t xml:space="preserve">減水剤とも同一日程（標準期 </t>
    </r>
    <r>
      <rPr>
        <sz val="9"/>
        <color rgb="FF404040"/>
        <rFont val="Meiryo"/>
        <family val="0"/>
        <charset val="1"/>
      </rPr>
      <t xml:space="preserve">3/8</t>
    </r>
    <r>
      <rPr>
        <sz val="9"/>
        <color rgb="FF404040"/>
        <rFont val="WenQuanYi Zen Hei"/>
        <family val="2"/>
      </rPr>
      <t xml:space="preserve">～</t>
    </r>
    <r>
      <rPr>
        <sz val="9"/>
        <color rgb="FF404040"/>
        <rFont val="Meiryo"/>
        <family val="0"/>
        <charset val="1"/>
      </rPr>
      <t xml:space="preserve">6/15</t>
    </r>
    <r>
      <rPr>
        <sz val="9"/>
        <color rgb="FF404040"/>
        <rFont val="WenQuanYi Zen Hei"/>
        <family val="2"/>
      </rPr>
      <t xml:space="preserve">・</t>
    </r>
    <r>
      <rPr>
        <sz val="9"/>
        <color rgb="FF404040"/>
        <rFont val="Meiryo"/>
        <family val="0"/>
        <charset val="1"/>
      </rPr>
      <t xml:space="preserve">9/24</t>
    </r>
    <r>
      <rPr>
        <sz val="9"/>
        <color rgb="FF404040"/>
        <rFont val="WenQuanYi Zen Hei"/>
        <family val="2"/>
      </rPr>
      <t xml:space="preserve">～</t>
    </r>
    <r>
      <rPr>
        <sz val="9"/>
        <color rgb="FF404040"/>
        <rFont val="Meiryo"/>
        <family val="0"/>
        <charset val="1"/>
      </rPr>
      <t xml:space="preserve">12/7</t>
    </r>
    <r>
      <rPr>
        <sz val="9"/>
        <color rgb="FF404040"/>
        <rFont val="WenQuanYi Zen Hei"/>
        <family val="2"/>
      </rPr>
      <t xml:space="preserve">、夏期 </t>
    </r>
    <r>
      <rPr>
        <sz val="9"/>
        <color rgb="FF404040"/>
        <rFont val="Meiryo"/>
        <family val="0"/>
        <charset val="1"/>
      </rPr>
      <t xml:space="preserve">6/16</t>
    </r>
    <r>
      <rPr>
        <sz val="9"/>
        <color rgb="FF404040"/>
        <rFont val="WenQuanYi Zen Hei"/>
        <family val="2"/>
      </rPr>
      <t xml:space="preserve">～</t>
    </r>
    <r>
      <rPr>
        <sz val="9"/>
        <color rgb="FF404040"/>
        <rFont val="Meiryo"/>
        <family val="0"/>
        <charset val="1"/>
      </rPr>
      <t xml:space="preserve">9/23</t>
    </r>
    <r>
      <rPr>
        <sz val="9"/>
        <color rgb="FF404040"/>
        <rFont val="WenQuanYi Zen Hei"/>
        <family val="2"/>
      </rPr>
      <t xml:space="preserve">、冬期 </t>
    </r>
    <r>
      <rPr>
        <sz val="9"/>
        <color rgb="FF404040"/>
        <rFont val="Meiryo"/>
        <family val="0"/>
        <charset val="1"/>
      </rPr>
      <t xml:space="preserve">12/8</t>
    </r>
    <r>
      <rPr>
        <sz val="9"/>
        <color rgb="FF404040"/>
        <rFont val="WenQuanYi Zen Hei"/>
        <family val="2"/>
      </rPr>
      <t xml:space="preserve">～</t>
    </r>
    <r>
      <rPr>
        <sz val="9"/>
        <color rgb="FF404040"/>
        <rFont val="Meiryo"/>
        <family val="0"/>
        <charset val="1"/>
      </rPr>
      <t xml:space="preserve">3/7</t>
    </r>
    <r>
      <rPr>
        <sz val="9"/>
        <color rgb="FF404040"/>
        <rFont val="WenQuanYi Zen Hei"/>
        <family val="2"/>
      </rPr>
      <t xml:space="preserve">）。</t>
    </r>
  </si>
  <si>
    <r>
      <rPr>
        <sz val="9"/>
        <color rgb="FF404040"/>
        <rFont val="WenQuanYi Zen Hei"/>
        <family val="2"/>
      </rPr>
      <t xml:space="preserve">・「開始キー／終了キー」は月</t>
    </r>
    <r>
      <rPr>
        <sz val="9"/>
        <color rgb="FF404040"/>
        <rFont val="Meiryo"/>
        <family val="0"/>
        <charset val="1"/>
      </rPr>
      <t xml:space="preserve">×100</t>
    </r>
    <r>
      <rPr>
        <sz val="9"/>
        <color rgb="FF404040"/>
        <rFont val="WenQuanYi Zen Hei"/>
        <family val="2"/>
      </rPr>
      <t xml:space="preserve">＋日で表した判定用の数値（例：</t>
    </r>
    <r>
      <rPr>
        <sz val="9"/>
        <color rgb="FF404040"/>
        <rFont val="Meiryo"/>
        <family val="0"/>
        <charset val="1"/>
      </rPr>
      <t xml:space="preserve">6/30→630</t>
    </r>
    <r>
      <rPr>
        <sz val="9"/>
        <color rgb="FF404040"/>
        <rFont val="WenQuanYi Zen Hei"/>
        <family val="2"/>
      </rPr>
      <t xml:space="preserve">）。年をまたぐ期間も判定できます。</t>
    </r>
  </si>
  <si>
    <r>
      <rPr>
        <sz val="9"/>
        <color rgb="FF404040"/>
        <rFont val="WenQuanYi Zen Hei"/>
        <family val="2"/>
      </rPr>
      <t xml:space="preserve">・日数は平年（</t>
    </r>
    <r>
      <rPr>
        <sz val="9"/>
        <color rgb="FF404040"/>
        <rFont val="Meiryo"/>
        <family val="0"/>
        <charset val="1"/>
      </rPr>
      <t xml:space="preserve">365</t>
    </r>
    <r>
      <rPr>
        <sz val="9"/>
        <color rgb="FF404040"/>
        <rFont val="WenQuanYi Zen Hei"/>
        <family val="2"/>
      </rPr>
      <t xml:space="preserve">日）で集計しています。うるう年は </t>
    </r>
    <r>
      <rPr>
        <sz val="9"/>
        <color rgb="FF404040"/>
        <rFont val="Meiryo"/>
        <family val="0"/>
        <charset val="1"/>
      </rPr>
      <t xml:space="preserve">2/29 </t>
    </r>
    <r>
      <rPr>
        <sz val="9"/>
        <color rgb="FF404040"/>
        <rFont val="WenQuanYi Zen Hei"/>
        <family val="2"/>
      </rPr>
      <t xml:space="preserve">が区分②（</t>
    </r>
    <r>
      <rPr>
        <sz val="9"/>
        <color rgb="FF404040"/>
        <rFont val="Meiryo"/>
        <family val="0"/>
        <charset val="1"/>
      </rPr>
      <t xml:space="preserve">S</t>
    </r>
    <r>
      <rPr>
        <sz val="9"/>
        <color rgb="FF404040"/>
        <rFont val="WenQuanYi Zen Hei"/>
        <family val="2"/>
      </rPr>
      <t xml:space="preserve">値</t>
    </r>
    <r>
      <rPr>
        <sz val="9"/>
        <color rgb="FF404040"/>
        <rFont val="Meiryo"/>
        <family val="0"/>
        <charset val="1"/>
      </rPr>
      <t xml:space="preserve">+3</t>
    </r>
    <r>
      <rPr>
        <sz val="9"/>
        <color rgb="FF404040"/>
        <rFont val="WenQuanYi Zen Hei"/>
        <family val="2"/>
      </rPr>
      <t xml:space="preserve">・冬期／標準形）に入り、同区分が</t>
    </r>
    <r>
      <rPr>
        <sz val="9"/>
        <color rgb="FF404040"/>
        <rFont val="Meiryo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日増えます。</t>
    </r>
  </si>
  <si>
    <r>
      <rPr>
        <b val="true"/>
        <sz val="14"/>
        <color rgb="FF1F4E79"/>
        <rFont val="WenQuanYi Zen Hei"/>
        <family val="2"/>
      </rPr>
      <t xml:space="preserve">日別データ（平年</t>
    </r>
    <r>
      <rPr>
        <b val="true"/>
        <sz val="14"/>
        <color rgb="FF1F4E79"/>
        <rFont val="Meiryo"/>
        <family val="0"/>
        <charset val="1"/>
      </rPr>
      <t xml:space="preserve">365</t>
    </r>
    <r>
      <rPr>
        <b val="true"/>
        <sz val="14"/>
        <color rgb="FF1F4E79"/>
        <rFont val="WenQuanYi Zen Hei"/>
        <family val="2"/>
      </rPr>
      <t xml:space="preserve">日の自動判定）</t>
    </r>
  </si>
  <si>
    <r>
      <rPr>
        <sz val="9"/>
        <color rgb="FF595959"/>
        <rFont val="WenQuanYi Zen Hei"/>
        <family val="2"/>
      </rPr>
      <t xml:space="preserve">「前提条件」シートの期間から、</t>
    </r>
    <r>
      <rPr>
        <sz val="9"/>
        <color rgb="FF595959"/>
        <rFont val="Meiryo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日ごとの</t>
    </r>
    <r>
      <rPr>
        <sz val="9"/>
        <color rgb="FF595959"/>
        <rFont val="Meiryo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値補正・混和剤の種類・適用期を数式で判定しています。</t>
    </r>
  </si>
  <si>
    <r>
      <rPr>
        <sz val="9"/>
        <color rgb="FF808080"/>
        <rFont val="WenQuanYi Zen Hei"/>
        <family val="2"/>
      </rPr>
      <t xml:space="preserve">▼ 判定用（</t>
    </r>
    <r>
      <rPr>
        <sz val="9"/>
        <color rgb="FF808080"/>
        <rFont val="Meiryo"/>
        <family val="0"/>
        <charset val="1"/>
      </rPr>
      <t xml:space="preserve">1=</t>
    </r>
    <r>
      <rPr>
        <sz val="9"/>
        <color rgb="FF808080"/>
        <rFont val="WenQuanYi Zen Hei"/>
        <family val="2"/>
      </rPr>
      <t xml:space="preserve">該当）</t>
    </r>
  </si>
  <si>
    <t xml:space="preserve">月</t>
  </si>
  <si>
    <t xml:space="preserve">日</t>
  </si>
  <si>
    <t xml:space="preserve">日付</t>
  </si>
  <si>
    <t xml:space="preserve">判定キー</t>
  </si>
  <si>
    <t xml:space="preserve">S①</t>
  </si>
  <si>
    <t xml:space="preserve">S②</t>
  </si>
  <si>
    <t xml:space="preserve">混①</t>
  </si>
  <si>
    <t xml:space="preserve">混②</t>
  </si>
  <si>
    <t xml:space="preserve">混③</t>
  </si>
  <si>
    <t xml:space="preserve">混④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</si>
</sst>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\日"/>
    <numFmt numFmtId="166" formatCode="\+0"/>
    <numFmt numFmtId="167" formatCode="General"/>
    <numFmt numFmtId="168" formatCode="0\月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WenQuanYi Zen Hei"/>
      <family val="2"/>
    </font>
    <font>
      <b val="true"/>
      <sz val="14"/>
      <color rgb="FF1F4E79"/>
      <name val="Meiryo"/>
      <family val="0"/>
      <charset val="1"/>
    </font>
    <font>
      <sz val="9"/>
      <color rgb="FF595959"/>
      <name val="Meiryo"/>
      <family val="0"/>
      <charset val="1"/>
    </font>
    <font>
      <sz val="9"/>
      <color rgb="FF595959"/>
      <name val="WenQuanYi Zen Hei"/>
      <family val="2"/>
    </font>
    <font>
      <sz val="9"/>
      <color rgb="FF808080"/>
      <name val="WenQuanYi Zen Hei"/>
      <family val="2"/>
    </font>
    <font>
      <b val="true"/>
      <sz val="11"/>
      <color rgb="FF000000"/>
      <name val="WenQuanYi Zen Hei"/>
      <family val="2"/>
    </font>
    <font>
      <b val="true"/>
      <sz val="11"/>
      <color rgb="FF000000"/>
      <name val="Meiryo"/>
      <family val="0"/>
      <charset val="1"/>
    </font>
    <font>
      <b val="true"/>
      <sz val="9"/>
      <color rgb="FF000000"/>
      <name val="WenQuanYi Zen Hei"/>
      <family val="2"/>
    </font>
    <font>
      <sz val="11"/>
      <color rgb="FF0000FF"/>
      <name val="Meiryo"/>
      <family val="0"/>
      <charset val="1"/>
    </font>
    <font>
      <sz val="11"/>
      <color rgb="FF000000"/>
      <name val="Meiryo"/>
      <family val="0"/>
      <charset val="1"/>
    </font>
    <font>
      <sz val="11"/>
      <color rgb="FF000000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Meiryo"/>
      <family val="0"/>
      <charset val="1"/>
    </font>
    <font>
      <sz val="9"/>
      <color rgb="FF000000"/>
      <name val="Meiryo"/>
      <family val="0"/>
      <charset val="1"/>
    </font>
    <font>
      <sz val="9"/>
      <color rgb="FF000000"/>
      <name val="WenQuanYi Zen Hei"/>
      <family val="2"/>
    </font>
    <font>
      <b val="true"/>
      <sz val="10"/>
      <color rgb="FF000000"/>
      <name val="Meiryo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C00000"/>
      <name val="WenQuanYi Zen Hei"/>
      <family val="2"/>
    </font>
    <font>
      <sz val="9"/>
      <color rgb="FF404040"/>
      <name val="WenQuanYi Zen Hei"/>
      <family val="2"/>
    </font>
    <font>
      <sz val="9"/>
      <color rgb="FF404040"/>
      <name val="Meiryo"/>
      <family val="0"/>
      <charset val="1"/>
    </font>
    <font>
      <b val="true"/>
      <sz val="9"/>
      <color rgb="FF000000"/>
      <name val="Meiryo"/>
      <family val="0"/>
      <charset val="1"/>
    </font>
    <font>
      <sz val="11"/>
      <color rgb="FF808080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  <font>
      <sz val="9"/>
      <color rgb="FF808080"/>
      <name val="Meiryo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BDD7EE"/>
      </patternFill>
    </fill>
    <fill>
      <patternFill patternType="solid">
        <fgColor rgb="FFF2F2F2"/>
        <bgColor rgb="FFFFF2CC"/>
      </patternFill>
    </fill>
    <fill>
      <patternFill patternType="solid">
        <fgColor rgb="FFFFD966"/>
        <bgColor rgb="FFF4B183"/>
      </patternFill>
    </fill>
    <fill>
      <patternFill patternType="solid">
        <fgColor rgb="FFBDD7EE"/>
        <bgColor rgb="FFD9E1F2"/>
      </patternFill>
    </fill>
    <fill>
      <patternFill patternType="solid">
        <fgColor rgb="FFC6E0B4"/>
        <bgColor rgb="FFBDD7EE"/>
      </patternFill>
    </fill>
    <fill>
      <patternFill patternType="solid">
        <fgColor rgb="FFF4B183"/>
        <bgColor rgb="FFFFD966"/>
      </patternFill>
    </fill>
    <fill>
      <patternFill patternType="solid">
        <fgColor rgb="FF9DC3E6"/>
        <bgColor rgb="FFBFBFB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FF2CC"/>
        </patternFill>
      </fill>
    </dxf>
    <dxf>
      <fill>
        <patternFill>
          <bgColor rgb="FFFFD966"/>
        </patternFill>
      </fill>
    </dxf>
    <dxf>
      <fill>
        <patternFill>
          <bgColor rgb="FFBDD7EE"/>
        </patternFill>
      </fill>
    </dxf>
    <dxf>
      <fill>
        <patternFill>
          <bgColor rgb="FFF4B183"/>
        </patternFill>
      </fill>
    </dxf>
    <dxf>
      <fill>
        <patternFill>
          <bgColor rgb="FF9DC3E6"/>
        </patternFill>
      </fill>
    </dxf>
    <dxf>
      <fill>
        <patternFill>
          <bgColor rgb="FFC6E0B4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DC3E6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5" min="2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42"/>
    <col collapsed="false" customWidth="true" hidden="false" outlineLevel="0" max="10" min="10" style="0" width="8"/>
    <col collapsed="false" customWidth="true" hidden="false" outlineLevel="0" max="14" min="12" style="0" width="1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L3" s="3" t="s">
        <v>2</v>
      </c>
    </row>
    <row r="4" customFormat="false" ht="31.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5" t="s">
        <v>7</v>
      </c>
      <c r="F4" s="4" t="s">
        <v>8</v>
      </c>
      <c r="G4" s="5" t="s">
        <v>9</v>
      </c>
      <c r="H4" s="4" t="s">
        <v>10</v>
      </c>
      <c r="I4" s="4" t="s">
        <v>11</v>
      </c>
      <c r="J4" s="4" t="s">
        <v>12</v>
      </c>
      <c r="L4" s="6" t="s">
        <v>13</v>
      </c>
      <c r="M4" s="6" t="s">
        <v>14</v>
      </c>
      <c r="N4" s="6" t="s">
        <v>15</v>
      </c>
    </row>
    <row r="5" customFormat="false" ht="15" hidden="false" customHeight="false" outlineLevel="0" collapsed="false">
      <c r="A5" s="7" t="s">
        <v>16</v>
      </c>
      <c r="B5" s="8" t="s">
        <v>17</v>
      </c>
      <c r="C5" s="8" t="s">
        <v>18</v>
      </c>
      <c r="D5" s="9" t="n">
        <f aca="false">IF($L5&lt;=$M5,COUNTIFS(日別データ!$D:$D,"&gt;="&amp;$L5,日別データ!$D:$D,"&lt;="&amp;$M5),COUNTIFS(日別データ!$D:$D,"&gt;="&amp;$L5)+COUNTIFS(日別データ!$D:$D,"&lt;="&amp;$M5))</f>
        <v>51</v>
      </c>
      <c r="E5" s="10" t="n">
        <f aca="false">INDEX(日別データ!$E:$E,MATCH($L5,日別データ!$D:$D,0))</f>
        <v>6</v>
      </c>
      <c r="F5" s="11" t="str">
        <f aca="false">INDEX(日別データ!$G:$G,MATCH($L5,日別データ!$D:$D,0))</f>
        <v>冬期</v>
      </c>
      <c r="G5" s="11" t="str">
        <f aca="false">INDEX(日別データ!$F:$F,MATCH($L5,日別データ!$D:$D,0))</f>
        <v>標準形</v>
      </c>
      <c r="H5" s="11" t="str">
        <f aca="false">$G5</f>
        <v>標準形</v>
      </c>
      <c r="I5" s="12" t="s">
        <v>19</v>
      </c>
      <c r="J5" s="13" t="str">
        <f aca="false">IF(IF($L5&lt;=$M5,COUNTIFS(日別データ!$D:$D,"&gt;="&amp;$L5,日別データ!$D:$D,"&lt;="&amp;$M5,日別データ!$H:$H,$N5),COUNTIFS(日別データ!$D:$D,"&gt;="&amp;$L5,日別データ!$H:$H,$N5)+COUNTIFS(日別データ!$D:$D,"&lt;="&amp;$M5,日別データ!$H:$H,$N5))=$D5,"OK","要確認")</f>
        <v>OK</v>
      </c>
      <c r="L5" s="14" t="n">
        <f aca="false">VALUE(LEFT(B5,FIND("/",B5)-1))*100+VALUE(MID(B5,FIND("/",B5)+1,5))</f>
        <v>101</v>
      </c>
      <c r="M5" s="14" t="n">
        <f aca="false">VALUE(LEFT(C5,FIND("/",C5)-1))*100+VALUE(MID(C5,FIND("/",C5)+1,5))</f>
        <v>220</v>
      </c>
      <c r="N5" s="15" t="str">
        <f aca="false">INDEX(日別データ!$H:$H,MATCH($L5,日別データ!$D:$D,0))</f>
        <v>S値+6／標準形（冬期）</v>
      </c>
    </row>
    <row r="6" customFormat="false" ht="15" hidden="false" customHeight="false" outlineLevel="0" collapsed="false">
      <c r="A6" s="7" t="s">
        <v>20</v>
      </c>
      <c r="B6" s="8" t="s">
        <v>21</v>
      </c>
      <c r="C6" s="8" t="s">
        <v>22</v>
      </c>
      <c r="D6" s="9" t="n">
        <f aca="false">IF($L6&lt;=$M6,COUNTIFS(日別データ!$D:$D,"&gt;="&amp;$L6,日別データ!$D:$D,"&lt;="&amp;$M6),COUNTIFS(日別データ!$D:$D,"&gt;="&amp;$L6)+COUNTIFS(日別データ!$D:$D,"&lt;="&amp;$M6))</f>
        <v>15</v>
      </c>
      <c r="E6" s="10" t="n">
        <f aca="false">INDEX(日別データ!$E:$E,MATCH($L6,日別データ!$D:$D,0))</f>
        <v>3</v>
      </c>
      <c r="F6" s="11" t="str">
        <f aca="false">INDEX(日別データ!$G:$G,MATCH($L6,日別データ!$D:$D,0))</f>
        <v>冬期</v>
      </c>
      <c r="G6" s="11" t="str">
        <f aca="false">INDEX(日別データ!$F:$F,MATCH($L6,日別データ!$D:$D,0))</f>
        <v>標準形</v>
      </c>
      <c r="H6" s="11" t="str">
        <f aca="false">$G6</f>
        <v>標準形</v>
      </c>
      <c r="I6" s="16" t="s">
        <v>23</v>
      </c>
      <c r="J6" s="13" t="str">
        <f aca="false">IF(IF($L6&lt;=$M6,COUNTIFS(日別データ!$D:$D,"&gt;="&amp;$L6,日別データ!$D:$D,"&lt;="&amp;$M6,日別データ!$H:$H,$N6),COUNTIFS(日別データ!$D:$D,"&gt;="&amp;$L6,日別データ!$H:$H,$N6)+COUNTIFS(日別データ!$D:$D,"&lt;="&amp;$M6,日別データ!$H:$H,$N6))=$D6,"OK","要確認")</f>
        <v>OK</v>
      </c>
      <c r="L6" s="14" t="n">
        <f aca="false">VALUE(LEFT(B6,FIND("/",B6)-1))*100+VALUE(MID(B6,FIND("/",B6)+1,5))</f>
        <v>221</v>
      </c>
      <c r="M6" s="14" t="n">
        <f aca="false">VALUE(LEFT(C6,FIND("/",C6)-1))*100+VALUE(MID(C6,FIND("/",C6)+1,5))</f>
        <v>307</v>
      </c>
      <c r="N6" s="15" t="str">
        <f aca="false">INDEX(日別データ!$H:$H,MATCH($L6,日別データ!$D:$D,0))</f>
        <v>S値+3／標準形（冬期）</v>
      </c>
    </row>
    <row r="7" customFormat="false" ht="15" hidden="false" customHeight="false" outlineLevel="0" collapsed="false">
      <c r="A7" s="7" t="s">
        <v>24</v>
      </c>
      <c r="B7" s="8" t="s">
        <v>25</v>
      </c>
      <c r="C7" s="8" t="s">
        <v>26</v>
      </c>
      <c r="D7" s="9" t="n">
        <f aca="false">IF($L7&lt;=$M7,COUNTIFS(日別データ!$D:$D,"&gt;="&amp;$L7,日別データ!$D:$D,"&lt;="&amp;$M7),COUNTIFS(日別データ!$D:$D,"&gt;="&amp;$L7)+COUNTIFS(日別データ!$D:$D,"&lt;="&amp;$M7))</f>
        <v>100</v>
      </c>
      <c r="E7" s="10" t="n">
        <f aca="false">INDEX(日別データ!$E:$E,MATCH($L7,日別データ!$D:$D,0))</f>
        <v>3</v>
      </c>
      <c r="F7" s="11" t="str">
        <f aca="false">INDEX(日別データ!$G:$G,MATCH($L7,日別データ!$D:$D,0))</f>
        <v>標準期</v>
      </c>
      <c r="G7" s="11" t="str">
        <f aca="false">INDEX(日別データ!$F:$F,MATCH($L7,日別データ!$D:$D,0))</f>
        <v>標準形</v>
      </c>
      <c r="H7" s="11" t="str">
        <f aca="false">$G7</f>
        <v>標準形</v>
      </c>
      <c r="I7" s="12" t="s">
        <v>27</v>
      </c>
      <c r="J7" s="13" t="str">
        <f aca="false">IF(IF($L7&lt;=$M7,COUNTIFS(日別データ!$D:$D,"&gt;="&amp;$L7,日別データ!$D:$D,"&lt;="&amp;$M7,日別データ!$H:$H,$N7),COUNTIFS(日別データ!$D:$D,"&gt;="&amp;$L7,日別データ!$H:$H,$N7)+COUNTIFS(日別データ!$D:$D,"&lt;="&amp;$M7,日別データ!$H:$H,$N7))=$D7,"OK","要確認")</f>
        <v>OK</v>
      </c>
      <c r="L7" s="14" t="n">
        <f aca="false">VALUE(LEFT(B7,FIND("/",B7)-1))*100+VALUE(MID(B7,FIND("/",B7)+1,5))</f>
        <v>308</v>
      </c>
      <c r="M7" s="14" t="n">
        <f aca="false">VALUE(LEFT(C7,FIND("/",C7)-1))*100+VALUE(MID(C7,FIND("/",C7)+1,5))</f>
        <v>615</v>
      </c>
      <c r="N7" s="15" t="str">
        <f aca="false">INDEX(日別データ!$H:$H,MATCH($L7,日別データ!$D:$D,0))</f>
        <v>S値+3／標準形（標準期）</v>
      </c>
    </row>
    <row r="8" customFormat="false" ht="15" hidden="false" customHeight="false" outlineLevel="0" collapsed="false">
      <c r="A8" s="7" t="s">
        <v>28</v>
      </c>
      <c r="B8" s="8" t="s">
        <v>29</v>
      </c>
      <c r="C8" s="8" t="s">
        <v>30</v>
      </c>
      <c r="D8" s="9" t="n">
        <f aca="false">IF($L8&lt;=$M8,COUNTIFS(日別データ!$D:$D,"&gt;="&amp;$L8,日別データ!$D:$D,"&lt;="&amp;$M8),COUNTIFS(日別データ!$D:$D,"&gt;="&amp;$L8)+COUNTIFS(日別データ!$D:$D,"&lt;="&amp;$M8))</f>
        <v>14</v>
      </c>
      <c r="E8" s="10" t="n">
        <f aca="false">INDEX(日別データ!$E:$E,MATCH($L8,日別データ!$D:$D,0))</f>
        <v>3</v>
      </c>
      <c r="F8" s="11" t="str">
        <f aca="false">INDEX(日別データ!$G:$G,MATCH($L8,日別データ!$D:$D,0))</f>
        <v>夏期</v>
      </c>
      <c r="G8" s="11" t="str">
        <f aca="false">INDEX(日別データ!$F:$F,MATCH($L8,日別データ!$D:$D,0))</f>
        <v>遅延形</v>
      </c>
      <c r="H8" s="11" t="str">
        <f aca="false">$G8</f>
        <v>遅延形</v>
      </c>
      <c r="I8" s="12" t="s">
        <v>31</v>
      </c>
      <c r="J8" s="13" t="str">
        <f aca="false">IF(IF($L8&lt;=$M8,COUNTIFS(日別データ!$D:$D,"&gt;="&amp;$L8,日別データ!$D:$D,"&lt;="&amp;$M8,日別データ!$H:$H,$N8),COUNTIFS(日別データ!$D:$D,"&gt;="&amp;$L8,日別データ!$H:$H,$N8)+COUNTIFS(日別データ!$D:$D,"&lt;="&amp;$M8,日別データ!$H:$H,$N8))=$D8,"OK","要確認")</f>
        <v>OK</v>
      </c>
      <c r="L8" s="14" t="n">
        <f aca="false">VALUE(LEFT(B8,FIND("/",B8)-1))*100+VALUE(MID(B8,FIND("/",B8)+1,5))</f>
        <v>616</v>
      </c>
      <c r="M8" s="14" t="n">
        <f aca="false">VALUE(LEFT(C8,FIND("/",C8)-1))*100+VALUE(MID(C8,FIND("/",C8)+1,5))</f>
        <v>629</v>
      </c>
      <c r="N8" s="15" t="str">
        <f aca="false">INDEX(日別データ!$H:$H,MATCH($L8,日別データ!$D:$D,0))</f>
        <v>S値+3／遅延形（夏期）</v>
      </c>
    </row>
    <row r="9" customFormat="false" ht="15" hidden="false" customHeight="false" outlineLevel="0" collapsed="false">
      <c r="A9" s="7" t="s">
        <v>32</v>
      </c>
      <c r="B9" s="8" t="s">
        <v>33</v>
      </c>
      <c r="C9" s="8" t="s">
        <v>34</v>
      </c>
      <c r="D9" s="9" t="n">
        <f aca="false">IF($L9&lt;=$M9,COUNTIFS(日別データ!$D:$D,"&gt;="&amp;$L9,日別データ!$D:$D,"&lt;="&amp;$M9),COUNTIFS(日別データ!$D:$D,"&gt;="&amp;$L9)+COUNTIFS(日別データ!$D:$D,"&lt;="&amp;$M9))</f>
        <v>77</v>
      </c>
      <c r="E9" s="10" t="n">
        <f aca="false">INDEX(日別データ!$E:$E,MATCH($L9,日別データ!$D:$D,0))</f>
        <v>6</v>
      </c>
      <c r="F9" s="11" t="str">
        <f aca="false">INDEX(日別データ!$G:$G,MATCH($L9,日別データ!$D:$D,0))</f>
        <v>夏期</v>
      </c>
      <c r="G9" s="11" t="str">
        <f aca="false">INDEX(日別データ!$F:$F,MATCH($L9,日別データ!$D:$D,0))</f>
        <v>遅延形</v>
      </c>
      <c r="H9" s="11" t="str">
        <f aca="false">$G9</f>
        <v>遅延形</v>
      </c>
      <c r="I9" s="12" t="s">
        <v>35</v>
      </c>
      <c r="J9" s="13" t="str">
        <f aca="false">IF(IF($L9&lt;=$M9,COUNTIFS(日別データ!$D:$D,"&gt;="&amp;$L9,日別データ!$D:$D,"&lt;="&amp;$M9,日別データ!$H:$H,$N9),COUNTIFS(日別データ!$D:$D,"&gt;="&amp;$L9,日別データ!$H:$H,$N9)+COUNTIFS(日別データ!$D:$D,"&lt;="&amp;$M9,日別データ!$H:$H,$N9))=$D9,"OK","要確認")</f>
        <v>OK</v>
      </c>
      <c r="L9" s="14" t="n">
        <f aca="false">VALUE(LEFT(B9,FIND("/",B9)-1))*100+VALUE(MID(B9,FIND("/",B9)+1,5))</f>
        <v>630</v>
      </c>
      <c r="M9" s="14" t="n">
        <f aca="false">VALUE(LEFT(C9,FIND("/",C9)-1))*100+VALUE(MID(C9,FIND("/",C9)+1,5))</f>
        <v>914</v>
      </c>
      <c r="N9" s="15" t="str">
        <f aca="false">INDEX(日別データ!$H:$H,MATCH($L9,日別データ!$D:$D,0))</f>
        <v>S値+6／遅延形（夏期）</v>
      </c>
    </row>
    <row r="10" customFormat="false" ht="15" hidden="false" customHeight="false" outlineLevel="0" collapsed="false">
      <c r="A10" s="7" t="s">
        <v>36</v>
      </c>
      <c r="B10" s="8" t="s">
        <v>37</v>
      </c>
      <c r="C10" s="8" t="s">
        <v>38</v>
      </c>
      <c r="D10" s="9" t="n">
        <f aca="false">IF($L10&lt;=$M10,COUNTIFS(日別データ!$D:$D,"&gt;="&amp;$L10,日別データ!$D:$D,"&lt;="&amp;$M10),COUNTIFS(日別データ!$D:$D,"&gt;="&amp;$L10)+COUNTIFS(日別データ!$D:$D,"&lt;="&amp;$M10))</f>
        <v>9</v>
      </c>
      <c r="E10" s="10" t="n">
        <f aca="false">INDEX(日別データ!$E:$E,MATCH($L10,日別データ!$D:$D,0))</f>
        <v>3</v>
      </c>
      <c r="F10" s="11" t="str">
        <f aca="false">INDEX(日別データ!$G:$G,MATCH($L10,日別データ!$D:$D,0))</f>
        <v>夏期</v>
      </c>
      <c r="G10" s="11" t="str">
        <f aca="false">INDEX(日別データ!$F:$F,MATCH($L10,日別データ!$D:$D,0))</f>
        <v>遅延形</v>
      </c>
      <c r="H10" s="11" t="str">
        <f aca="false">$G10</f>
        <v>遅延形</v>
      </c>
      <c r="I10" s="16" t="s">
        <v>39</v>
      </c>
      <c r="J10" s="13" t="str">
        <f aca="false">IF(IF($L10&lt;=$M10,COUNTIFS(日別データ!$D:$D,"&gt;="&amp;$L10,日別データ!$D:$D,"&lt;="&amp;$M10,日別データ!$H:$H,$N10),COUNTIFS(日別データ!$D:$D,"&gt;="&amp;$L10,日別データ!$H:$H,$N10)+COUNTIFS(日別データ!$D:$D,"&lt;="&amp;$M10,日別データ!$H:$H,$N10))=$D10,"OK","要確認")</f>
        <v>OK</v>
      </c>
      <c r="L10" s="14" t="n">
        <f aca="false">VALUE(LEFT(B10,FIND("/",B10)-1))*100+VALUE(MID(B10,FIND("/",B10)+1,5))</f>
        <v>915</v>
      </c>
      <c r="M10" s="14" t="n">
        <f aca="false">VALUE(LEFT(C10,FIND("/",C10)-1))*100+VALUE(MID(C10,FIND("/",C10)+1,5))</f>
        <v>923</v>
      </c>
      <c r="N10" s="15" t="str">
        <f aca="false">INDEX(日別データ!$H:$H,MATCH($L10,日別データ!$D:$D,0))</f>
        <v>S値+3／遅延形（夏期）</v>
      </c>
    </row>
    <row r="11" customFormat="false" ht="15" hidden="false" customHeight="false" outlineLevel="0" collapsed="false">
      <c r="A11" s="7" t="s">
        <v>40</v>
      </c>
      <c r="B11" s="8" t="s">
        <v>41</v>
      </c>
      <c r="C11" s="8" t="s">
        <v>42</v>
      </c>
      <c r="D11" s="9" t="n">
        <f aca="false">IF($L11&lt;=$M11,COUNTIFS(日別データ!$D:$D,"&gt;="&amp;$L11,日別データ!$D:$D,"&lt;="&amp;$M11),COUNTIFS(日別データ!$D:$D,"&gt;="&amp;$L11)+COUNTIFS(日別データ!$D:$D,"&lt;="&amp;$M11))</f>
        <v>64</v>
      </c>
      <c r="E11" s="10" t="n">
        <f aca="false">INDEX(日別データ!$E:$E,MATCH($L11,日別データ!$D:$D,0))</f>
        <v>3</v>
      </c>
      <c r="F11" s="11" t="str">
        <f aca="false">INDEX(日別データ!$G:$G,MATCH($L11,日別データ!$D:$D,0))</f>
        <v>標準期</v>
      </c>
      <c r="G11" s="11" t="str">
        <f aca="false">INDEX(日別データ!$F:$F,MATCH($L11,日別データ!$D:$D,0))</f>
        <v>標準形</v>
      </c>
      <c r="H11" s="11" t="str">
        <f aca="false">$G11</f>
        <v>標準形</v>
      </c>
      <c r="I11" s="12" t="s">
        <v>43</v>
      </c>
      <c r="J11" s="13" t="str">
        <f aca="false">IF(IF($L11&lt;=$M11,COUNTIFS(日別データ!$D:$D,"&gt;="&amp;$L11,日別データ!$D:$D,"&lt;="&amp;$M11,日別データ!$H:$H,$N11),COUNTIFS(日別データ!$D:$D,"&gt;="&amp;$L11,日別データ!$H:$H,$N11)+COUNTIFS(日別データ!$D:$D,"&lt;="&amp;$M11,日別データ!$H:$H,$N11))=$D11,"OK","要確認")</f>
        <v>OK</v>
      </c>
      <c r="L11" s="14" t="n">
        <f aca="false">VALUE(LEFT(B11,FIND("/",B11)-1))*100+VALUE(MID(B11,FIND("/",B11)+1,5))</f>
        <v>924</v>
      </c>
      <c r="M11" s="14" t="n">
        <f aca="false">VALUE(LEFT(C11,FIND("/",C11)-1))*100+VALUE(MID(C11,FIND("/",C11)+1,5))</f>
        <v>1126</v>
      </c>
      <c r="N11" s="15" t="str">
        <f aca="false">INDEX(日別データ!$H:$H,MATCH($L11,日別データ!$D:$D,0))</f>
        <v>S値+3／標準形（標準期）</v>
      </c>
    </row>
    <row r="12" customFormat="false" ht="15" hidden="false" customHeight="false" outlineLevel="0" collapsed="false">
      <c r="A12" s="7" t="s">
        <v>44</v>
      </c>
      <c r="B12" s="8" t="s">
        <v>45</v>
      </c>
      <c r="C12" s="8" t="s">
        <v>46</v>
      </c>
      <c r="D12" s="9" t="n">
        <f aca="false">IF($L12&lt;=$M12,COUNTIFS(日別データ!$D:$D,"&gt;="&amp;$L12,日別データ!$D:$D,"&lt;="&amp;$M12),COUNTIFS(日別データ!$D:$D,"&gt;="&amp;$L12)+COUNTIFS(日別データ!$D:$D,"&lt;="&amp;$M12))</f>
        <v>11</v>
      </c>
      <c r="E12" s="10" t="n">
        <f aca="false">INDEX(日別データ!$E:$E,MATCH($L12,日別データ!$D:$D,0))</f>
        <v>6</v>
      </c>
      <c r="F12" s="11" t="str">
        <f aca="false">INDEX(日別データ!$G:$G,MATCH($L12,日別データ!$D:$D,0))</f>
        <v>標準期</v>
      </c>
      <c r="G12" s="11" t="str">
        <f aca="false">INDEX(日別データ!$F:$F,MATCH($L12,日別データ!$D:$D,0))</f>
        <v>標準形</v>
      </c>
      <c r="H12" s="11" t="str">
        <f aca="false">$G12</f>
        <v>標準形</v>
      </c>
      <c r="I12" s="16" t="s">
        <v>47</v>
      </c>
      <c r="J12" s="13" t="str">
        <f aca="false">IF(IF($L12&lt;=$M12,COUNTIFS(日別データ!$D:$D,"&gt;="&amp;$L12,日別データ!$D:$D,"&lt;="&amp;$M12,日別データ!$H:$H,$N12),COUNTIFS(日別データ!$D:$D,"&gt;="&amp;$L12,日別データ!$H:$H,$N12)+COUNTIFS(日別データ!$D:$D,"&lt;="&amp;$M12,日別データ!$H:$H,$N12))=$D12,"OK","要確認")</f>
        <v>OK</v>
      </c>
      <c r="L12" s="14" t="n">
        <f aca="false">VALUE(LEFT(B12,FIND("/",B12)-1))*100+VALUE(MID(B12,FIND("/",B12)+1,5))</f>
        <v>1127</v>
      </c>
      <c r="M12" s="14" t="n">
        <f aca="false">VALUE(LEFT(C12,FIND("/",C12)-1))*100+VALUE(MID(C12,FIND("/",C12)+1,5))</f>
        <v>1207</v>
      </c>
      <c r="N12" s="15" t="str">
        <f aca="false">INDEX(日別データ!$H:$H,MATCH($L12,日別データ!$D:$D,0))</f>
        <v>S値+6／標準形（標準期）</v>
      </c>
    </row>
    <row r="13" customFormat="false" ht="15" hidden="false" customHeight="false" outlineLevel="0" collapsed="false">
      <c r="A13" s="7" t="s">
        <v>48</v>
      </c>
      <c r="B13" s="8" t="s">
        <v>49</v>
      </c>
      <c r="C13" s="8" t="s">
        <v>50</v>
      </c>
      <c r="D13" s="9" t="n">
        <f aca="false">IF($L13&lt;=$M13,COUNTIFS(日別データ!$D:$D,"&gt;="&amp;$L13,日別データ!$D:$D,"&lt;="&amp;$M13),COUNTIFS(日別データ!$D:$D,"&gt;="&amp;$L13)+COUNTIFS(日別データ!$D:$D,"&lt;="&amp;$M13))</f>
        <v>24</v>
      </c>
      <c r="E13" s="10" t="n">
        <f aca="false">INDEX(日別データ!$E:$E,MATCH($L13,日別データ!$D:$D,0))</f>
        <v>6</v>
      </c>
      <c r="F13" s="11" t="str">
        <f aca="false">INDEX(日別データ!$G:$G,MATCH($L13,日別データ!$D:$D,0))</f>
        <v>冬期</v>
      </c>
      <c r="G13" s="11" t="str">
        <f aca="false">INDEX(日別データ!$F:$F,MATCH($L13,日別データ!$D:$D,0))</f>
        <v>標準形</v>
      </c>
      <c r="H13" s="11" t="str">
        <f aca="false">$G13</f>
        <v>標準形</v>
      </c>
      <c r="I13" s="12" t="s">
        <v>51</v>
      </c>
      <c r="J13" s="13" t="str">
        <f aca="false">IF(IF($L13&lt;=$M13,COUNTIFS(日別データ!$D:$D,"&gt;="&amp;$L13,日別データ!$D:$D,"&lt;="&amp;$M13,日別データ!$H:$H,$N13),COUNTIFS(日別データ!$D:$D,"&gt;="&amp;$L13,日別データ!$H:$H,$N13)+COUNTIFS(日別データ!$D:$D,"&lt;="&amp;$M13,日別データ!$H:$H,$N13))=$D13,"OK","要確認")</f>
        <v>OK</v>
      </c>
      <c r="L13" s="14" t="n">
        <f aca="false">VALUE(LEFT(B13,FIND("/",B13)-1))*100+VALUE(MID(B13,FIND("/",B13)+1,5))</f>
        <v>1208</v>
      </c>
      <c r="M13" s="14" t="n">
        <f aca="false">VALUE(LEFT(C13,FIND("/",C13)-1))*100+VALUE(MID(C13,FIND("/",C13)+1,5))</f>
        <v>1231</v>
      </c>
      <c r="N13" s="15" t="str">
        <f aca="false">INDEX(日別データ!$H:$H,MATCH($L13,日別データ!$D:$D,0))</f>
        <v>S値+6／標準形（冬期）</v>
      </c>
    </row>
    <row r="14" customFormat="false" ht="15" hidden="false" customHeight="false" outlineLevel="0" collapsed="false">
      <c r="A14" s="17" t="s">
        <v>52</v>
      </c>
      <c r="B14" s="18"/>
      <c r="C14" s="18"/>
      <c r="D14" s="19" t="n">
        <f aca="false">SUM(D5:D13)</f>
        <v>365</v>
      </c>
      <c r="E14" s="18"/>
      <c r="F14" s="18"/>
      <c r="G14" s="18"/>
      <c r="H14" s="18"/>
      <c r="I14" s="20" t="s">
        <v>53</v>
      </c>
      <c r="J14" s="21" t="str">
        <f aca="false">IF(D14=365,"OK","要確認")</f>
        <v>OK</v>
      </c>
    </row>
    <row r="16" customFormat="false" ht="15" hidden="false" customHeight="false" outlineLevel="0" collapsed="false">
      <c r="A16" s="22" t="s">
        <v>54</v>
      </c>
    </row>
    <row r="17" customFormat="false" ht="15" hidden="false" customHeight="false" outlineLevel="0" collapsed="false">
      <c r="A17" s="23" t="str">
        <f aca="false">"S値の切替日　　：　"&amp;B6&amp;"（+6→+3）　"&amp;B9&amp;"（+3→+6）　"&amp;B10&amp;"（+6→+3）　"&amp;B12&amp;"（+3→+6）"</f>
        <v>S値の切替日　　：　2/21（+6→+3）　6/30（+3→+6）　9/15（+6→+3）　11/27（+3→+6）</v>
      </c>
    </row>
    <row r="18" customFormat="false" ht="15" hidden="false" customHeight="false" outlineLevel="0" collapsed="false">
      <c r="A18" s="23" t="str">
        <f aca="false">"混和剤の切替日　：　"&amp;B7&amp;"（冬期→標準期）　"&amp;B8&amp;"（標準期→夏期）　"&amp;B11&amp;"（夏期→標準期）　"&amp;B13&amp;"（標準期→冬期）"</f>
        <v>混和剤の切替日　：　3/8（冬期→標準期）　6/16（標準期→夏期）　9/24（夏期→標準期）　12/8（標準期→冬期）</v>
      </c>
    </row>
    <row r="19" customFormat="false" ht="15" hidden="false" customHeight="false" outlineLevel="0" collapsed="false">
      <c r="A19" s="24" t="str">
        <f aca="false">"→ 両者がずれる期間（備考が黄色の区分）：②"&amp;B6&amp;"～"&amp;C6&amp;"（"&amp;D6&amp;"日）　④"&amp;B8&amp;"～"&amp;C8&amp;"（"&amp;D8&amp;"日）　⑥"&amp;B10&amp;"～"&amp;C10&amp;"（"&amp;D10&amp;"日）　⑧"&amp;B12&amp;"～"&amp;C12&amp;"（"&amp;D12&amp;"日）"</f>
        <v>→ 両者がずれる期間（備考が黄色の区分）：②2/21～3/7（15日）　④6/16～6/29（14日）　⑥9/15～9/23（9日）　⑧11/27～12/7（11日）</v>
      </c>
    </row>
    <row r="21" customFormat="false" ht="15" hidden="false" customHeight="false" outlineLevel="0" collapsed="false">
      <c r="A21" s="25" t="s">
        <v>55</v>
      </c>
    </row>
    <row r="22" customFormat="false" ht="15" hidden="false" customHeight="false" outlineLevel="0" collapsed="false">
      <c r="A22" s="26" t="s">
        <v>56</v>
      </c>
    </row>
    <row r="23" customFormat="false" ht="15" hidden="false" customHeight="false" outlineLevel="0" collapsed="false">
      <c r="A23" s="26" t="s">
        <v>57</v>
      </c>
    </row>
    <row r="24" customFormat="false" ht="15" hidden="false" customHeight="false" outlineLevel="0" collapsed="false">
      <c r="A24" s="26" t="s">
        <v>58</v>
      </c>
    </row>
    <row r="25" customFormat="false" ht="15" hidden="false" customHeight="false" outlineLevel="0" collapsed="false">
      <c r="A25" s="26" t="s">
        <v>59</v>
      </c>
    </row>
    <row r="26" customFormat="false" ht="15" hidden="false" customHeight="false" outlineLevel="0" collapsed="false">
      <c r="A26" s="26" t="s">
        <v>60</v>
      </c>
    </row>
    <row r="27" customFormat="false" ht="15" hidden="false" customHeight="false" outlineLevel="0" collapsed="false">
      <c r="A27" s="26" t="s">
        <v>61</v>
      </c>
    </row>
    <row r="28" customFormat="false" ht="15" hidden="false" customHeight="false" outlineLevel="0" collapsed="false">
      <c r="A28" s="26" t="s">
        <v>62</v>
      </c>
    </row>
  </sheetData>
  <conditionalFormatting sqref="I5:I13">
    <cfRule type="expression" priority="2" aboveAverage="0" equalAverage="0" bottom="0" percent="0" rank="0" text="" dxfId="0">
      <formula>ISNUMBER(SEARCH("のみ",$I5))</formula>
    </cfRule>
  </conditionalFormatting>
  <conditionalFormatting sqref="E5:E13">
    <cfRule type="cellIs" priority="3" operator="equal" aboveAverage="0" equalAverage="0" bottom="0" percent="0" rank="0" text="" dxfId="1">
      <formula>6</formula>
    </cfRule>
    <cfRule type="cellIs" priority="4" operator="equal" aboveAverage="0" equalAverage="0" bottom="0" percent="0" rank="0" text="" dxfId="2">
      <formula>3</formula>
    </cfRule>
  </conditionalFormatting>
  <conditionalFormatting sqref="F5:F13">
    <cfRule type="cellIs" priority="5" operator="equal" aboveAverage="0" equalAverage="0" bottom="0" percent="0" rank="0" text="" dxfId="3">
      <formula>"夏期"</formula>
    </cfRule>
    <cfRule type="cellIs" priority="6" operator="equal" aboveAverage="0" equalAverage="0" bottom="0" percent="0" rank="0" text="" dxfId="4">
      <formula>"冬期"</formula>
    </cfRule>
    <cfRule type="cellIs" priority="7" operator="equal" aboveAverage="0" equalAverage="0" bottom="0" percent="0" rank="0" text="" dxfId="5">
      <formula>"標準期"</formula>
    </cfRule>
    <cfRule type="cellIs" priority="8" operator="equal" aboveAverage="0" equalAverage="0" bottom="0" percent="0" rank="0" text="" dxfId="3">
      <formula>"遅延形"</formula>
    </cfRule>
  </conditionalFormatting>
  <conditionalFormatting sqref="G5:G13">
    <cfRule type="cellIs" priority="9" operator="equal" aboveAverage="0" equalAverage="0" bottom="0" percent="0" rank="0" text="" dxfId="3">
      <formula>"夏期"</formula>
    </cfRule>
    <cfRule type="cellIs" priority="10" operator="equal" aboveAverage="0" equalAverage="0" bottom="0" percent="0" rank="0" text="" dxfId="4">
      <formula>"冬期"</formula>
    </cfRule>
    <cfRule type="cellIs" priority="11" operator="equal" aboveAverage="0" equalAverage="0" bottom="0" percent="0" rank="0" text="" dxfId="5">
      <formula>"標準期"</formula>
    </cfRule>
    <cfRule type="cellIs" priority="12" operator="equal" aboveAverage="0" equalAverage="0" bottom="0" percent="0" rank="0" text="" dxfId="3">
      <formula>"遅延形"</formula>
    </cfRule>
  </conditionalFormatting>
  <conditionalFormatting sqref="H5:H13">
    <cfRule type="cellIs" priority="13" operator="equal" aboveAverage="0" equalAverage="0" bottom="0" percent="0" rank="0" text="" dxfId="3">
      <formula>"夏期"</formula>
    </cfRule>
    <cfRule type="cellIs" priority="14" operator="equal" aboveAverage="0" equalAverage="0" bottom="0" percent="0" rank="0" text="" dxfId="4">
      <formula>"冬期"</formula>
    </cfRule>
    <cfRule type="cellIs" priority="15" operator="equal" aboveAverage="0" equalAverage="0" bottom="0" percent="0" rank="0" text="" dxfId="5">
      <formula>"標準期"</formula>
    </cfRule>
    <cfRule type="cellIs" priority="16" operator="equal" aboveAverage="0" equalAverage="0" bottom="0" percent="0" rank="0" text="" dxfId="3">
      <formula>"遅延形"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2" min="2" style="0" width="3.6"/>
  </cols>
  <sheetData>
    <row r="1" customFormat="false" ht="19.4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27" t="s">
        <v>65</v>
      </c>
    </row>
    <row r="5" customFormat="false" ht="15" hidden="false" customHeight="false" outlineLevel="0" collapsed="false">
      <c r="A5" s="28" t="s">
        <v>66</v>
      </c>
      <c r="B5" s="29" t="n">
        <v>1</v>
      </c>
      <c r="C5" s="29" t="n">
        <v>2</v>
      </c>
      <c r="D5" s="29" t="n">
        <v>3</v>
      </c>
      <c r="E5" s="29" t="n">
        <v>4</v>
      </c>
      <c r="F5" s="29" t="n">
        <v>5</v>
      </c>
      <c r="G5" s="29" t="n">
        <v>6</v>
      </c>
      <c r="H5" s="29" t="n">
        <v>7</v>
      </c>
      <c r="I5" s="29" t="n">
        <v>8</v>
      </c>
      <c r="J5" s="29" t="n">
        <v>9</v>
      </c>
      <c r="K5" s="29" t="n">
        <v>10</v>
      </c>
      <c r="L5" s="29" t="n">
        <v>11</v>
      </c>
      <c r="M5" s="29" t="n">
        <v>12</v>
      </c>
      <c r="N5" s="29" t="n">
        <v>13</v>
      </c>
      <c r="O5" s="29" t="n">
        <v>14</v>
      </c>
      <c r="P5" s="29" t="n">
        <v>15</v>
      </c>
      <c r="Q5" s="29" t="n">
        <v>16</v>
      </c>
      <c r="R5" s="29" t="n">
        <v>17</v>
      </c>
      <c r="S5" s="29" t="n">
        <v>18</v>
      </c>
      <c r="T5" s="29" t="n">
        <v>19</v>
      </c>
      <c r="U5" s="29" t="n">
        <v>20</v>
      </c>
      <c r="V5" s="29" t="n">
        <v>21</v>
      </c>
      <c r="W5" s="29" t="n">
        <v>22</v>
      </c>
      <c r="X5" s="29" t="n">
        <v>23</v>
      </c>
      <c r="Y5" s="29" t="n">
        <v>24</v>
      </c>
      <c r="Z5" s="29" t="n">
        <v>25</v>
      </c>
      <c r="AA5" s="29" t="n">
        <v>26</v>
      </c>
      <c r="AB5" s="29" t="n">
        <v>27</v>
      </c>
      <c r="AC5" s="29" t="n">
        <v>28</v>
      </c>
      <c r="AD5" s="29" t="n">
        <v>29</v>
      </c>
      <c r="AE5" s="29" t="n">
        <v>30</v>
      </c>
      <c r="AF5" s="29" t="n">
        <v>31</v>
      </c>
    </row>
    <row r="6" customFormat="false" ht="15" hidden="false" customHeight="false" outlineLevel="0" collapsed="false">
      <c r="A6" s="30" t="n">
        <v>1</v>
      </c>
      <c r="B6" s="31" t="n">
        <f aca="false">IFERROR(INDEX(日別データ!$E:$E,MATCH($A6*100+B$5,日別データ!$D:$D,0)),"")</f>
        <v>6</v>
      </c>
      <c r="C6" s="31" t="n">
        <f aca="false">IFERROR(INDEX(日別データ!$E:$E,MATCH($A6*100+C$5,日別データ!$D:$D,0)),"")</f>
        <v>6</v>
      </c>
      <c r="D6" s="31" t="n">
        <f aca="false">IFERROR(INDEX(日別データ!$E:$E,MATCH($A6*100+D$5,日別データ!$D:$D,0)),"")</f>
        <v>6</v>
      </c>
      <c r="E6" s="31" t="n">
        <f aca="false">IFERROR(INDEX(日別データ!$E:$E,MATCH($A6*100+E$5,日別データ!$D:$D,0)),"")</f>
        <v>6</v>
      </c>
      <c r="F6" s="31" t="n">
        <f aca="false">IFERROR(INDEX(日別データ!$E:$E,MATCH($A6*100+F$5,日別データ!$D:$D,0)),"")</f>
        <v>6</v>
      </c>
      <c r="G6" s="31" t="n">
        <f aca="false">IFERROR(INDEX(日別データ!$E:$E,MATCH($A6*100+G$5,日別データ!$D:$D,0)),"")</f>
        <v>6</v>
      </c>
      <c r="H6" s="31" t="n">
        <f aca="false">IFERROR(INDEX(日別データ!$E:$E,MATCH($A6*100+H$5,日別データ!$D:$D,0)),"")</f>
        <v>6</v>
      </c>
      <c r="I6" s="31" t="n">
        <f aca="false">IFERROR(INDEX(日別データ!$E:$E,MATCH($A6*100+I$5,日別データ!$D:$D,0)),"")</f>
        <v>6</v>
      </c>
      <c r="J6" s="31" t="n">
        <f aca="false">IFERROR(INDEX(日別データ!$E:$E,MATCH($A6*100+J$5,日別データ!$D:$D,0)),"")</f>
        <v>6</v>
      </c>
      <c r="K6" s="31" t="n">
        <f aca="false">IFERROR(INDEX(日別データ!$E:$E,MATCH($A6*100+K$5,日別データ!$D:$D,0)),"")</f>
        <v>6</v>
      </c>
      <c r="L6" s="31" t="n">
        <f aca="false">IFERROR(INDEX(日別データ!$E:$E,MATCH($A6*100+L$5,日別データ!$D:$D,0)),"")</f>
        <v>6</v>
      </c>
      <c r="M6" s="31" t="n">
        <f aca="false">IFERROR(INDEX(日別データ!$E:$E,MATCH($A6*100+M$5,日別データ!$D:$D,0)),"")</f>
        <v>6</v>
      </c>
      <c r="N6" s="31" t="n">
        <f aca="false">IFERROR(INDEX(日別データ!$E:$E,MATCH($A6*100+N$5,日別データ!$D:$D,0)),"")</f>
        <v>6</v>
      </c>
      <c r="O6" s="31" t="n">
        <f aca="false">IFERROR(INDEX(日別データ!$E:$E,MATCH($A6*100+O$5,日別データ!$D:$D,0)),"")</f>
        <v>6</v>
      </c>
      <c r="P6" s="31" t="n">
        <f aca="false">IFERROR(INDEX(日別データ!$E:$E,MATCH($A6*100+P$5,日別データ!$D:$D,0)),"")</f>
        <v>6</v>
      </c>
      <c r="Q6" s="31" t="n">
        <f aca="false">IFERROR(INDEX(日別データ!$E:$E,MATCH($A6*100+Q$5,日別データ!$D:$D,0)),"")</f>
        <v>6</v>
      </c>
      <c r="R6" s="31" t="n">
        <f aca="false">IFERROR(INDEX(日別データ!$E:$E,MATCH($A6*100+R$5,日別データ!$D:$D,0)),"")</f>
        <v>6</v>
      </c>
      <c r="S6" s="31" t="n">
        <f aca="false">IFERROR(INDEX(日別データ!$E:$E,MATCH($A6*100+S$5,日別データ!$D:$D,0)),"")</f>
        <v>6</v>
      </c>
      <c r="T6" s="31" t="n">
        <f aca="false">IFERROR(INDEX(日別データ!$E:$E,MATCH($A6*100+T$5,日別データ!$D:$D,0)),"")</f>
        <v>6</v>
      </c>
      <c r="U6" s="31" t="n">
        <f aca="false">IFERROR(INDEX(日別データ!$E:$E,MATCH($A6*100+U$5,日別データ!$D:$D,0)),"")</f>
        <v>6</v>
      </c>
      <c r="V6" s="31" t="n">
        <f aca="false">IFERROR(INDEX(日別データ!$E:$E,MATCH($A6*100+V$5,日別データ!$D:$D,0)),"")</f>
        <v>6</v>
      </c>
      <c r="W6" s="31" t="n">
        <f aca="false">IFERROR(INDEX(日別データ!$E:$E,MATCH($A6*100+W$5,日別データ!$D:$D,0)),"")</f>
        <v>6</v>
      </c>
      <c r="X6" s="31" t="n">
        <f aca="false">IFERROR(INDEX(日別データ!$E:$E,MATCH($A6*100+X$5,日別データ!$D:$D,0)),"")</f>
        <v>6</v>
      </c>
      <c r="Y6" s="31" t="n">
        <f aca="false">IFERROR(INDEX(日別データ!$E:$E,MATCH($A6*100+Y$5,日別データ!$D:$D,0)),"")</f>
        <v>6</v>
      </c>
      <c r="Z6" s="31" t="n">
        <f aca="false">IFERROR(INDEX(日別データ!$E:$E,MATCH($A6*100+Z$5,日別データ!$D:$D,0)),"")</f>
        <v>6</v>
      </c>
      <c r="AA6" s="31" t="n">
        <f aca="false">IFERROR(INDEX(日別データ!$E:$E,MATCH($A6*100+AA$5,日別データ!$D:$D,0)),"")</f>
        <v>6</v>
      </c>
      <c r="AB6" s="31" t="n">
        <f aca="false">IFERROR(INDEX(日別データ!$E:$E,MATCH($A6*100+AB$5,日別データ!$D:$D,0)),"")</f>
        <v>6</v>
      </c>
      <c r="AC6" s="31" t="n">
        <f aca="false">IFERROR(INDEX(日別データ!$E:$E,MATCH($A6*100+AC$5,日別データ!$D:$D,0)),"")</f>
        <v>6</v>
      </c>
      <c r="AD6" s="31" t="n">
        <f aca="false">IFERROR(INDEX(日別データ!$E:$E,MATCH($A6*100+AD$5,日別データ!$D:$D,0)),"")</f>
        <v>6</v>
      </c>
      <c r="AE6" s="31" t="n">
        <f aca="false">IFERROR(INDEX(日別データ!$E:$E,MATCH($A6*100+AE$5,日別データ!$D:$D,0)),"")</f>
        <v>6</v>
      </c>
      <c r="AF6" s="31" t="n">
        <f aca="false">IFERROR(INDEX(日別データ!$E:$E,MATCH($A6*100+AF$5,日別データ!$D:$D,0)),"")</f>
        <v>6</v>
      </c>
    </row>
    <row r="7" customFormat="false" ht="15" hidden="false" customHeight="false" outlineLevel="0" collapsed="false">
      <c r="A7" s="30" t="n">
        <v>2</v>
      </c>
      <c r="B7" s="31" t="n">
        <f aca="false">IFERROR(INDEX(日別データ!$E:$E,MATCH($A7*100+B$5,日別データ!$D:$D,0)),"")</f>
        <v>6</v>
      </c>
      <c r="C7" s="31" t="n">
        <f aca="false">IFERROR(INDEX(日別データ!$E:$E,MATCH($A7*100+C$5,日別データ!$D:$D,0)),"")</f>
        <v>6</v>
      </c>
      <c r="D7" s="31" t="n">
        <f aca="false">IFERROR(INDEX(日別データ!$E:$E,MATCH($A7*100+D$5,日別データ!$D:$D,0)),"")</f>
        <v>6</v>
      </c>
      <c r="E7" s="31" t="n">
        <f aca="false">IFERROR(INDEX(日別データ!$E:$E,MATCH($A7*100+E$5,日別データ!$D:$D,0)),"")</f>
        <v>6</v>
      </c>
      <c r="F7" s="31" t="n">
        <f aca="false">IFERROR(INDEX(日別データ!$E:$E,MATCH($A7*100+F$5,日別データ!$D:$D,0)),"")</f>
        <v>6</v>
      </c>
      <c r="G7" s="31" t="n">
        <f aca="false">IFERROR(INDEX(日別データ!$E:$E,MATCH($A7*100+G$5,日別データ!$D:$D,0)),"")</f>
        <v>6</v>
      </c>
      <c r="H7" s="31" t="n">
        <f aca="false">IFERROR(INDEX(日別データ!$E:$E,MATCH($A7*100+H$5,日別データ!$D:$D,0)),"")</f>
        <v>6</v>
      </c>
      <c r="I7" s="31" t="n">
        <f aca="false">IFERROR(INDEX(日別データ!$E:$E,MATCH($A7*100+I$5,日別データ!$D:$D,0)),"")</f>
        <v>6</v>
      </c>
      <c r="J7" s="31" t="n">
        <f aca="false">IFERROR(INDEX(日別データ!$E:$E,MATCH($A7*100+J$5,日別データ!$D:$D,0)),"")</f>
        <v>6</v>
      </c>
      <c r="K7" s="31" t="n">
        <f aca="false">IFERROR(INDEX(日別データ!$E:$E,MATCH($A7*100+K$5,日別データ!$D:$D,0)),"")</f>
        <v>6</v>
      </c>
      <c r="L7" s="31" t="n">
        <f aca="false">IFERROR(INDEX(日別データ!$E:$E,MATCH($A7*100+L$5,日別データ!$D:$D,0)),"")</f>
        <v>6</v>
      </c>
      <c r="M7" s="31" t="n">
        <f aca="false">IFERROR(INDEX(日別データ!$E:$E,MATCH($A7*100+M$5,日別データ!$D:$D,0)),"")</f>
        <v>6</v>
      </c>
      <c r="N7" s="31" t="n">
        <f aca="false">IFERROR(INDEX(日別データ!$E:$E,MATCH($A7*100+N$5,日別データ!$D:$D,0)),"")</f>
        <v>6</v>
      </c>
      <c r="O7" s="31" t="n">
        <f aca="false">IFERROR(INDEX(日別データ!$E:$E,MATCH($A7*100+O$5,日別データ!$D:$D,0)),"")</f>
        <v>6</v>
      </c>
      <c r="P7" s="31" t="n">
        <f aca="false">IFERROR(INDEX(日別データ!$E:$E,MATCH($A7*100+P$5,日別データ!$D:$D,0)),"")</f>
        <v>6</v>
      </c>
      <c r="Q7" s="31" t="n">
        <f aca="false">IFERROR(INDEX(日別データ!$E:$E,MATCH($A7*100+Q$5,日別データ!$D:$D,0)),"")</f>
        <v>6</v>
      </c>
      <c r="R7" s="31" t="n">
        <f aca="false">IFERROR(INDEX(日別データ!$E:$E,MATCH($A7*100+R$5,日別データ!$D:$D,0)),"")</f>
        <v>6</v>
      </c>
      <c r="S7" s="31" t="n">
        <f aca="false">IFERROR(INDEX(日別データ!$E:$E,MATCH($A7*100+S$5,日別データ!$D:$D,0)),"")</f>
        <v>6</v>
      </c>
      <c r="T7" s="31" t="n">
        <f aca="false">IFERROR(INDEX(日別データ!$E:$E,MATCH($A7*100+T$5,日別データ!$D:$D,0)),"")</f>
        <v>6</v>
      </c>
      <c r="U7" s="31" t="n">
        <f aca="false">IFERROR(INDEX(日別データ!$E:$E,MATCH($A7*100+U$5,日別データ!$D:$D,0)),"")</f>
        <v>6</v>
      </c>
      <c r="V7" s="31" t="n">
        <f aca="false">IFERROR(INDEX(日別データ!$E:$E,MATCH($A7*100+V$5,日別データ!$D:$D,0)),"")</f>
        <v>3</v>
      </c>
      <c r="W7" s="31" t="n">
        <f aca="false">IFERROR(INDEX(日別データ!$E:$E,MATCH($A7*100+W$5,日別データ!$D:$D,0)),"")</f>
        <v>3</v>
      </c>
      <c r="X7" s="31" t="n">
        <f aca="false">IFERROR(INDEX(日別データ!$E:$E,MATCH($A7*100+X$5,日別データ!$D:$D,0)),"")</f>
        <v>3</v>
      </c>
      <c r="Y7" s="31" t="n">
        <f aca="false">IFERROR(INDEX(日別データ!$E:$E,MATCH($A7*100+Y$5,日別データ!$D:$D,0)),"")</f>
        <v>3</v>
      </c>
      <c r="Z7" s="31" t="n">
        <f aca="false">IFERROR(INDEX(日別データ!$E:$E,MATCH($A7*100+Z$5,日別データ!$D:$D,0)),"")</f>
        <v>3</v>
      </c>
      <c r="AA7" s="31" t="n">
        <f aca="false">IFERROR(INDEX(日別データ!$E:$E,MATCH($A7*100+AA$5,日別データ!$D:$D,0)),"")</f>
        <v>3</v>
      </c>
      <c r="AB7" s="31" t="n">
        <f aca="false">IFERROR(INDEX(日別データ!$E:$E,MATCH($A7*100+AB$5,日別データ!$D:$D,0)),"")</f>
        <v>3</v>
      </c>
      <c r="AC7" s="31" t="n">
        <f aca="false">IFERROR(INDEX(日別データ!$E:$E,MATCH($A7*100+AC$5,日別データ!$D:$D,0)),"")</f>
        <v>3</v>
      </c>
      <c r="AD7" s="31" t="str">
        <f aca="false">IFERROR(INDEX(日別データ!$E:$E,MATCH($A7*100+AD$5,日別データ!$D:$D,0)),"")</f>
        <v/>
      </c>
      <c r="AE7" s="31" t="str">
        <f aca="false">IFERROR(INDEX(日別データ!$E:$E,MATCH($A7*100+AE$5,日別データ!$D:$D,0)),"")</f>
        <v/>
      </c>
      <c r="AF7" s="31" t="str">
        <f aca="false">IFERROR(INDEX(日別データ!$E:$E,MATCH($A7*100+AF$5,日別データ!$D:$D,0)),"")</f>
        <v/>
      </c>
    </row>
    <row r="8" customFormat="false" ht="15" hidden="false" customHeight="false" outlineLevel="0" collapsed="false">
      <c r="A8" s="30" t="n">
        <v>3</v>
      </c>
      <c r="B8" s="31" t="n">
        <f aca="false">IFERROR(INDEX(日別データ!$E:$E,MATCH($A8*100+B$5,日別データ!$D:$D,0)),"")</f>
        <v>3</v>
      </c>
      <c r="C8" s="31" t="n">
        <f aca="false">IFERROR(INDEX(日別データ!$E:$E,MATCH($A8*100+C$5,日別データ!$D:$D,0)),"")</f>
        <v>3</v>
      </c>
      <c r="D8" s="31" t="n">
        <f aca="false">IFERROR(INDEX(日別データ!$E:$E,MATCH($A8*100+D$5,日別データ!$D:$D,0)),"")</f>
        <v>3</v>
      </c>
      <c r="E8" s="31" t="n">
        <f aca="false">IFERROR(INDEX(日別データ!$E:$E,MATCH($A8*100+E$5,日別データ!$D:$D,0)),"")</f>
        <v>3</v>
      </c>
      <c r="F8" s="31" t="n">
        <f aca="false">IFERROR(INDEX(日別データ!$E:$E,MATCH($A8*100+F$5,日別データ!$D:$D,0)),"")</f>
        <v>3</v>
      </c>
      <c r="G8" s="31" t="n">
        <f aca="false">IFERROR(INDEX(日別データ!$E:$E,MATCH($A8*100+G$5,日別データ!$D:$D,0)),"")</f>
        <v>3</v>
      </c>
      <c r="H8" s="31" t="n">
        <f aca="false">IFERROR(INDEX(日別データ!$E:$E,MATCH($A8*100+H$5,日別データ!$D:$D,0)),"")</f>
        <v>3</v>
      </c>
      <c r="I8" s="31" t="n">
        <f aca="false">IFERROR(INDEX(日別データ!$E:$E,MATCH($A8*100+I$5,日別データ!$D:$D,0)),"")</f>
        <v>3</v>
      </c>
      <c r="J8" s="31" t="n">
        <f aca="false">IFERROR(INDEX(日別データ!$E:$E,MATCH($A8*100+J$5,日別データ!$D:$D,0)),"")</f>
        <v>3</v>
      </c>
      <c r="K8" s="31" t="n">
        <f aca="false">IFERROR(INDEX(日別データ!$E:$E,MATCH($A8*100+K$5,日別データ!$D:$D,0)),"")</f>
        <v>3</v>
      </c>
      <c r="L8" s="31" t="n">
        <f aca="false">IFERROR(INDEX(日別データ!$E:$E,MATCH($A8*100+L$5,日別データ!$D:$D,0)),"")</f>
        <v>3</v>
      </c>
      <c r="M8" s="31" t="n">
        <f aca="false">IFERROR(INDEX(日別データ!$E:$E,MATCH($A8*100+M$5,日別データ!$D:$D,0)),"")</f>
        <v>3</v>
      </c>
      <c r="N8" s="31" t="n">
        <f aca="false">IFERROR(INDEX(日別データ!$E:$E,MATCH($A8*100+N$5,日別データ!$D:$D,0)),"")</f>
        <v>3</v>
      </c>
      <c r="O8" s="31" t="n">
        <f aca="false">IFERROR(INDEX(日別データ!$E:$E,MATCH($A8*100+O$5,日別データ!$D:$D,0)),"")</f>
        <v>3</v>
      </c>
      <c r="P8" s="31" t="n">
        <f aca="false">IFERROR(INDEX(日別データ!$E:$E,MATCH($A8*100+P$5,日別データ!$D:$D,0)),"")</f>
        <v>3</v>
      </c>
      <c r="Q8" s="31" t="n">
        <f aca="false">IFERROR(INDEX(日別データ!$E:$E,MATCH($A8*100+Q$5,日別データ!$D:$D,0)),"")</f>
        <v>3</v>
      </c>
      <c r="R8" s="31" t="n">
        <f aca="false">IFERROR(INDEX(日別データ!$E:$E,MATCH($A8*100+R$5,日別データ!$D:$D,0)),"")</f>
        <v>3</v>
      </c>
      <c r="S8" s="31" t="n">
        <f aca="false">IFERROR(INDEX(日別データ!$E:$E,MATCH($A8*100+S$5,日別データ!$D:$D,0)),"")</f>
        <v>3</v>
      </c>
      <c r="T8" s="31" t="n">
        <f aca="false">IFERROR(INDEX(日別データ!$E:$E,MATCH($A8*100+T$5,日別データ!$D:$D,0)),"")</f>
        <v>3</v>
      </c>
      <c r="U8" s="31" t="n">
        <f aca="false">IFERROR(INDEX(日別データ!$E:$E,MATCH($A8*100+U$5,日別データ!$D:$D,0)),"")</f>
        <v>3</v>
      </c>
      <c r="V8" s="31" t="n">
        <f aca="false">IFERROR(INDEX(日別データ!$E:$E,MATCH($A8*100+V$5,日別データ!$D:$D,0)),"")</f>
        <v>3</v>
      </c>
      <c r="W8" s="31" t="n">
        <f aca="false">IFERROR(INDEX(日別データ!$E:$E,MATCH($A8*100+W$5,日別データ!$D:$D,0)),"")</f>
        <v>3</v>
      </c>
      <c r="X8" s="31" t="n">
        <f aca="false">IFERROR(INDEX(日別データ!$E:$E,MATCH($A8*100+X$5,日別データ!$D:$D,0)),"")</f>
        <v>3</v>
      </c>
      <c r="Y8" s="31" t="n">
        <f aca="false">IFERROR(INDEX(日別データ!$E:$E,MATCH($A8*100+Y$5,日別データ!$D:$D,0)),"")</f>
        <v>3</v>
      </c>
      <c r="Z8" s="31" t="n">
        <f aca="false">IFERROR(INDEX(日別データ!$E:$E,MATCH($A8*100+Z$5,日別データ!$D:$D,0)),"")</f>
        <v>3</v>
      </c>
      <c r="AA8" s="31" t="n">
        <f aca="false">IFERROR(INDEX(日別データ!$E:$E,MATCH($A8*100+AA$5,日別データ!$D:$D,0)),"")</f>
        <v>3</v>
      </c>
      <c r="AB8" s="31" t="n">
        <f aca="false">IFERROR(INDEX(日別データ!$E:$E,MATCH($A8*100+AB$5,日別データ!$D:$D,0)),"")</f>
        <v>3</v>
      </c>
      <c r="AC8" s="31" t="n">
        <f aca="false">IFERROR(INDEX(日別データ!$E:$E,MATCH($A8*100+AC$5,日別データ!$D:$D,0)),"")</f>
        <v>3</v>
      </c>
      <c r="AD8" s="31" t="n">
        <f aca="false">IFERROR(INDEX(日別データ!$E:$E,MATCH($A8*100+AD$5,日別データ!$D:$D,0)),"")</f>
        <v>3</v>
      </c>
      <c r="AE8" s="31" t="n">
        <f aca="false">IFERROR(INDEX(日別データ!$E:$E,MATCH($A8*100+AE$5,日別データ!$D:$D,0)),"")</f>
        <v>3</v>
      </c>
      <c r="AF8" s="31" t="n">
        <f aca="false">IFERROR(INDEX(日別データ!$E:$E,MATCH($A8*100+AF$5,日別データ!$D:$D,0)),"")</f>
        <v>3</v>
      </c>
    </row>
    <row r="9" customFormat="false" ht="15" hidden="false" customHeight="false" outlineLevel="0" collapsed="false">
      <c r="A9" s="30" t="n">
        <v>4</v>
      </c>
      <c r="B9" s="31" t="n">
        <f aca="false">IFERROR(INDEX(日別データ!$E:$E,MATCH($A9*100+B$5,日別データ!$D:$D,0)),"")</f>
        <v>3</v>
      </c>
      <c r="C9" s="31" t="n">
        <f aca="false">IFERROR(INDEX(日別データ!$E:$E,MATCH($A9*100+C$5,日別データ!$D:$D,0)),"")</f>
        <v>3</v>
      </c>
      <c r="D9" s="31" t="n">
        <f aca="false">IFERROR(INDEX(日別データ!$E:$E,MATCH($A9*100+D$5,日別データ!$D:$D,0)),"")</f>
        <v>3</v>
      </c>
      <c r="E9" s="31" t="n">
        <f aca="false">IFERROR(INDEX(日別データ!$E:$E,MATCH($A9*100+E$5,日別データ!$D:$D,0)),"")</f>
        <v>3</v>
      </c>
      <c r="F9" s="31" t="n">
        <f aca="false">IFERROR(INDEX(日別データ!$E:$E,MATCH($A9*100+F$5,日別データ!$D:$D,0)),"")</f>
        <v>3</v>
      </c>
      <c r="G9" s="31" t="n">
        <f aca="false">IFERROR(INDEX(日別データ!$E:$E,MATCH($A9*100+G$5,日別データ!$D:$D,0)),"")</f>
        <v>3</v>
      </c>
      <c r="H9" s="31" t="n">
        <f aca="false">IFERROR(INDEX(日別データ!$E:$E,MATCH($A9*100+H$5,日別データ!$D:$D,0)),"")</f>
        <v>3</v>
      </c>
      <c r="I9" s="31" t="n">
        <f aca="false">IFERROR(INDEX(日別データ!$E:$E,MATCH($A9*100+I$5,日別データ!$D:$D,0)),"")</f>
        <v>3</v>
      </c>
      <c r="J9" s="31" t="n">
        <f aca="false">IFERROR(INDEX(日別データ!$E:$E,MATCH($A9*100+J$5,日別データ!$D:$D,0)),"")</f>
        <v>3</v>
      </c>
      <c r="K9" s="31" t="n">
        <f aca="false">IFERROR(INDEX(日別データ!$E:$E,MATCH($A9*100+K$5,日別データ!$D:$D,0)),"")</f>
        <v>3</v>
      </c>
      <c r="L9" s="31" t="n">
        <f aca="false">IFERROR(INDEX(日別データ!$E:$E,MATCH($A9*100+L$5,日別データ!$D:$D,0)),"")</f>
        <v>3</v>
      </c>
      <c r="M9" s="31" t="n">
        <f aca="false">IFERROR(INDEX(日別データ!$E:$E,MATCH($A9*100+M$5,日別データ!$D:$D,0)),"")</f>
        <v>3</v>
      </c>
      <c r="N9" s="31" t="n">
        <f aca="false">IFERROR(INDEX(日別データ!$E:$E,MATCH($A9*100+N$5,日別データ!$D:$D,0)),"")</f>
        <v>3</v>
      </c>
      <c r="O9" s="31" t="n">
        <f aca="false">IFERROR(INDEX(日別データ!$E:$E,MATCH($A9*100+O$5,日別データ!$D:$D,0)),"")</f>
        <v>3</v>
      </c>
      <c r="P9" s="31" t="n">
        <f aca="false">IFERROR(INDEX(日別データ!$E:$E,MATCH($A9*100+P$5,日別データ!$D:$D,0)),"")</f>
        <v>3</v>
      </c>
      <c r="Q9" s="31" t="n">
        <f aca="false">IFERROR(INDEX(日別データ!$E:$E,MATCH($A9*100+Q$5,日別データ!$D:$D,0)),"")</f>
        <v>3</v>
      </c>
      <c r="R9" s="31" t="n">
        <f aca="false">IFERROR(INDEX(日別データ!$E:$E,MATCH($A9*100+R$5,日別データ!$D:$D,0)),"")</f>
        <v>3</v>
      </c>
      <c r="S9" s="31" t="n">
        <f aca="false">IFERROR(INDEX(日別データ!$E:$E,MATCH($A9*100+S$5,日別データ!$D:$D,0)),"")</f>
        <v>3</v>
      </c>
      <c r="T9" s="31" t="n">
        <f aca="false">IFERROR(INDEX(日別データ!$E:$E,MATCH($A9*100+T$5,日別データ!$D:$D,0)),"")</f>
        <v>3</v>
      </c>
      <c r="U9" s="31" t="n">
        <f aca="false">IFERROR(INDEX(日別データ!$E:$E,MATCH($A9*100+U$5,日別データ!$D:$D,0)),"")</f>
        <v>3</v>
      </c>
      <c r="V9" s="31" t="n">
        <f aca="false">IFERROR(INDEX(日別データ!$E:$E,MATCH($A9*100+V$5,日別データ!$D:$D,0)),"")</f>
        <v>3</v>
      </c>
      <c r="W9" s="31" t="n">
        <f aca="false">IFERROR(INDEX(日別データ!$E:$E,MATCH($A9*100+W$5,日別データ!$D:$D,0)),"")</f>
        <v>3</v>
      </c>
      <c r="X9" s="31" t="n">
        <f aca="false">IFERROR(INDEX(日別データ!$E:$E,MATCH($A9*100+X$5,日別データ!$D:$D,0)),"")</f>
        <v>3</v>
      </c>
      <c r="Y9" s="31" t="n">
        <f aca="false">IFERROR(INDEX(日別データ!$E:$E,MATCH($A9*100+Y$5,日別データ!$D:$D,0)),"")</f>
        <v>3</v>
      </c>
      <c r="Z9" s="31" t="n">
        <f aca="false">IFERROR(INDEX(日別データ!$E:$E,MATCH($A9*100+Z$5,日別データ!$D:$D,0)),"")</f>
        <v>3</v>
      </c>
      <c r="AA9" s="31" t="n">
        <f aca="false">IFERROR(INDEX(日別データ!$E:$E,MATCH($A9*100+AA$5,日別データ!$D:$D,0)),"")</f>
        <v>3</v>
      </c>
      <c r="AB9" s="31" t="n">
        <f aca="false">IFERROR(INDEX(日別データ!$E:$E,MATCH($A9*100+AB$5,日別データ!$D:$D,0)),"")</f>
        <v>3</v>
      </c>
      <c r="AC9" s="31" t="n">
        <f aca="false">IFERROR(INDEX(日別データ!$E:$E,MATCH($A9*100+AC$5,日別データ!$D:$D,0)),"")</f>
        <v>3</v>
      </c>
      <c r="AD9" s="31" t="n">
        <f aca="false">IFERROR(INDEX(日別データ!$E:$E,MATCH($A9*100+AD$5,日別データ!$D:$D,0)),"")</f>
        <v>3</v>
      </c>
      <c r="AE9" s="31" t="n">
        <f aca="false">IFERROR(INDEX(日別データ!$E:$E,MATCH($A9*100+AE$5,日別データ!$D:$D,0)),"")</f>
        <v>3</v>
      </c>
      <c r="AF9" s="31" t="str">
        <f aca="false">IFERROR(INDEX(日別データ!$E:$E,MATCH($A9*100+AF$5,日別データ!$D:$D,0)),"")</f>
        <v/>
      </c>
    </row>
    <row r="10" customFormat="false" ht="15" hidden="false" customHeight="false" outlineLevel="0" collapsed="false">
      <c r="A10" s="30" t="n">
        <v>5</v>
      </c>
      <c r="B10" s="31" t="n">
        <f aca="false">IFERROR(INDEX(日別データ!$E:$E,MATCH($A10*100+B$5,日別データ!$D:$D,0)),"")</f>
        <v>3</v>
      </c>
      <c r="C10" s="31" t="n">
        <f aca="false">IFERROR(INDEX(日別データ!$E:$E,MATCH($A10*100+C$5,日別データ!$D:$D,0)),"")</f>
        <v>3</v>
      </c>
      <c r="D10" s="31" t="n">
        <f aca="false">IFERROR(INDEX(日別データ!$E:$E,MATCH($A10*100+D$5,日別データ!$D:$D,0)),"")</f>
        <v>3</v>
      </c>
      <c r="E10" s="31" t="n">
        <f aca="false">IFERROR(INDEX(日別データ!$E:$E,MATCH($A10*100+E$5,日別データ!$D:$D,0)),"")</f>
        <v>3</v>
      </c>
      <c r="F10" s="31" t="n">
        <f aca="false">IFERROR(INDEX(日別データ!$E:$E,MATCH($A10*100+F$5,日別データ!$D:$D,0)),"")</f>
        <v>3</v>
      </c>
      <c r="G10" s="31" t="n">
        <f aca="false">IFERROR(INDEX(日別データ!$E:$E,MATCH($A10*100+G$5,日別データ!$D:$D,0)),"")</f>
        <v>3</v>
      </c>
      <c r="H10" s="31" t="n">
        <f aca="false">IFERROR(INDEX(日別データ!$E:$E,MATCH($A10*100+H$5,日別データ!$D:$D,0)),"")</f>
        <v>3</v>
      </c>
      <c r="I10" s="31" t="n">
        <f aca="false">IFERROR(INDEX(日別データ!$E:$E,MATCH($A10*100+I$5,日別データ!$D:$D,0)),"")</f>
        <v>3</v>
      </c>
      <c r="J10" s="31" t="n">
        <f aca="false">IFERROR(INDEX(日別データ!$E:$E,MATCH($A10*100+J$5,日別データ!$D:$D,0)),"")</f>
        <v>3</v>
      </c>
      <c r="K10" s="31" t="n">
        <f aca="false">IFERROR(INDEX(日別データ!$E:$E,MATCH($A10*100+K$5,日別データ!$D:$D,0)),"")</f>
        <v>3</v>
      </c>
      <c r="L10" s="31" t="n">
        <f aca="false">IFERROR(INDEX(日別データ!$E:$E,MATCH($A10*100+L$5,日別データ!$D:$D,0)),"")</f>
        <v>3</v>
      </c>
      <c r="M10" s="31" t="n">
        <f aca="false">IFERROR(INDEX(日別データ!$E:$E,MATCH($A10*100+M$5,日別データ!$D:$D,0)),"")</f>
        <v>3</v>
      </c>
      <c r="N10" s="31" t="n">
        <f aca="false">IFERROR(INDEX(日別データ!$E:$E,MATCH($A10*100+N$5,日別データ!$D:$D,0)),"")</f>
        <v>3</v>
      </c>
      <c r="O10" s="31" t="n">
        <f aca="false">IFERROR(INDEX(日別データ!$E:$E,MATCH($A10*100+O$5,日別データ!$D:$D,0)),"")</f>
        <v>3</v>
      </c>
      <c r="P10" s="31" t="n">
        <f aca="false">IFERROR(INDEX(日別データ!$E:$E,MATCH($A10*100+P$5,日別データ!$D:$D,0)),"")</f>
        <v>3</v>
      </c>
      <c r="Q10" s="31" t="n">
        <f aca="false">IFERROR(INDEX(日別データ!$E:$E,MATCH($A10*100+Q$5,日別データ!$D:$D,0)),"")</f>
        <v>3</v>
      </c>
      <c r="R10" s="31" t="n">
        <f aca="false">IFERROR(INDEX(日別データ!$E:$E,MATCH($A10*100+R$5,日別データ!$D:$D,0)),"")</f>
        <v>3</v>
      </c>
      <c r="S10" s="31" t="n">
        <f aca="false">IFERROR(INDEX(日別データ!$E:$E,MATCH($A10*100+S$5,日別データ!$D:$D,0)),"")</f>
        <v>3</v>
      </c>
      <c r="T10" s="31" t="n">
        <f aca="false">IFERROR(INDEX(日別データ!$E:$E,MATCH($A10*100+T$5,日別データ!$D:$D,0)),"")</f>
        <v>3</v>
      </c>
      <c r="U10" s="31" t="n">
        <f aca="false">IFERROR(INDEX(日別データ!$E:$E,MATCH($A10*100+U$5,日別データ!$D:$D,0)),"")</f>
        <v>3</v>
      </c>
      <c r="V10" s="31" t="n">
        <f aca="false">IFERROR(INDEX(日別データ!$E:$E,MATCH($A10*100+V$5,日別データ!$D:$D,0)),"")</f>
        <v>3</v>
      </c>
      <c r="W10" s="31" t="n">
        <f aca="false">IFERROR(INDEX(日別データ!$E:$E,MATCH($A10*100+W$5,日別データ!$D:$D,0)),"")</f>
        <v>3</v>
      </c>
      <c r="X10" s="31" t="n">
        <f aca="false">IFERROR(INDEX(日別データ!$E:$E,MATCH($A10*100+X$5,日別データ!$D:$D,0)),"")</f>
        <v>3</v>
      </c>
      <c r="Y10" s="31" t="n">
        <f aca="false">IFERROR(INDEX(日別データ!$E:$E,MATCH($A10*100+Y$5,日別データ!$D:$D,0)),"")</f>
        <v>3</v>
      </c>
      <c r="Z10" s="31" t="n">
        <f aca="false">IFERROR(INDEX(日別データ!$E:$E,MATCH($A10*100+Z$5,日別データ!$D:$D,0)),"")</f>
        <v>3</v>
      </c>
      <c r="AA10" s="31" t="n">
        <f aca="false">IFERROR(INDEX(日別データ!$E:$E,MATCH($A10*100+AA$5,日別データ!$D:$D,0)),"")</f>
        <v>3</v>
      </c>
      <c r="AB10" s="31" t="n">
        <f aca="false">IFERROR(INDEX(日別データ!$E:$E,MATCH($A10*100+AB$5,日別データ!$D:$D,0)),"")</f>
        <v>3</v>
      </c>
      <c r="AC10" s="31" t="n">
        <f aca="false">IFERROR(INDEX(日別データ!$E:$E,MATCH($A10*100+AC$5,日別データ!$D:$D,0)),"")</f>
        <v>3</v>
      </c>
      <c r="AD10" s="31" t="n">
        <f aca="false">IFERROR(INDEX(日別データ!$E:$E,MATCH($A10*100+AD$5,日別データ!$D:$D,0)),"")</f>
        <v>3</v>
      </c>
      <c r="AE10" s="31" t="n">
        <f aca="false">IFERROR(INDEX(日別データ!$E:$E,MATCH($A10*100+AE$5,日別データ!$D:$D,0)),"")</f>
        <v>3</v>
      </c>
      <c r="AF10" s="31" t="n">
        <f aca="false">IFERROR(INDEX(日別データ!$E:$E,MATCH($A10*100+AF$5,日別データ!$D:$D,0)),"")</f>
        <v>3</v>
      </c>
    </row>
    <row r="11" customFormat="false" ht="15" hidden="false" customHeight="false" outlineLevel="0" collapsed="false">
      <c r="A11" s="30" t="n">
        <v>6</v>
      </c>
      <c r="B11" s="31" t="n">
        <f aca="false">IFERROR(INDEX(日別データ!$E:$E,MATCH($A11*100+B$5,日別データ!$D:$D,0)),"")</f>
        <v>3</v>
      </c>
      <c r="C11" s="31" t="n">
        <f aca="false">IFERROR(INDEX(日別データ!$E:$E,MATCH($A11*100+C$5,日別データ!$D:$D,0)),"")</f>
        <v>3</v>
      </c>
      <c r="D11" s="31" t="n">
        <f aca="false">IFERROR(INDEX(日別データ!$E:$E,MATCH($A11*100+D$5,日別データ!$D:$D,0)),"")</f>
        <v>3</v>
      </c>
      <c r="E11" s="31" t="n">
        <f aca="false">IFERROR(INDEX(日別データ!$E:$E,MATCH($A11*100+E$5,日別データ!$D:$D,0)),"")</f>
        <v>3</v>
      </c>
      <c r="F11" s="31" t="n">
        <f aca="false">IFERROR(INDEX(日別データ!$E:$E,MATCH($A11*100+F$5,日別データ!$D:$D,0)),"")</f>
        <v>3</v>
      </c>
      <c r="G11" s="31" t="n">
        <f aca="false">IFERROR(INDEX(日別データ!$E:$E,MATCH($A11*100+G$5,日別データ!$D:$D,0)),"")</f>
        <v>3</v>
      </c>
      <c r="H11" s="31" t="n">
        <f aca="false">IFERROR(INDEX(日別データ!$E:$E,MATCH($A11*100+H$5,日別データ!$D:$D,0)),"")</f>
        <v>3</v>
      </c>
      <c r="I11" s="31" t="n">
        <f aca="false">IFERROR(INDEX(日別データ!$E:$E,MATCH($A11*100+I$5,日別データ!$D:$D,0)),"")</f>
        <v>3</v>
      </c>
      <c r="J11" s="31" t="n">
        <f aca="false">IFERROR(INDEX(日別データ!$E:$E,MATCH($A11*100+J$5,日別データ!$D:$D,0)),"")</f>
        <v>3</v>
      </c>
      <c r="K11" s="31" t="n">
        <f aca="false">IFERROR(INDEX(日別データ!$E:$E,MATCH($A11*100+K$5,日別データ!$D:$D,0)),"")</f>
        <v>3</v>
      </c>
      <c r="L11" s="31" t="n">
        <f aca="false">IFERROR(INDEX(日別データ!$E:$E,MATCH($A11*100+L$5,日別データ!$D:$D,0)),"")</f>
        <v>3</v>
      </c>
      <c r="M11" s="31" t="n">
        <f aca="false">IFERROR(INDEX(日別データ!$E:$E,MATCH($A11*100+M$5,日別データ!$D:$D,0)),"")</f>
        <v>3</v>
      </c>
      <c r="N11" s="31" t="n">
        <f aca="false">IFERROR(INDEX(日別データ!$E:$E,MATCH($A11*100+N$5,日別データ!$D:$D,0)),"")</f>
        <v>3</v>
      </c>
      <c r="O11" s="31" t="n">
        <f aca="false">IFERROR(INDEX(日別データ!$E:$E,MATCH($A11*100+O$5,日別データ!$D:$D,0)),"")</f>
        <v>3</v>
      </c>
      <c r="P11" s="31" t="n">
        <f aca="false">IFERROR(INDEX(日別データ!$E:$E,MATCH($A11*100+P$5,日別データ!$D:$D,0)),"")</f>
        <v>3</v>
      </c>
      <c r="Q11" s="31" t="n">
        <f aca="false">IFERROR(INDEX(日別データ!$E:$E,MATCH($A11*100+Q$5,日別データ!$D:$D,0)),"")</f>
        <v>3</v>
      </c>
      <c r="R11" s="31" t="n">
        <f aca="false">IFERROR(INDEX(日別データ!$E:$E,MATCH($A11*100+R$5,日別データ!$D:$D,0)),"")</f>
        <v>3</v>
      </c>
      <c r="S11" s="31" t="n">
        <f aca="false">IFERROR(INDEX(日別データ!$E:$E,MATCH($A11*100+S$5,日別データ!$D:$D,0)),"")</f>
        <v>3</v>
      </c>
      <c r="T11" s="31" t="n">
        <f aca="false">IFERROR(INDEX(日別データ!$E:$E,MATCH($A11*100+T$5,日別データ!$D:$D,0)),"")</f>
        <v>3</v>
      </c>
      <c r="U11" s="31" t="n">
        <f aca="false">IFERROR(INDEX(日別データ!$E:$E,MATCH($A11*100+U$5,日別データ!$D:$D,0)),"")</f>
        <v>3</v>
      </c>
      <c r="V11" s="31" t="n">
        <f aca="false">IFERROR(INDEX(日別データ!$E:$E,MATCH($A11*100+V$5,日別データ!$D:$D,0)),"")</f>
        <v>3</v>
      </c>
      <c r="W11" s="31" t="n">
        <f aca="false">IFERROR(INDEX(日別データ!$E:$E,MATCH($A11*100+W$5,日別データ!$D:$D,0)),"")</f>
        <v>3</v>
      </c>
      <c r="X11" s="31" t="n">
        <f aca="false">IFERROR(INDEX(日別データ!$E:$E,MATCH($A11*100+X$5,日別データ!$D:$D,0)),"")</f>
        <v>3</v>
      </c>
      <c r="Y11" s="31" t="n">
        <f aca="false">IFERROR(INDEX(日別データ!$E:$E,MATCH($A11*100+Y$5,日別データ!$D:$D,0)),"")</f>
        <v>3</v>
      </c>
      <c r="Z11" s="31" t="n">
        <f aca="false">IFERROR(INDEX(日別データ!$E:$E,MATCH($A11*100+Z$5,日別データ!$D:$D,0)),"")</f>
        <v>3</v>
      </c>
      <c r="AA11" s="31" t="n">
        <f aca="false">IFERROR(INDEX(日別データ!$E:$E,MATCH($A11*100+AA$5,日別データ!$D:$D,0)),"")</f>
        <v>3</v>
      </c>
      <c r="AB11" s="31" t="n">
        <f aca="false">IFERROR(INDEX(日別データ!$E:$E,MATCH($A11*100+AB$5,日別データ!$D:$D,0)),"")</f>
        <v>3</v>
      </c>
      <c r="AC11" s="31" t="n">
        <f aca="false">IFERROR(INDEX(日別データ!$E:$E,MATCH($A11*100+AC$5,日別データ!$D:$D,0)),"")</f>
        <v>3</v>
      </c>
      <c r="AD11" s="31" t="n">
        <f aca="false">IFERROR(INDEX(日別データ!$E:$E,MATCH($A11*100+AD$5,日別データ!$D:$D,0)),"")</f>
        <v>3</v>
      </c>
      <c r="AE11" s="31" t="n">
        <f aca="false">IFERROR(INDEX(日別データ!$E:$E,MATCH($A11*100+AE$5,日別データ!$D:$D,0)),"")</f>
        <v>6</v>
      </c>
      <c r="AF11" s="31" t="str">
        <f aca="false">IFERROR(INDEX(日別データ!$E:$E,MATCH($A11*100+AF$5,日別データ!$D:$D,0)),"")</f>
        <v/>
      </c>
    </row>
    <row r="12" customFormat="false" ht="15" hidden="false" customHeight="false" outlineLevel="0" collapsed="false">
      <c r="A12" s="30" t="n">
        <v>7</v>
      </c>
      <c r="B12" s="31" t="n">
        <f aca="false">IFERROR(INDEX(日別データ!$E:$E,MATCH($A12*100+B$5,日別データ!$D:$D,0)),"")</f>
        <v>6</v>
      </c>
      <c r="C12" s="31" t="n">
        <f aca="false">IFERROR(INDEX(日別データ!$E:$E,MATCH($A12*100+C$5,日別データ!$D:$D,0)),"")</f>
        <v>6</v>
      </c>
      <c r="D12" s="31" t="n">
        <f aca="false">IFERROR(INDEX(日別データ!$E:$E,MATCH($A12*100+D$5,日別データ!$D:$D,0)),"")</f>
        <v>6</v>
      </c>
      <c r="E12" s="31" t="n">
        <f aca="false">IFERROR(INDEX(日別データ!$E:$E,MATCH($A12*100+E$5,日別データ!$D:$D,0)),"")</f>
        <v>6</v>
      </c>
      <c r="F12" s="31" t="n">
        <f aca="false">IFERROR(INDEX(日別データ!$E:$E,MATCH($A12*100+F$5,日別データ!$D:$D,0)),"")</f>
        <v>6</v>
      </c>
      <c r="G12" s="31" t="n">
        <f aca="false">IFERROR(INDEX(日別データ!$E:$E,MATCH($A12*100+G$5,日別データ!$D:$D,0)),"")</f>
        <v>6</v>
      </c>
      <c r="H12" s="31" t="n">
        <f aca="false">IFERROR(INDEX(日別データ!$E:$E,MATCH($A12*100+H$5,日別データ!$D:$D,0)),"")</f>
        <v>6</v>
      </c>
      <c r="I12" s="31" t="n">
        <f aca="false">IFERROR(INDEX(日別データ!$E:$E,MATCH($A12*100+I$5,日別データ!$D:$D,0)),"")</f>
        <v>6</v>
      </c>
      <c r="J12" s="31" t="n">
        <f aca="false">IFERROR(INDEX(日別データ!$E:$E,MATCH($A12*100+J$5,日別データ!$D:$D,0)),"")</f>
        <v>6</v>
      </c>
      <c r="K12" s="31" t="n">
        <f aca="false">IFERROR(INDEX(日別データ!$E:$E,MATCH($A12*100+K$5,日別データ!$D:$D,0)),"")</f>
        <v>6</v>
      </c>
      <c r="L12" s="31" t="n">
        <f aca="false">IFERROR(INDEX(日別データ!$E:$E,MATCH($A12*100+L$5,日別データ!$D:$D,0)),"")</f>
        <v>6</v>
      </c>
      <c r="M12" s="31" t="n">
        <f aca="false">IFERROR(INDEX(日別データ!$E:$E,MATCH($A12*100+M$5,日別データ!$D:$D,0)),"")</f>
        <v>6</v>
      </c>
      <c r="N12" s="31" t="n">
        <f aca="false">IFERROR(INDEX(日別データ!$E:$E,MATCH($A12*100+N$5,日別データ!$D:$D,0)),"")</f>
        <v>6</v>
      </c>
      <c r="O12" s="31" t="n">
        <f aca="false">IFERROR(INDEX(日別データ!$E:$E,MATCH($A12*100+O$5,日別データ!$D:$D,0)),"")</f>
        <v>6</v>
      </c>
      <c r="P12" s="31" t="n">
        <f aca="false">IFERROR(INDEX(日別データ!$E:$E,MATCH($A12*100+P$5,日別データ!$D:$D,0)),"")</f>
        <v>6</v>
      </c>
      <c r="Q12" s="31" t="n">
        <f aca="false">IFERROR(INDEX(日別データ!$E:$E,MATCH($A12*100+Q$5,日別データ!$D:$D,0)),"")</f>
        <v>6</v>
      </c>
      <c r="R12" s="31" t="n">
        <f aca="false">IFERROR(INDEX(日別データ!$E:$E,MATCH($A12*100+R$5,日別データ!$D:$D,0)),"")</f>
        <v>6</v>
      </c>
      <c r="S12" s="31" t="n">
        <f aca="false">IFERROR(INDEX(日別データ!$E:$E,MATCH($A12*100+S$5,日別データ!$D:$D,0)),"")</f>
        <v>6</v>
      </c>
      <c r="T12" s="31" t="n">
        <f aca="false">IFERROR(INDEX(日別データ!$E:$E,MATCH($A12*100+T$5,日別データ!$D:$D,0)),"")</f>
        <v>6</v>
      </c>
      <c r="U12" s="31" t="n">
        <f aca="false">IFERROR(INDEX(日別データ!$E:$E,MATCH($A12*100+U$5,日別データ!$D:$D,0)),"")</f>
        <v>6</v>
      </c>
      <c r="V12" s="31" t="n">
        <f aca="false">IFERROR(INDEX(日別データ!$E:$E,MATCH($A12*100+V$5,日別データ!$D:$D,0)),"")</f>
        <v>6</v>
      </c>
      <c r="W12" s="31" t="n">
        <f aca="false">IFERROR(INDEX(日別データ!$E:$E,MATCH($A12*100+W$5,日別データ!$D:$D,0)),"")</f>
        <v>6</v>
      </c>
      <c r="X12" s="31" t="n">
        <f aca="false">IFERROR(INDEX(日別データ!$E:$E,MATCH($A12*100+X$5,日別データ!$D:$D,0)),"")</f>
        <v>6</v>
      </c>
      <c r="Y12" s="31" t="n">
        <f aca="false">IFERROR(INDEX(日別データ!$E:$E,MATCH($A12*100+Y$5,日別データ!$D:$D,0)),"")</f>
        <v>6</v>
      </c>
      <c r="Z12" s="31" t="n">
        <f aca="false">IFERROR(INDEX(日別データ!$E:$E,MATCH($A12*100+Z$5,日別データ!$D:$D,0)),"")</f>
        <v>6</v>
      </c>
      <c r="AA12" s="31" t="n">
        <f aca="false">IFERROR(INDEX(日別データ!$E:$E,MATCH($A12*100+AA$5,日別データ!$D:$D,0)),"")</f>
        <v>6</v>
      </c>
      <c r="AB12" s="31" t="n">
        <f aca="false">IFERROR(INDEX(日別データ!$E:$E,MATCH($A12*100+AB$5,日別データ!$D:$D,0)),"")</f>
        <v>6</v>
      </c>
      <c r="AC12" s="31" t="n">
        <f aca="false">IFERROR(INDEX(日別データ!$E:$E,MATCH($A12*100+AC$5,日別データ!$D:$D,0)),"")</f>
        <v>6</v>
      </c>
      <c r="AD12" s="31" t="n">
        <f aca="false">IFERROR(INDEX(日別データ!$E:$E,MATCH($A12*100+AD$5,日別データ!$D:$D,0)),"")</f>
        <v>6</v>
      </c>
      <c r="AE12" s="31" t="n">
        <f aca="false">IFERROR(INDEX(日別データ!$E:$E,MATCH($A12*100+AE$5,日別データ!$D:$D,0)),"")</f>
        <v>6</v>
      </c>
      <c r="AF12" s="31" t="n">
        <f aca="false">IFERROR(INDEX(日別データ!$E:$E,MATCH($A12*100+AF$5,日別データ!$D:$D,0)),"")</f>
        <v>6</v>
      </c>
    </row>
    <row r="13" customFormat="false" ht="15" hidden="false" customHeight="false" outlineLevel="0" collapsed="false">
      <c r="A13" s="30" t="n">
        <v>8</v>
      </c>
      <c r="B13" s="31" t="n">
        <f aca="false">IFERROR(INDEX(日別データ!$E:$E,MATCH($A13*100+B$5,日別データ!$D:$D,0)),"")</f>
        <v>6</v>
      </c>
      <c r="C13" s="31" t="n">
        <f aca="false">IFERROR(INDEX(日別データ!$E:$E,MATCH($A13*100+C$5,日別データ!$D:$D,0)),"")</f>
        <v>6</v>
      </c>
      <c r="D13" s="31" t="n">
        <f aca="false">IFERROR(INDEX(日別データ!$E:$E,MATCH($A13*100+D$5,日別データ!$D:$D,0)),"")</f>
        <v>6</v>
      </c>
      <c r="E13" s="31" t="n">
        <f aca="false">IFERROR(INDEX(日別データ!$E:$E,MATCH($A13*100+E$5,日別データ!$D:$D,0)),"")</f>
        <v>6</v>
      </c>
      <c r="F13" s="31" t="n">
        <f aca="false">IFERROR(INDEX(日別データ!$E:$E,MATCH($A13*100+F$5,日別データ!$D:$D,0)),"")</f>
        <v>6</v>
      </c>
      <c r="G13" s="31" t="n">
        <f aca="false">IFERROR(INDEX(日別データ!$E:$E,MATCH($A13*100+G$5,日別データ!$D:$D,0)),"")</f>
        <v>6</v>
      </c>
      <c r="H13" s="31" t="n">
        <f aca="false">IFERROR(INDEX(日別データ!$E:$E,MATCH($A13*100+H$5,日別データ!$D:$D,0)),"")</f>
        <v>6</v>
      </c>
      <c r="I13" s="31" t="n">
        <f aca="false">IFERROR(INDEX(日別データ!$E:$E,MATCH($A13*100+I$5,日別データ!$D:$D,0)),"")</f>
        <v>6</v>
      </c>
      <c r="J13" s="31" t="n">
        <f aca="false">IFERROR(INDEX(日別データ!$E:$E,MATCH($A13*100+J$5,日別データ!$D:$D,0)),"")</f>
        <v>6</v>
      </c>
      <c r="K13" s="31" t="n">
        <f aca="false">IFERROR(INDEX(日別データ!$E:$E,MATCH($A13*100+K$5,日別データ!$D:$D,0)),"")</f>
        <v>6</v>
      </c>
      <c r="L13" s="31" t="n">
        <f aca="false">IFERROR(INDEX(日別データ!$E:$E,MATCH($A13*100+L$5,日別データ!$D:$D,0)),"")</f>
        <v>6</v>
      </c>
      <c r="M13" s="31" t="n">
        <f aca="false">IFERROR(INDEX(日別データ!$E:$E,MATCH($A13*100+M$5,日別データ!$D:$D,0)),"")</f>
        <v>6</v>
      </c>
      <c r="N13" s="31" t="n">
        <f aca="false">IFERROR(INDEX(日別データ!$E:$E,MATCH($A13*100+N$5,日別データ!$D:$D,0)),"")</f>
        <v>6</v>
      </c>
      <c r="O13" s="31" t="n">
        <f aca="false">IFERROR(INDEX(日別データ!$E:$E,MATCH($A13*100+O$5,日別データ!$D:$D,0)),"")</f>
        <v>6</v>
      </c>
      <c r="P13" s="31" t="n">
        <f aca="false">IFERROR(INDEX(日別データ!$E:$E,MATCH($A13*100+P$5,日別データ!$D:$D,0)),"")</f>
        <v>6</v>
      </c>
      <c r="Q13" s="31" t="n">
        <f aca="false">IFERROR(INDEX(日別データ!$E:$E,MATCH($A13*100+Q$5,日別データ!$D:$D,0)),"")</f>
        <v>6</v>
      </c>
      <c r="R13" s="31" t="n">
        <f aca="false">IFERROR(INDEX(日別データ!$E:$E,MATCH($A13*100+R$5,日別データ!$D:$D,0)),"")</f>
        <v>6</v>
      </c>
      <c r="S13" s="31" t="n">
        <f aca="false">IFERROR(INDEX(日別データ!$E:$E,MATCH($A13*100+S$5,日別データ!$D:$D,0)),"")</f>
        <v>6</v>
      </c>
      <c r="T13" s="31" t="n">
        <f aca="false">IFERROR(INDEX(日別データ!$E:$E,MATCH($A13*100+T$5,日別データ!$D:$D,0)),"")</f>
        <v>6</v>
      </c>
      <c r="U13" s="31" t="n">
        <f aca="false">IFERROR(INDEX(日別データ!$E:$E,MATCH($A13*100+U$5,日別データ!$D:$D,0)),"")</f>
        <v>6</v>
      </c>
      <c r="V13" s="31" t="n">
        <f aca="false">IFERROR(INDEX(日別データ!$E:$E,MATCH($A13*100+V$5,日別データ!$D:$D,0)),"")</f>
        <v>6</v>
      </c>
      <c r="W13" s="31" t="n">
        <f aca="false">IFERROR(INDEX(日別データ!$E:$E,MATCH($A13*100+W$5,日別データ!$D:$D,0)),"")</f>
        <v>6</v>
      </c>
      <c r="X13" s="31" t="n">
        <f aca="false">IFERROR(INDEX(日別データ!$E:$E,MATCH($A13*100+X$5,日別データ!$D:$D,0)),"")</f>
        <v>6</v>
      </c>
      <c r="Y13" s="31" t="n">
        <f aca="false">IFERROR(INDEX(日別データ!$E:$E,MATCH($A13*100+Y$5,日別データ!$D:$D,0)),"")</f>
        <v>6</v>
      </c>
      <c r="Z13" s="31" t="n">
        <f aca="false">IFERROR(INDEX(日別データ!$E:$E,MATCH($A13*100+Z$5,日別データ!$D:$D,0)),"")</f>
        <v>6</v>
      </c>
      <c r="AA13" s="31" t="n">
        <f aca="false">IFERROR(INDEX(日別データ!$E:$E,MATCH($A13*100+AA$5,日別データ!$D:$D,0)),"")</f>
        <v>6</v>
      </c>
      <c r="AB13" s="31" t="n">
        <f aca="false">IFERROR(INDEX(日別データ!$E:$E,MATCH($A13*100+AB$5,日別データ!$D:$D,0)),"")</f>
        <v>6</v>
      </c>
      <c r="AC13" s="31" t="n">
        <f aca="false">IFERROR(INDEX(日別データ!$E:$E,MATCH($A13*100+AC$5,日別データ!$D:$D,0)),"")</f>
        <v>6</v>
      </c>
      <c r="AD13" s="31" t="n">
        <f aca="false">IFERROR(INDEX(日別データ!$E:$E,MATCH($A13*100+AD$5,日別データ!$D:$D,0)),"")</f>
        <v>6</v>
      </c>
      <c r="AE13" s="31" t="n">
        <f aca="false">IFERROR(INDEX(日別データ!$E:$E,MATCH($A13*100+AE$5,日別データ!$D:$D,0)),"")</f>
        <v>6</v>
      </c>
      <c r="AF13" s="31" t="n">
        <f aca="false">IFERROR(INDEX(日別データ!$E:$E,MATCH($A13*100+AF$5,日別データ!$D:$D,0)),"")</f>
        <v>6</v>
      </c>
    </row>
    <row r="14" customFormat="false" ht="15" hidden="false" customHeight="false" outlineLevel="0" collapsed="false">
      <c r="A14" s="30" t="n">
        <v>9</v>
      </c>
      <c r="B14" s="31" t="n">
        <f aca="false">IFERROR(INDEX(日別データ!$E:$E,MATCH($A14*100+B$5,日別データ!$D:$D,0)),"")</f>
        <v>6</v>
      </c>
      <c r="C14" s="31" t="n">
        <f aca="false">IFERROR(INDEX(日別データ!$E:$E,MATCH($A14*100+C$5,日別データ!$D:$D,0)),"")</f>
        <v>6</v>
      </c>
      <c r="D14" s="31" t="n">
        <f aca="false">IFERROR(INDEX(日別データ!$E:$E,MATCH($A14*100+D$5,日別データ!$D:$D,0)),"")</f>
        <v>6</v>
      </c>
      <c r="E14" s="31" t="n">
        <f aca="false">IFERROR(INDEX(日別データ!$E:$E,MATCH($A14*100+E$5,日別データ!$D:$D,0)),"")</f>
        <v>6</v>
      </c>
      <c r="F14" s="31" t="n">
        <f aca="false">IFERROR(INDEX(日別データ!$E:$E,MATCH($A14*100+F$5,日別データ!$D:$D,0)),"")</f>
        <v>6</v>
      </c>
      <c r="G14" s="31" t="n">
        <f aca="false">IFERROR(INDEX(日別データ!$E:$E,MATCH($A14*100+G$5,日別データ!$D:$D,0)),"")</f>
        <v>6</v>
      </c>
      <c r="H14" s="31" t="n">
        <f aca="false">IFERROR(INDEX(日別データ!$E:$E,MATCH($A14*100+H$5,日別データ!$D:$D,0)),"")</f>
        <v>6</v>
      </c>
      <c r="I14" s="31" t="n">
        <f aca="false">IFERROR(INDEX(日別データ!$E:$E,MATCH($A14*100+I$5,日別データ!$D:$D,0)),"")</f>
        <v>6</v>
      </c>
      <c r="J14" s="31" t="n">
        <f aca="false">IFERROR(INDEX(日別データ!$E:$E,MATCH($A14*100+J$5,日別データ!$D:$D,0)),"")</f>
        <v>6</v>
      </c>
      <c r="K14" s="31" t="n">
        <f aca="false">IFERROR(INDEX(日別データ!$E:$E,MATCH($A14*100+K$5,日別データ!$D:$D,0)),"")</f>
        <v>6</v>
      </c>
      <c r="L14" s="31" t="n">
        <f aca="false">IFERROR(INDEX(日別データ!$E:$E,MATCH($A14*100+L$5,日別データ!$D:$D,0)),"")</f>
        <v>6</v>
      </c>
      <c r="M14" s="31" t="n">
        <f aca="false">IFERROR(INDEX(日別データ!$E:$E,MATCH($A14*100+M$5,日別データ!$D:$D,0)),"")</f>
        <v>6</v>
      </c>
      <c r="N14" s="31" t="n">
        <f aca="false">IFERROR(INDEX(日別データ!$E:$E,MATCH($A14*100+N$5,日別データ!$D:$D,0)),"")</f>
        <v>6</v>
      </c>
      <c r="O14" s="31" t="n">
        <f aca="false">IFERROR(INDEX(日別データ!$E:$E,MATCH($A14*100+O$5,日別データ!$D:$D,0)),"")</f>
        <v>6</v>
      </c>
      <c r="P14" s="31" t="n">
        <f aca="false">IFERROR(INDEX(日別データ!$E:$E,MATCH($A14*100+P$5,日別データ!$D:$D,0)),"")</f>
        <v>3</v>
      </c>
      <c r="Q14" s="31" t="n">
        <f aca="false">IFERROR(INDEX(日別データ!$E:$E,MATCH($A14*100+Q$5,日別データ!$D:$D,0)),"")</f>
        <v>3</v>
      </c>
      <c r="R14" s="31" t="n">
        <f aca="false">IFERROR(INDEX(日別データ!$E:$E,MATCH($A14*100+R$5,日別データ!$D:$D,0)),"")</f>
        <v>3</v>
      </c>
      <c r="S14" s="31" t="n">
        <f aca="false">IFERROR(INDEX(日別データ!$E:$E,MATCH($A14*100+S$5,日別データ!$D:$D,0)),"")</f>
        <v>3</v>
      </c>
      <c r="T14" s="31" t="n">
        <f aca="false">IFERROR(INDEX(日別データ!$E:$E,MATCH($A14*100+T$5,日別データ!$D:$D,0)),"")</f>
        <v>3</v>
      </c>
      <c r="U14" s="31" t="n">
        <f aca="false">IFERROR(INDEX(日別データ!$E:$E,MATCH($A14*100+U$5,日別データ!$D:$D,0)),"")</f>
        <v>3</v>
      </c>
      <c r="V14" s="31" t="n">
        <f aca="false">IFERROR(INDEX(日別データ!$E:$E,MATCH($A14*100+V$5,日別データ!$D:$D,0)),"")</f>
        <v>3</v>
      </c>
      <c r="W14" s="31" t="n">
        <f aca="false">IFERROR(INDEX(日別データ!$E:$E,MATCH($A14*100+W$5,日別データ!$D:$D,0)),"")</f>
        <v>3</v>
      </c>
      <c r="X14" s="31" t="n">
        <f aca="false">IFERROR(INDEX(日別データ!$E:$E,MATCH($A14*100+X$5,日別データ!$D:$D,0)),"")</f>
        <v>3</v>
      </c>
      <c r="Y14" s="31" t="n">
        <f aca="false">IFERROR(INDEX(日別データ!$E:$E,MATCH($A14*100+Y$5,日別データ!$D:$D,0)),"")</f>
        <v>3</v>
      </c>
      <c r="Z14" s="31" t="n">
        <f aca="false">IFERROR(INDEX(日別データ!$E:$E,MATCH($A14*100+Z$5,日別データ!$D:$D,0)),"")</f>
        <v>3</v>
      </c>
      <c r="AA14" s="31" t="n">
        <f aca="false">IFERROR(INDEX(日別データ!$E:$E,MATCH($A14*100+AA$5,日別データ!$D:$D,0)),"")</f>
        <v>3</v>
      </c>
      <c r="AB14" s="31" t="n">
        <f aca="false">IFERROR(INDEX(日別データ!$E:$E,MATCH($A14*100+AB$5,日別データ!$D:$D,0)),"")</f>
        <v>3</v>
      </c>
      <c r="AC14" s="31" t="n">
        <f aca="false">IFERROR(INDEX(日別データ!$E:$E,MATCH($A14*100+AC$5,日別データ!$D:$D,0)),"")</f>
        <v>3</v>
      </c>
      <c r="AD14" s="31" t="n">
        <f aca="false">IFERROR(INDEX(日別データ!$E:$E,MATCH($A14*100+AD$5,日別データ!$D:$D,0)),"")</f>
        <v>3</v>
      </c>
      <c r="AE14" s="31" t="n">
        <f aca="false">IFERROR(INDEX(日別データ!$E:$E,MATCH($A14*100+AE$5,日別データ!$D:$D,0)),"")</f>
        <v>3</v>
      </c>
      <c r="AF14" s="31" t="str">
        <f aca="false">IFERROR(INDEX(日別データ!$E:$E,MATCH($A14*100+AF$5,日別データ!$D:$D,0)),"")</f>
        <v/>
      </c>
    </row>
    <row r="15" customFormat="false" ht="15" hidden="false" customHeight="false" outlineLevel="0" collapsed="false">
      <c r="A15" s="30" t="n">
        <v>10</v>
      </c>
      <c r="B15" s="31" t="n">
        <f aca="false">IFERROR(INDEX(日別データ!$E:$E,MATCH($A15*100+B$5,日別データ!$D:$D,0)),"")</f>
        <v>3</v>
      </c>
      <c r="C15" s="31" t="n">
        <f aca="false">IFERROR(INDEX(日別データ!$E:$E,MATCH($A15*100+C$5,日別データ!$D:$D,0)),"")</f>
        <v>3</v>
      </c>
      <c r="D15" s="31" t="n">
        <f aca="false">IFERROR(INDEX(日別データ!$E:$E,MATCH($A15*100+D$5,日別データ!$D:$D,0)),"")</f>
        <v>3</v>
      </c>
      <c r="E15" s="31" t="n">
        <f aca="false">IFERROR(INDEX(日別データ!$E:$E,MATCH($A15*100+E$5,日別データ!$D:$D,0)),"")</f>
        <v>3</v>
      </c>
      <c r="F15" s="31" t="n">
        <f aca="false">IFERROR(INDEX(日別データ!$E:$E,MATCH($A15*100+F$5,日別データ!$D:$D,0)),"")</f>
        <v>3</v>
      </c>
      <c r="G15" s="31" t="n">
        <f aca="false">IFERROR(INDEX(日別データ!$E:$E,MATCH($A15*100+G$5,日別データ!$D:$D,0)),"")</f>
        <v>3</v>
      </c>
      <c r="H15" s="31" t="n">
        <f aca="false">IFERROR(INDEX(日別データ!$E:$E,MATCH($A15*100+H$5,日別データ!$D:$D,0)),"")</f>
        <v>3</v>
      </c>
      <c r="I15" s="31" t="n">
        <f aca="false">IFERROR(INDEX(日別データ!$E:$E,MATCH($A15*100+I$5,日別データ!$D:$D,0)),"")</f>
        <v>3</v>
      </c>
      <c r="J15" s="31" t="n">
        <f aca="false">IFERROR(INDEX(日別データ!$E:$E,MATCH($A15*100+J$5,日別データ!$D:$D,0)),"")</f>
        <v>3</v>
      </c>
      <c r="K15" s="31" t="n">
        <f aca="false">IFERROR(INDEX(日別データ!$E:$E,MATCH($A15*100+K$5,日別データ!$D:$D,0)),"")</f>
        <v>3</v>
      </c>
      <c r="L15" s="31" t="n">
        <f aca="false">IFERROR(INDEX(日別データ!$E:$E,MATCH($A15*100+L$5,日別データ!$D:$D,0)),"")</f>
        <v>3</v>
      </c>
      <c r="M15" s="31" t="n">
        <f aca="false">IFERROR(INDEX(日別データ!$E:$E,MATCH($A15*100+M$5,日別データ!$D:$D,0)),"")</f>
        <v>3</v>
      </c>
      <c r="N15" s="31" t="n">
        <f aca="false">IFERROR(INDEX(日別データ!$E:$E,MATCH($A15*100+N$5,日別データ!$D:$D,0)),"")</f>
        <v>3</v>
      </c>
      <c r="O15" s="31" t="n">
        <f aca="false">IFERROR(INDEX(日別データ!$E:$E,MATCH($A15*100+O$5,日別データ!$D:$D,0)),"")</f>
        <v>3</v>
      </c>
      <c r="P15" s="31" t="n">
        <f aca="false">IFERROR(INDEX(日別データ!$E:$E,MATCH($A15*100+P$5,日別データ!$D:$D,0)),"")</f>
        <v>3</v>
      </c>
      <c r="Q15" s="31" t="n">
        <f aca="false">IFERROR(INDEX(日別データ!$E:$E,MATCH($A15*100+Q$5,日別データ!$D:$D,0)),"")</f>
        <v>3</v>
      </c>
      <c r="R15" s="31" t="n">
        <f aca="false">IFERROR(INDEX(日別データ!$E:$E,MATCH($A15*100+R$5,日別データ!$D:$D,0)),"")</f>
        <v>3</v>
      </c>
      <c r="S15" s="31" t="n">
        <f aca="false">IFERROR(INDEX(日別データ!$E:$E,MATCH($A15*100+S$5,日別データ!$D:$D,0)),"")</f>
        <v>3</v>
      </c>
      <c r="T15" s="31" t="n">
        <f aca="false">IFERROR(INDEX(日別データ!$E:$E,MATCH($A15*100+T$5,日別データ!$D:$D,0)),"")</f>
        <v>3</v>
      </c>
      <c r="U15" s="31" t="n">
        <f aca="false">IFERROR(INDEX(日別データ!$E:$E,MATCH($A15*100+U$5,日別データ!$D:$D,0)),"")</f>
        <v>3</v>
      </c>
      <c r="V15" s="31" t="n">
        <f aca="false">IFERROR(INDEX(日別データ!$E:$E,MATCH($A15*100+V$5,日別データ!$D:$D,0)),"")</f>
        <v>3</v>
      </c>
      <c r="W15" s="31" t="n">
        <f aca="false">IFERROR(INDEX(日別データ!$E:$E,MATCH($A15*100+W$5,日別データ!$D:$D,0)),"")</f>
        <v>3</v>
      </c>
      <c r="X15" s="31" t="n">
        <f aca="false">IFERROR(INDEX(日別データ!$E:$E,MATCH($A15*100+X$5,日別データ!$D:$D,0)),"")</f>
        <v>3</v>
      </c>
      <c r="Y15" s="31" t="n">
        <f aca="false">IFERROR(INDEX(日別データ!$E:$E,MATCH($A15*100+Y$5,日別データ!$D:$D,0)),"")</f>
        <v>3</v>
      </c>
      <c r="Z15" s="31" t="n">
        <f aca="false">IFERROR(INDEX(日別データ!$E:$E,MATCH($A15*100+Z$5,日別データ!$D:$D,0)),"")</f>
        <v>3</v>
      </c>
      <c r="AA15" s="31" t="n">
        <f aca="false">IFERROR(INDEX(日別データ!$E:$E,MATCH($A15*100+AA$5,日別データ!$D:$D,0)),"")</f>
        <v>3</v>
      </c>
      <c r="AB15" s="31" t="n">
        <f aca="false">IFERROR(INDEX(日別データ!$E:$E,MATCH($A15*100+AB$5,日別データ!$D:$D,0)),"")</f>
        <v>3</v>
      </c>
      <c r="AC15" s="31" t="n">
        <f aca="false">IFERROR(INDEX(日別データ!$E:$E,MATCH($A15*100+AC$5,日別データ!$D:$D,0)),"")</f>
        <v>3</v>
      </c>
      <c r="AD15" s="31" t="n">
        <f aca="false">IFERROR(INDEX(日別データ!$E:$E,MATCH($A15*100+AD$5,日別データ!$D:$D,0)),"")</f>
        <v>3</v>
      </c>
      <c r="AE15" s="31" t="n">
        <f aca="false">IFERROR(INDEX(日別データ!$E:$E,MATCH($A15*100+AE$5,日別データ!$D:$D,0)),"")</f>
        <v>3</v>
      </c>
      <c r="AF15" s="31" t="n">
        <f aca="false">IFERROR(INDEX(日別データ!$E:$E,MATCH($A15*100+AF$5,日別データ!$D:$D,0)),"")</f>
        <v>3</v>
      </c>
    </row>
    <row r="16" customFormat="false" ht="15" hidden="false" customHeight="false" outlineLevel="0" collapsed="false">
      <c r="A16" s="30" t="n">
        <v>11</v>
      </c>
      <c r="B16" s="31" t="n">
        <f aca="false">IFERROR(INDEX(日別データ!$E:$E,MATCH($A16*100+B$5,日別データ!$D:$D,0)),"")</f>
        <v>3</v>
      </c>
      <c r="C16" s="31" t="n">
        <f aca="false">IFERROR(INDEX(日別データ!$E:$E,MATCH($A16*100+C$5,日別データ!$D:$D,0)),"")</f>
        <v>3</v>
      </c>
      <c r="D16" s="31" t="n">
        <f aca="false">IFERROR(INDEX(日別データ!$E:$E,MATCH($A16*100+D$5,日別データ!$D:$D,0)),"")</f>
        <v>3</v>
      </c>
      <c r="E16" s="31" t="n">
        <f aca="false">IFERROR(INDEX(日別データ!$E:$E,MATCH($A16*100+E$5,日別データ!$D:$D,0)),"")</f>
        <v>3</v>
      </c>
      <c r="F16" s="31" t="n">
        <f aca="false">IFERROR(INDEX(日別データ!$E:$E,MATCH($A16*100+F$5,日別データ!$D:$D,0)),"")</f>
        <v>3</v>
      </c>
      <c r="G16" s="31" t="n">
        <f aca="false">IFERROR(INDEX(日別データ!$E:$E,MATCH($A16*100+G$5,日別データ!$D:$D,0)),"")</f>
        <v>3</v>
      </c>
      <c r="H16" s="31" t="n">
        <f aca="false">IFERROR(INDEX(日別データ!$E:$E,MATCH($A16*100+H$5,日別データ!$D:$D,0)),"")</f>
        <v>3</v>
      </c>
      <c r="I16" s="31" t="n">
        <f aca="false">IFERROR(INDEX(日別データ!$E:$E,MATCH($A16*100+I$5,日別データ!$D:$D,0)),"")</f>
        <v>3</v>
      </c>
      <c r="J16" s="31" t="n">
        <f aca="false">IFERROR(INDEX(日別データ!$E:$E,MATCH($A16*100+J$5,日別データ!$D:$D,0)),"")</f>
        <v>3</v>
      </c>
      <c r="K16" s="31" t="n">
        <f aca="false">IFERROR(INDEX(日別データ!$E:$E,MATCH($A16*100+K$5,日別データ!$D:$D,0)),"")</f>
        <v>3</v>
      </c>
      <c r="L16" s="31" t="n">
        <f aca="false">IFERROR(INDEX(日別データ!$E:$E,MATCH($A16*100+L$5,日別データ!$D:$D,0)),"")</f>
        <v>3</v>
      </c>
      <c r="M16" s="31" t="n">
        <f aca="false">IFERROR(INDEX(日別データ!$E:$E,MATCH($A16*100+M$5,日別データ!$D:$D,0)),"")</f>
        <v>3</v>
      </c>
      <c r="N16" s="31" t="n">
        <f aca="false">IFERROR(INDEX(日別データ!$E:$E,MATCH($A16*100+N$5,日別データ!$D:$D,0)),"")</f>
        <v>3</v>
      </c>
      <c r="O16" s="31" t="n">
        <f aca="false">IFERROR(INDEX(日別データ!$E:$E,MATCH($A16*100+O$5,日別データ!$D:$D,0)),"")</f>
        <v>3</v>
      </c>
      <c r="P16" s="31" t="n">
        <f aca="false">IFERROR(INDEX(日別データ!$E:$E,MATCH($A16*100+P$5,日別データ!$D:$D,0)),"")</f>
        <v>3</v>
      </c>
      <c r="Q16" s="31" t="n">
        <f aca="false">IFERROR(INDEX(日別データ!$E:$E,MATCH($A16*100+Q$5,日別データ!$D:$D,0)),"")</f>
        <v>3</v>
      </c>
      <c r="R16" s="31" t="n">
        <f aca="false">IFERROR(INDEX(日別データ!$E:$E,MATCH($A16*100+R$5,日別データ!$D:$D,0)),"")</f>
        <v>3</v>
      </c>
      <c r="S16" s="31" t="n">
        <f aca="false">IFERROR(INDEX(日別データ!$E:$E,MATCH($A16*100+S$5,日別データ!$D:$D,0)),"")</f>
        <v>3</v>
      </c>
      <c r="T16" s="31" t="n">
        <f aca="false">IFERROR(INDEX(日別データ!$E:$E,MATCH($A16*100+T$5,日別データ!$D:$D,0)),"")</f>
        <v>3</v>
      </c>
      <c r="U16" s="31" t="n">
        <f aca="false">IFERROR(INDEX(日別データ!$E:$E,MATCH($A16*100+U$5,日別データ!$D:$D,0)),"")</f>
        <v>3</v>
      </c>
      <c r="V16" s="31" t="n">
        <f aca="false">IFERROR(INDEX(日別データ!$E:$E,MATCH($A16*100+V$5,日別データ!$D:$D,0)),"")</f>
        <v>3</v>
      </c>
      <c r="W16" s="31" t="n">
        <f aca="false">IFERROR(INDEX(日別データ!$E:$E,MATCH($A16*100+W$5,日別データ!$D:$D,0)),"")</f>
        <v>3</v>
      </c>
      <c r="X16" s="31" t="n">
        <f aca="false">IFERROR(INDEX(日別データ!$E:$E,MATCH($A16*100+X$5,日別データ!$D:$D,0)),"")</f>
        <v>3</v>
      </c>
      <c r="Y16" s="31" t="n">
        <f aca="false">IFERROR(INDEX(日別データ!$E:$E,MATCH($A16*100+Y$5,日別データ!$D:$D,0)),"")</f>
        <v>3</v>
      </c>
      <c r="Z16" s="31" t="n">
        <f aca="false">IFERROR(INDEX(日別データ!$E:$E,MATCH($A16*100+Z$5,日別データ!$D:$D,0)),"")</f>
        <v>3</v>
      </c>
      <c r="AA16" s="31" t="n">
        <f aca="false">IFERROR(INDEX(日別データ!$E:$E,MATCH($A16*100+AA$5,日別データ!$D:$D,0)),"")</f>
        <v>3</v>
      </c>
      <c r="AB16" s="31" t="n">
        <f aca="false">IFERROR(INDEX(日別データ!$E:$E,MATCH($A16*100+AB$5,日別データ!$D:$D,0)),"")</f>
        <v>6</v>
      </c>
      <c r="AC16" s="31" t="n">
        <f aca="false">IFERROR(INDEX(日別データ!$E:$E,MATCH($A16*100+AC$5,日別データ!$D:$D,0)),"")</f>
        <v>6</v>
      </c>
      <c r="AD16" s="31" t="n">
        <f aca="false">IFERROR(INDEX(日別データ!$E:$E,MATCH($A16*100+AD$5,日別データ!$D:$D,0)),"")</f>
        <v>6</v>
      </c>
      <c r="AE16" s="31" t="n">
        <f aca="false">IFERROR(INDEX(日別データ!$E:$E,MATCH($A16*100+AE$5,日別データ!$D:$D,0)),"")</f>
        <v>6</v>
      </c>
      <c r="AF16" s="31" t="str">
        <f aca="false">IFERROR(INDEX(日別データ!$E:$E,MATCH($A16*100+AF$5,日別データ!$D:$D,0)),"")</f>
        <v/>
      </c>
    </row>
    <row r="17" customFormat="false" ht="15" hidden="false" customHeight="false" outlineLevel="0" collapsed="false">
      <c r="A17" s="30" t="n">
        <v>12</v>
      </c>
      <c r="B17" s="31" t="n">
        <f aca="false">IFERROR(INDEX(日別データ!$E:$E,MATCH($A17*100+B$5,日別データ!$D:$D,0)),"")</f>
        <v>6</v>
      </c>
      <c r="C17" s="31" t="n">
        <f aca="false">IFERROR(INDEX(日別データ!$E:$E,MATCH($A17*100+C$5,日別データ!$D:$D,0)),"")</f>
        <v>6</v>
      </c>
      <c r="D17" s="31" t="n">
        <f aca="false">IFERROR(INDEX(日別データ!$E:$E,MATCH($A17*100+D$5,日別データ!$D:$D,0)),"")</f>
        <v>6</v>
      </c>
      <c r="E17" s="31" t="n">
        <f aca="false">IFERROR(INDEX(日別データ!$E:$E,MATCH($A17*100+E$5,日別データ!$D:$D,0)),"")</f>
        <v>6</v>
      </c>
      <c r="F17" s="31" t="n">
        <f aca="false">IFERROR(INDEX(日別データ!$E:$E,MATCH($A17*100+F$5,日別データ!$D:$D,0)),"")</f>
        <v>6</v>
      </c>
      <c r="G17" s="31" t="n">
        <f aca="false">IFERROR(INDEX(日別データ!$E:$E,MATCH($A17*100+G$5,日別データ!$D:$D,0)),"")</f>
        <v>6</v>
      </c>
      <c r="H17" s="31" t="n">
        <f aca="false">IFERROR(INDEX(日別データ!$E:$E,MATCH($A17*100+H$5,日別データ!$D:$D,0)),"")</f>
        <v>6</v>
      </c>
      <c r="I17" s="31" t="n">
        <f aca="false">IFERROR(INDEX(日別データ!$E:$E,MATCH($A17*100+I$5,日別データ!$D:$D,0)),"")</f>
        <v>6</v>
      </c>
      <c r="J17" s="31" t="n">
        <f aca="false">IFERROR(INDEX(日別データ!$E:$E,MATCH($A17*100+J$5,日別データ!$D:$D,0)),"")</f>
        <v>6</v>
      </c>
      <c r="K17" s="31" t="n">
        <f aca="false">IFERROR(INDEX(日別データ!$E:$E,MATCH($A17*100+K$5,日別データ!$D:$D,0)),"")</f>
        <v>6</v>
      </c>
      <c r="L17" s="31" t="n">
        <f aca="false">IFERROR(INDEX(日別データ!$E:$E,MATCH($A17*100+L$5,日別データ!$D:$D,0)),"")</f>
        <v>6</v>
      </c>
      <c r="M17" s="31" t="n">
        <f aca="false">IFERROR(INDEX(日別データ!$E:$E,MATCH($A17*100+M$5,日別データ!$D:$D,0)),"")</f>
        <v>6</v>
      </c>
      <c r="N17" s="31" t="n">
        <f aca="false">IFERROR(INDEX(日別データ!$E:$E,MATCH($A17*100+N$5,日別データ!$D:$D,0)),"")</f>
        <v>6</v>
      </c>
      <c r="O17" s="31" t="n">
        <f aca="false">IFERROR(INDEX(日別データ!$E:$E,MATCH($A17*100+O$5,日別データ!$D:$D,0)),"")</f>
        <v>6</v>
      </c>
      <c r="P17" s="31" t="n">
        <f aca="false">IFERROR(INDEX(日別データ!$E:$E,MATCH($A17*100+P$5,日別データ!$D:$D,0)),"")</f>
        <v>6</v>
      </c>
      <c r="Q17" s="31" t="n">
        <f aca="false">IFERROR(INDEX(日別データ!$E:$E,MATCH($A17*100+Q$5,日別データ!$D:$D,0)),"")</f>
        <v>6</v>
      </c>
      <c r="R17" s="31" t="n">
        <f aca="false">IFERROR(INDEX(日別データ!$E:$E,MATCH($A17*100+R$5,日別データ!$D:$D,0)),"")</f>
        <v>6</v>
      </c>
      <c r="S17" s="31" t="n">
        <f aca="false">IFERROR(INDEX(日別データ!$E:$E,MATCH($A17*100+S$5,日別データ!$D:$D,0)),"")</f>
        <v>6</v>
      </c>
      <c r="T17" s="31" t="n">
        <f aca="false">IFERROR(INDEX(日別データ!$E:$E,MATCH($A17*100+T$5,日別データ!$D:$D,0)),"")</f>
        <v>6</v>
      </c>
      <c r="U17" s="31" t="n">
        <f aca="false">IFERROR(INDEX(日別データ!$E:$E,MATCH($A17*100+U$5,日別データ!$D:$D,0)),"")</f>
        <v>6</v>
      </c>
      <c r="V17" s="31" t="n">
        <f aca="false">IFERROR(INDEX(日別データ!$E:$E,MATCH($A17*100+V$5,日別データ!$D:$D,0)),"")</f>
        <v>6</v>
      </c>
      <c r="W17" s="31" t="n">
        <f aca="false">IFERROR(INDEX(日別データ!$E:$E,MATCH($A17*100+W$5,日別データ!$D:$D,0)),"")</f>
        <v>6</v>
      </c>
      <c r="X17" s="31" t="n">
        <f aca="false">IFERROR(INDEX(日別データ!$E:$E,MATCH($A17*100+X$5,日別データ!$D:$D,0)),"")</f>
        <v>6</v>
      </c>
      <c r="Y17" s="31" t="n">
        <f aca="false">IFERROR(INDEX(日別データ!$E:$E,MATCH($A17*100+Y$5,日別データ!$D:$D,0)),"")</f>
        <v>6</v>
      </c>
      <c r="Z17" s="31" t="n">
        <f aca="false">IFERROR(INDEX(日別データ!$E:$E,MATCH($A17*100+Z$5,日別データ!$D:$D,0)),"")</f>
        <v>6</v>
      </c>
      <c r="AA17" s="31" t="n">
        <f aca="false">IFERROR(INDEX(日別データ!$E:$E,MATCH($A17*100+AA$5,日別データ!$D:$D,0)),"")</f>
        <v>6</v>
      </c>
      <c r="AB17" s="31" t="n">
        <f aca="false">IFERROR(INDEX(日別データ!$E:$E,MATCH($A17*100+AB$5,日別データ!$D:$D,0)),"")</f>
        <v>6</v>
      </c>
      <c r="AC17" s="31" t="n">
        <f aca="false">IFERROR(INDEX(日別データ!$E:$E,MATCH($A17*100+AC$5,日別データ!$D:$D,0)),"")</f>
        <v>6</v>
      </c>
      <c r="AD17" s="31" t="n">
        <f aca="false">IFERROR(INDEX(日別データ!$E:$E,MATCH($A17*100+AD$5,日別データ!$D:$D,0)),"")</f>
        <v>6</v>
      </c>
      <c r="AE17" s="31" t="n">
        <f aca="false">IFERROR(INDEX(日別データ!$E:$E,MATCH($A17*100+AE$5,日別データ!$D:$D,0)),"")</f>
        <v>6</v>
      </c>
      <c r="AF17" s="31" t="n">
        <f aca="false">IFERROR(INDEX(日別データ!$E:$E,MATCH($A17*100+AF$5,日別データ!$D:$D,0)),"")</f>
        <v>6</v>
      </c>
    </row>
    <row r="20" customFormat="false" ht="15" hidden="false" customHeight="false" outlineLevel="0" collapsed="false">
      <c r="A20" s="32" t="s">
        <v>67</v>
      </c>
    </row>
    <row r="21" customFormat="false" ht="15" hidden="false" customHeight="false" outlineLevel="0" collapsed="false">
      <c r="A21" s="28" t="s">
        <v>66</v>
      </c>
      <c r="B21" s="29" t="n">
        <v>1</v>
      </c>
      <c r="C21" s="29" t="n">
        <v>2</v>
      </c>
      <c r="D21" s="29" t="n">
        <v>3</v>
      </c>
      <c r="E21" s="29" t="n">
        <v>4</v>
      </c>
      <c r="F21" s="29" t="n">
        <v>5</v>
      </c>
      <c r="G21" s="29" t="n">
        <v>6</v>
      </c>
      <c r="H21" s="29" t="n">
        <v>7</v>
      </c>
      <c r="I21" s="29" t="n">
        <v>8</v>
      </c>
      <c r="J21" s="29" t="n">
        <v>9</v>
      </c>
      <c r="K21" s="29" t="n">
        <v>10</v>
      </c>
      <c r="L21" s="29" t="n">
        <v>11</v>
      </c>
      <c r="M21" s="29" t="n">
        <v>12</v>
      </c>
      <c r="N21" s="29" t="n">
        <v>13</v>
      </c>
      <c r="O21" s="29" t="n">
        <v>14</v>
      </c>
      <c r="P21" s="29" t="n">
        <v>15</v>
      </c>
      <c r="Q21" s="29" t="n">
        <v>16</v>
      </c>
      <c r="R21" s="29" t="n">
        <v>17</v>
      </c>
      <c r="S21" s="29" t="n">
        <v>18</v>
      </c>
      <c r="T21" s="29" t="n">
        <v>19</v>
      </c>
      <c r="U21" s="29" t="n">
        <v>20</v>
      </c>
      <c r="V21" s="29" t="n">
        <v>21</v>
      </c>
      <c r="W21" s="29" t="n">
        <v>22</v>
      </c>
      <c r="X21" s="29" t="n">
        <v>23</v>
      </c>
      <c r="Y21" s="29" t="n">
        <v>24</v>
      </c>
      <c r="Z21" s="29" t="n">
        <v>25</v>
      </c>
      <c r="AA21" s="29" t="n">
        <v>26</v>
      </c>
      <c r="AB21" s="29" t="n">
        <v>27</v>
      </c>
      <c r="AC21" s="29" t="n">
        <v>28</v>
      </c>
      <c r="AD21" s="29" t="n">
        <v>29</v>
      </c>
      <c r="AE21" s="29" t="n">
        <v>30</v>
      </c>
      <c r="AF21" s="29" t="n">
        <v>31</v>
      </c>
    </row>
    <row r="22" customFormat="false" ht="15" hidden="false" customHeight="false" outlineLevel="0" collapsed="false">
      <c r="A22" s="30" t="n">
        <v>1</v>
      </c>
      <c r="B22" s="33" t="str">
        <f aca="false">IFERROR(LEFT(INDEX(日別データ!$G:$G,MATCH($A22*100+B$21,日別データ!$D:$D,0)),1),"")</f>
        <v>冬</v>
      </c>
      <c r="C22" s="33" t="str">
        <f aca="false">IFERROR(LEFT(INDEX(日別データ!$G:$G,MATCH($A22*100+C$21,日別データ!$D:$D,0)),1),"")</f>
        <v>冬</v>
      </c>
      <c r="D22" s="33" t="str">
        <f aca="false">IFERROR(LEFT(INDEX(日別データ!$G:$G,MATCH($A22*100+D$21,日別データ!$D:$D,0)),1),"")</f>
        <v>冬</v>
      </c>
      <c r="E22" s="33" t="str">
        <f aca="false">IFERROR(LEFT(INDEX(日別データ!$G:$G,MATCH($A22*100+E$21,日別データ!$D:$D,0)),1),"")</f>
        <v>冬</v>
      </c>
      <c r="F22" s="33" t="str">
        <f aca="false">IFERROR(LEFT(INDEX(日別データ!$G:$G,MATCH($A22*100+F$21,日別データ!$D:$D,0)),1),"")</f>
        <v>冬</v>
      </c>
      <c r="G22" s="33" t="str">
        <f aca="false">IFERROR(LEFT(INDEX(日別データ!$G:$G,MATCH($A22*100+G$21,日別データ!$D:$D,0)),1),"")</f>
        <v>冬</v>
      </c>
      <c r="H22" s="33" t="str">
        <f aca="false">IFERROR(LEFT(INDEX(日別データ!$G:$G,MATCH($A22*100+H$21,日別データ!$D:$D,0)),1),"")</f>
        <v>冬</v>
      </c>
      <c r="I22" s="33" t="str">
        <f aca="false">IFERROR(LEFT(INDEX(日別データ!$G:$G,MATCH($A22*100+I$21,日別データ!$D:$D,0)),1),"")</f>
        <v>冬</v>
      </c>
      <c r="J22" s="33" t="str">
        <f aca="false">IFERROR(LEFT(INDEX(日別データ!$G:$G,MATCH($A22*100+J$21,日別データ!$D:$D,0)),1),"")</f>
        <v>冬</v>
      </c>
      <c r="K22" s="33" t="str">
        <f aca="false">IFERROR(LEFT(INDEX(日別データ!$G:$G,MATCH($A22*100+K$21,日別データ!$D:$D,0)),1),"")</f>
        <v>冬</v>
      </c>
      <c r="L22" s="33" t="str">
        <f aca="false">IFERROR(LEFT(INDEX(日別データ!$G:$G,MATCH($A22*100+L$21,日別データ!$D:$D,0)),1),"")</f>
        <v>冬</v>
      </c>
      <c r="M22" s="33" t="str">
        <f aca="false">IFERROR(LEFT(INDEX(日別データ!$G:$G,MATCH($A22*100+M$21,日別データ!$D:$D,0)),1),"")</f>
        <v>冬</v>
      </c>
      <c r="N22" s="33" t="str">
        <f aca="false">IFERROR(LEFT(INDEX(日別データ!$G:$G,MATCH($A22*100+N$21,日別データ!$D:$D,0)),1),"")</f>
        <v>冬</v>
      </c>
      <c r="O22" s="33" t="str">
        <f aca="false">IFERROR(LEFT(INDEX(日別データ!$G:$G,MATCH($A22*100+O$21,日別データ!$D:$D,0)),1),"")</f>
        <v>冬</v>
      </c>
      <c r="P22" s="33" t="str">
        <f aca="false">IFERROR(LEFT(INDEX(日別データ!$G:$G,MATCH($A22*100+P$21,日別データ!$D:$D,0)),1),"")</f>
        <v>冬</v>
      </c>
      <c r="Q22" s="33" t="str">
        <f aca="false">IFERROR(LEFT(INDEX(日別データ!$G:$G,MATCH($A22*100+Q$21,日別データ!$D:$D,0)),1),"")</f>
        <v>冬</v>
      </c>
      <c r="R22" s="33" t="str">
        <f aca="false">IFERROR(LEFT(INDEX(日別データ!$G:$G,MATCH($A22*100+R$21,日別データ!$D:$D,0)),1),"")</f>
        <v>冬</v>
      </c>
      <c r="S22" s="33" t="str">
        <f aca="false">IFERROR(LEFT(INDEX(日別データ!$G:$G,MATCH($A22*100+S$21,日別データ!$D:$D,0)),1),"")</f>
        <v>冬</v>
      </c>
      <c r="T22" s="33" t="str">
        <f aca="false">IFERROR(LEFT(INDEX(日別データ!$G:$G,MATCH($A22*100+T$21,日別データ!$D:$D,0)),1),"")</f>
        <v>冬</v>
      </c>
      <c r="U22" s="33" t="str">
        <f aca="false">IFERROR(LEFT(INDEX(日別データ!$G:$G,MATCH($A22*100+U$21,日別データ!$D:$D,0)),1),"")</f>
        <v>冬</v>
      </c>
      <c r="V22" s="33" t="str">
        <f aca="false">IFERROR(LEFT(INDEX(日別データ!$G:$G,MATCH($A22*100+V$21,日別データ!$D:$D,0)),1),"")</f>
        <v>冬</v>
      </c>
      <c r="W22" s="33" t="str">
        <f aca="false">IFERROR(LEFT(INDEX(日別データ!$G:$G,MATCH($A22*100+W$21,日別データ!$D:$D,0)),1),"")</f>
        <v>冬</v>
      </c>
      <c r="X22" s="33" t="str">
        <f aca="false">IFERROR(LEFT(INDEX(日別データ!$G:$G,MATCH($A22*100+X$21,日別データ!$D:$D,0)),1),"")</f>
        <v>冬</v>
      </c>
      <c r="Y22" s="33" t="str">
        <f aca="false">IFERROR(LEFT(INDEX(日別データ!$G:$G,MATCH($A22*100+Y$21,日別データ!$D:$D,0)),1),"")</f>
        <v>冬</v>
      </c>
      <c r="Z22" s="33" t="str">
        <f aca="false">IFERROR(LEFT(INDEX(日別データ!$G:$G,MATCH($A22*100+Z$21,日別データ!$D:$D,0)),1),"")</f>
        <v>冬</v>
      </c>
      <c r="AA22" s="33" t="str">
        <f aca="false">IFERROR(LEFT(INDEX(日別データ!$G:$G,MATCH($A22*100+AA$21,日別データ!$D:$D,0)),1),"")</f>
        <v>冬</v>
      </c>
      <c r="AB22" s="33" t="str">
        <f aca="false">IFERROR(LEFT(INDEX(日別データ!$G:$G,MATCH($A22*100+AB$21,日別データ!$D:$D,0)),1),"")</f>
        <v>冬</v>
      </c>
      <c r="AC22" s="33" t="str">
        <f aca="false">IFERROR(LEFT(INDEX(日別データ!$G:$G,MATCH($A22*100+AC$21,日別データ!$D:$D,0)),1),"")</f>
        <v>冬</v>
      </c>
      <c r="AD22" s="33" t="str">
        <f aca="false">IFERROR(LEFT(INDEX(日別データ!$G:$G,MATCH($A22*100+AD$21,日別データ!$D:$D,0)),1),"")</f>
        <v>冬</v>
      </c>
      <c r="AE22" s="33" t="str">
        <f aca="false">IFERROR(LEFT(INDEX(日別データ!$G:$G,MATCH($A22*100+AE$21,日別データ!$D:$D,0)),1),"")</f>
        <v>冬</v>
      </c>
      <c r="AF22" s="33" t="str">
        <f aca="false">IFERROR(LEFT(INDEX(日別データ!$G:$G,MATCH($A22*100+AF$21,日別データ!$D:$D,0)),1),"")</f>
        <v>冬</v>
      </c>
    </row>
    <row r="23" customFormat="false" ht="15" hidden="false" customHeight="false" outlineLevel="0" collapsed="false">
      <c r="A23" s="30" t="n">
        <v>2</v>
      </c>
      <c r="B23" s="33" t="str">
        <f aca="false">IFERROR(LEFT(INDEX(日別データ!$G:$G,MATCH($A23*100+B$21,日別データ!$D:$D,0)),1),"")</f>
        <v>冬</v>
      </c>
      <c r="C23" s="33" t="str">
        <f aca="false">IFERROR(LEFT(INDEX(日別データ!$G:$G,MATCH($A23*100+C$21,日別データ!$D:$D,0)),1),"")</f>
        <v>冬</v>
      </c>
      <c r="D23" s="33" t="str">
        <f aca="false">IFERROR(LEFT(INDEX(日別データ!$G:$G,MATCH($A23*100+D$21,日別データ!$D:$D,0)),1),"")</f>
        <v>冬</v>
      </c>
      <c r="E23" s="33" t="str">
        <f aca="false">IFERROR(LEFT(INDEX(日別データ!$G:$G,MATCH($A23*100+E$21,日別データ!$D:$D,0)),1),"")</f>
        <v>冬</v>
      </c>
      <c r="F23" s="33" t="str">
        <f aca="false">IFERROR(LEFT(INDEX(日別データ!$G:$G,MATCH($A23*100+F$21,日別データ!$D:$D,0)),1),"")</f>
        <v>冬</v>
      </c>
      <c r="G23" s="33" t="str">
        <f aca="false">IFERROR(LEFT(INDEX(日別データ!$G:$G,MATCH($A23*100+G$21,日別データ!$D:$D,0)),1),"")</f>
        <v>冬</v>
      </c>
      <c r="H23" s="33" t="str">
        <f aca="false">IFERROR(LEFT(INDEX(日別データ!$G:$G,MATCH($A23*100+H$21,日別データ!$D:$D,0)),1),"")</f>
        <v>冬</v>
      </c>
      <c r="I23" s="33" t="str">
        <f aca="false">IFERROR(LEFT(INDEX(日別データ!$G:$G,MATCH($A23*100+I$21,日別データ!$D:$D,0)),1),"")</f>
        <v>冬</v>
      </c>
      <c r="J23" s="33" t="str">
        <f aca="false">IFERROR(LEFT(INDEX(日別データ!$G:$G,MATCH($A23*100+J$21,日別データ!$D:$D,0)),1),"")</f>
        <v>冬</v>
      </c>
      <c r="K23" s="33" t="str">
        <f aca="false">IFERROR(LEFT(INDEX(日別データ!$G:$G,MATCH($A23*100+K$21,日別データ!$D:$D,0)),1),"")</f>
        <v>冬</v>
      </c>
      <c r="L23" s="33" t="str">
        <f aca="false">IFERROR(LEFT(INDEX(日別データ!$G:$G,MATCH($A23*100+L$21,日別データ!$D:$D,0)),1),"")</f>
        <v>冬</v>
      </c>
      <c r="M23" s="33" t="str">
        <f aca="false">IFERROR(LEFT(INDEX(日別データ!$G:$G,MATCH($A23*100+M$21,日別データ!$D:$D,0)),1),"")</f>
        <v>冬</v>
      </c>
      <c r="N23" s="33" t="str">
        <f aca="false">IFERROR(LEFT(INDEX(日別データ!$G:$G,MATCH($A23*100+N$21,日別データ!$D:$D,0)),1),"")</f>
        <v>冬</v>
      </c>
      <c r="O23" s="33" t="str">
        <f aca="false">IFERROR(LEFT(INDEX(日別データ!$G:$G,MATCH($A23*100+O$21,日別データ!$D:$D,0)),1),"")</f>
        <v>冬</v>
      </c>
      <c r="P23" s="33" t="str">
        <f aca="false">IFERROR(LEFT(INDEX(日別データ!$G:$G,MATCH($A23*100+P$21,日別データ!$D:$D,0)),1),"")</f>
        <v>冬</v>
      </c>
      <c r="Q23" s="33" t="str">
        <f aca="false">IFERROR(LEFT(INDEX(日別データ!$G:$G,MATCH($A23*100+Q$21,日別データ!$D:$D,0)),1),"")</f>
        <v>冬</v>
      </c>
      <c r="R23" s="33" t="str">
        <f aca="false">IFERROR(LEFT(INDEX(日別データ!$G:$G,MATCH($A23*100+R$21,日別データ!$D:$D,0)),1),"")</f>
        <v>冬</v>
      </c>
      <c r="S23" s="33" t="str">
        <f aca="false">IFERROR(LEFT(INDEX(日別データ!$G:$G,MATCH($A23*100+S$21,日別データ!$D:$D,0)),1),"")</f>
        <v>冬</v>
      </c>
      <c r="T23" s="33" t="str">
        <f aca="false">IFERROR(LEFT(INDEX(日別データ!$G:$G,MATCH($A23*100+T$21,日別データ!$D:$D,0)),1),"")</f>
        <v>冬</v>
      </c>
      <c r="U23" s="33" t="str">
        <f aca="false">IFERROR(LEFT(INDEX(日別データ!$G:$G,MATCH($A23*100+U$21,日別データ!$D:$D,0)),1),"")</f>
        <v>冬</v>
      </c>
      <c r="V23" s="33" t="str">
        <f aca="false">IFERROR(LEFT(INDEX(日別データ!$G:$G,MATCH($A23*100+V$21,日別データ!$D:$D,0)),1),"")</f>
        <v>冬</v>
      </c>
      <c r="W23" s="33" t="str">
        <f aca="false">IFERROR(LEFT(INDEX(日別データ!$G:$G,MATCH($A23*100+W$21,日別データ!$D:$D,0)),1),"")</f>
        <v>冬</v>
      </c>
      <c r="X23" s="33" t="str">
        <f aca="false">IFERROR(LEFT(INDEX(日別データ!$G:$G,MATCH($A23*100+X$21,日別データ!$D:$D,0)),1),"")</f>
        <v>冬</v>
      </c>
      <c r="Y23" s="33" t="str">
        <f aca="false">IFERROR(LEFT(INDEX(日別データ!$G:$G,MATCH($A23*100+Y$21,日別データ!$D:$D,0)),1),"")</f>
        <v>冬</v>
      </c>
      <c r="Z23" s="33" t="str">
        <f aca="false">IFERROR(LEFT(INDEX(日別データ!$G:$G,MATCH($A23*100+Z$21,日別データ!$D:$D,0)),1),"")</f>
        <v>冬</v>
      </c>
      <c r="AA23" s="33" t="str">
        <f aca="false">IFERROR(LEFT(INDEX(日別データ!$G:$G,MATCH($A23*100+AA$21,日別データ!$D:$D,0)),1),"")</f>
        <v>冬</v>
      </c>
      <c r="AB23" s="33" t="str">
        <f aca="false">IFERROR(LEFT(INDEX(日別データ!$G:$G,MATCH($A23*100+AB$21,日別データ!$D:$D,0)),1),"")</f>
        <v>冬</v>
      </c>
      <c r="AC23" s="33" t="str">
        <f aca="false">IFERROR(LEFT(INDEX(日別データ!$G:$G,MATCH($A23*100+AC$21,日別データ!$D:$D,0)),1),"")</f>
        <v>冬</v>
      </c>
      <c r="AD23" s="33" t="str">
        <f aca="false">IFERROR(LEFT(INDEX(日別データ!$G:$G,MATCH($A23*100+AD$21,日別データ!$D:$D,0)),1),"")</f>
        <v/>
      </c>
      <c r="AE23" s="33" t="str">
        <f aca="false">IFERROR(LEFT(INDEX(日別データ!$G:$G,MATCH($A23*100+AE$21,日別データ!$D:$D,0)),1),"")</f>
        <v/>
      </c>
      <c r="AF23" s="33" t="str">
        <f aca="false">IFERROR(LEFT(INDEX(日別データ!$G:$G,MATCH($A23*100+AF$21,日別データ!$D:$D,0)),1),"")</f>
        <v/>
      </c>
    </row>
    <row r="24" customFormat="false" ht="15" hidden="false" customHeight="false" outlineLevel="0" collapsed="false">
      <c r="A24" s="30" t="n">
        <v>3</v>
      </c>
      <c r="B24" s="33" t="str">
        <f aca="false">IFERROR(LEFT(INDEX(日別データ!$G:$G,MATCH($A24*100+B$21,日別データ!$D:$D,0)),1),"")</f>
        <v>冬</v>
      </c>
      <c r="C24" s="33" t="str">
        <f aca="false">IFERROR(LEFT(INDEX(日別データ!$G:$G,MATCH($A24*100+C$21,日別データ!$D:$D,0)),1),"")</f>
        <v>冬</v>
      </c>
      <c r="D24" s="33" t="str">
        <f aca="false">IFERROR(LEFT(INDEX(日別データ!$G:$G,MATCH($A24*100+D$21,日別データ!$D:$D,0)),1),"")</f>
        <v>冬</v>
      </c>
      <c r="E24" s="33" t="str">
        <f aca="false">IFERROR(LEFT(INDEX(日別データ!$G:$G,MATCH($A24*100+E$21,日別データ!$D:$D,0)),1),"")</f>
        <v>冬</v>
      </c>
      <c r="F24" s="33" t="str">
        <f aca="false">IFERROR(LEFT(INDEX(日別データ!$G:$G,MATCH($A24*100+F$21,日別データ!$D:$D,0)),1),"")</f>
        <v>冬</v>
      </c>
      <c r="G24" s="33" t="str">
        <f aca="false">IFERROR(LEFT(INDEX(日別データ!$G:$G,MATCH($A24*100+G$21,日別データ!$D:$D,0)),1),"")</f>
        <v>冬</v>
      </c>
      <c r="H24" s="33" t="str">
        <f aca="false">IFERROR(LEFT(INDEX(日別データ!$G:$G,MATCH($A24*100+H$21,日別データ!$D:$D,0)),1),"")</f>
        <v>冬</v>
      </c>
      <c r="I24" s="33" t="str">
        <f aca="false">IFERROR(LEFT(INDEX(日別データ!$G:$G,MATCH($A24*100+I$21,日別データ!$D:$D,0)),1),"")</f>
        <v>標</v>
      </c>
      <c r="J24" s="33" t="str">
        <f aca="false">IFERROR(LEFT(INDEX(日別データ!$G:$G,MATCH($A24*100+J$21,日別データ!$D:$D,0)),1),"")</f>
        <v>標</v>
      </c>
      <c r="K24" s="33" t="str">
        <f aca="false">IFERROR(LEFT(INDEX(日別データ!$G:$G,MATCH($A24*100+K$21,日別データ!$D:$D,0)),1),"")</f>
        <v>標</v>
      </c>
      <c r="L24" s="33" t="str">
        <f aca="false">IFERROR(LEFT(INDEX(日別データ!$G:$G,MATCH($A24*100+L$21,日別データ!$D:$D,0)),1),"")</f>
        <v>標</v>
      </c>
      <c r="M24" s="33" t="str">
        <f aca="false">IFERROR(LEFT(INDEX(日別データ!$G:$G,MATCH($A24*100+M$21,日別データ!$D:$D,0)),1),"")</f>
        <v>標</v>
      </c>
      <c r="N24" s="33" t="str">
        <f aca="false">IFERROR(LEFT(INDEX(日別データ!$G:$G,MATCH($A24*100+N$21,日別データ!$D:$D,0)),1),"")</f>
        <v>標</v>
      </c>
      <c r="O24" s="33" t="str">
        <f aca="false">IFERROR(LEFT(INDEX(日別データ!$G:$G,MATCH($A24*100+O$21,日別データ!$D:$D,0)),1),"")</f>
        <v>標</v>
      </c>
      <c r="P24" s="33" t="str">
        <f aca="false">IFERROR(LEFT(INDEX(日別データ!$G:$G,MATCH($A24*100+P$21,日別データ!$D:$D,0)),1),"")</f>
        <v>標</v>
      </c>
      <c r="Q24" s="33" t="str">
        <f aca="false">IFERROR(LEFT(INDEX(日別データ!$G:$G,MATCH($A24*100+Q$21,日別データ!$D:$D,0)),1),"")</f>
        <v>標</v>
      </c>
      <c r="R24" s="33" t="str">
        <f aca="false">IFERROR(LEFT(INDEX(日別データ!$G:$G,MATCH($A24*100+R$21,日別データ!$D:$D,0)),1),"")</f>
        <v>標</v>
      </c>
      <c r="S24" s="33" t="str">
        <f aca="false">IFERROR(LEFT(INDEX(日別データ!$G:$G,MATCH($A24*100+S$21,日別データ!$D:$D,0)),1),"")</f>
        <v>標</v>
      </c>
      <c r="T24" s="33" t="str">
        <f aca="false">IFERROR(LEFT(INDEX(日別データ!$G:$G,MATCH($A24*100+T$21,日別データ!$D:$D,0)),1),"")</f>
        <v>標</v>
      </c>
      <c r="U24" s="33" t="str">
        <f aca="false">IFERROR(LEFT(INDEX(日別データ!$G:$G,MATCH($A24*100+U$21,日別データ!$D:$D,0)),1),"")</f>
        <v>標</v>
      </c>
      <c r="V24" s="33" t="str">
        <f aca="false">IFERROR(LEFT(INDEX(日別データ!$G:$G,MATCH($A24*100+V$21,日別データ!$D:$D,0)),1),"")</f>
        <v>標</v>
      </c>
      <c r="W24" s="33" t="str">
        <f aca="false">IFERROR(LEFT(INDEX(日別データ!$G:$G,MATCH($A24*100+W$21,日別データ!$D:$D,0)),1),"")</f>
        <v>標</v>
      </c>
      <c r="X24" s="33" t="str">
        <f aca="false">IFERROR(LEFT(INDEX(日別データ!$G:$G,MATCH($A24*100+X$21,日別データ!$D:$D,0)),1),"")</f>
        <v>標</v>
      </c>
      <c r="Y24" s="33" t="str">
        <f aca="false">IFERROR(LEFT(INDEX(日別データ!$G:$G,MATCH($A24*100+Y$21,日別データ!$D:$D,0)),1),"")</f>
        <v>標</v>
      </c>
      <c r="Z24" s="33" t="str">
        <f aca="false">IFERROR(LEFT(INDEX(日別データ!$G:$G,MATCH($A24*100+Z$21,日別データ!$D:$D,0)),1),"")</f>
        <v>標</v>
      </c>
      <c r="AA24" s="33" t="str">
        <f aca="false">IFERROR(LEFT(INDEX(日別データ!$G:$G,MATCH($A24*100+AA$21,日別データ!$D:$D,0)),1),"")</f>
        <v>標</v>
      </c>
      <c r="AB24" s="33" t="str">
        <f aca="false">IFERROR(LEFT(INDEX(日別データ!$G:$G,MATCH($A24*100+AB$21,日別データ!$D:$D,0)),1),"")</f>
        <v>標</v>
      </c>
      <c r="AC24" s="33" t="str">
        <f aca="false">IFERROR(LEFT(INDEX(日別データ!$G:$G,MATCH($A24*100+AC$21,日別データ!$D:$D,0)),1),"")</f>
        <v>標</v>
      </c>
      <c r="AD24" s="33" t="str">
        <f aca="false">IFERROR(LEFT(INDEX(日別データ!$G:$G,MATCH($A24*100+AD$21,日別データ!$D:$D,0)),1),"")</f>
        <v>標</v>
      </c>
      <c r="AE24" s="33" t="str">
        <f aca="false">IFERROR(LEFT(INDEX(日別データ!$G:$G,MATCH($A24*100+AE$21,日別データ!$D:$D,0)),1),"")</f>
        <v>標</v>
      </c>
      <c r="AF24" s="33" t="str">
        <f aca="false">IFERROR(LEFT(INDEX(日別データ!$G:$G,MATCH($A24*100+AF$21,日別データ!$D:$D,0)),1),"")</f>
        <v>標</v>
      </c>
    </row>
    <row r="25" customFormat="false" ht="15" hidden="false" customHeight="false" outlineLevel="0" collapsed="false">
      <c r="A25" s="30" t="n">
        <v>4</v>
      </c>
      <c r="B25" s="33" t="str">
        <f aca="false">IFERROR(LEFT(INDEX(日別データ!$G:$G,MATCH($A25*100+B$21,日別データ!$D:$D,0)),1),"")</f>
        <v>標</v>
      </c>
      <c r="C25" s="33" t="str">
        <f aca="false">IFERROR(LEFT(INDEX(日別データ!$G:$G,MATCH($A25*100+C$21,日別データ!$D:$D,0)),1),"")</f>
        <v>標</v>
      </c>
      <c r="D25" s="33" t="str">
        <f aca="false">IFERROR(LEFT(INDEX(日別データ!$G:$G,MATCH($A25*100+D$21,日別データ!$D:$D,0)),1),"")</f>
        <v>標</v>
      </c>
      <c r="E25" s="33" t="str">
        <f aca="false">IFERROR(LEFT(INDEX(日別データ!$G:$G,MATCH($A25*100+E$21,日別データ!$D:$D,0)),1),"")</f>
        <v>標</v>
      </c>
      <c r="F25" s="33" t="str">
        <f aca="false">IFERROR(LEFT(INDEX(日別データ!$G:$G,MATCH($A25*100+F$21,日別データ!$D:$D,0)),1),"")</f>
        <v>標</v>
      </c>
      <c r="G25" s="33" t="str">
        <f aca="false">IFERROR(LEFT(INDEX(日別データ!$G:$G,MATCH($A25*100+G$21,日別データ!$D:$D,0)),1),"")</f>
        <v>標</v>
      </c>
      <c r="H25" s="33" t="str">
        <f aca="false">IFERROR(LEFT(INDEX(日別データ!$G:$G,MATCH($A25*100+H$21,日別データ!$D:$D,0)),1),"")</f>
        <v>標</v>
      </c>
      <c r="I25" s="33" t="str">
        <f aca="false">IFERROR(LEFT(INDEX(日別データ!$G:$G,MATCH($A25*100+I$21,日別データ!$D:$D,0)),1),"")</f>
        <v>標</v>
      </c>
      <c r="J25" s="33" t="str">
        <f aca="false">IFERROR(LEFT(INDEX(日別データ!$G:$G,MATCH($A25*100+J$21,日別データ!$D:$D,0)),1),"")</f>
        <v>標</v>
      </c>
      <c r="K25" s="33" t="str">
        <f aca="false">IFERROR(LEFT(INDEX(日別データ!$G:$G,MATCH($A25*100+K$21,日別データ!$D:$D,0)),1),"")</f>
        <v>標</v>
      </c>
      <c r="L25" s="33" t="str">
        <f aca="false">IFERROR(LEFT(INDEX(日別データ!$G:$G,MATCH($A25*100+L$21,日別データ!$D:$D,0)),1),"")</f>
        <v>標</v>
      </c>
      <c r="M25" s="33" t="str">
        <f aca="false">IFERROR(LEFT(INDEX(日別データ!$G:$G,MATCH($A25*100+M$21,日別データ!$D:$D,0)),1),"")</f>
        <v>標</v>
      </c>
      <c r="N25" s="33" t="str">
        <f aca="false">IFERROR(LEFT(INDEX(日別データ!$G:$G,MATCH($A25*100+N$21,日別データ!$D:$D,0)),1),"")</f>
        <v>標</v>
      </c>
      <c r="O25" s="33" t="str">
        <f aca="false">IFERROR(LEFT(INDEX(日別データ!$G:$G,MATCH($A25*100+O$21,日別データ!$D:$D,0)),1),"")</f>
        <v>標</v>
      </c>
      <c r="P25" s="33" t="str">
        <f aca="false">IFERROR(LEFT(INDEX(日別データ!$G:$G,MATCH($A25*100+P$21,日別データ!$D:$D,0)),1),"")</f>
        <v>標</v>
      </c>
      <c r="Q25" s="33" t="str">
        <f aca="false">IFERROR(LEFT(INDEX(日別データ!$G:$G,MATCH($A25*100+Q$21,日別データ!$D:$D,0)),1),"")</f>
        <v>標</v>
      </c>
      <c r="R25" s="33" t="str">
        <f aca="false">IFERROR(LEFT(INDEX(日別データ!$G:$G,MATCH($A25*100+R$21,日別データ!$D:$D,0)),1),"")</f>
        <v>標</v>
      </c>
      <c r="S25" s="33" t="str">
        <f aca="false">IFERROR(LEFT(INDEX(日別データ!$G:$G,MATCH($A25*100+S$21,日別データ!$D:$D,0)),1),"")</f>
        <v>標</v>
      </c>
      <c r="T25" s="33" t="str">
        <f aca="false">IFERROR(LEFT(INDEX(日別データ!$G:$G,MATCH($A25*100+T$21,日別データ!$D:$D,0)),1),"")</f>
        <v>標</v>
      </c>
      <c r="U25" s="33" t="str">
        <f aca="false">IFERROR(LEFT(INDEX(日別データ!$G:$G,MATCH($A25*100+U$21,日別データ!$D:$D,0)),1),"")</f>
        <v>標</v>
      </c>
      <c r="V25" s="33" t="str">
        <f aca="false">IFERROR(LEFT(INDEX(日別データ!$G:$G,MATCH($A25*100+V$21,日別データ!$D:$D,0)),1),"")</f>
        <v>標</v>
      </c>
      <c r="W25" s="33" t="str">
        <f aca="false">IFERROR(LEFT(INDEX(日別データ!$G:$G,MATCH($A25*100+W$21,日別データ!$D:$D,0)),1),"")</f>
        <v>標</v>
      </c>
      <c r="X25" s="33" t="str">
        <f aca="false">IFERROR(LEFT(INDEX(日別データ!$G:$G,MATCH($A25*100+X$21,日別データ!$D:$D,0)),1),"")</f>
        <v>標</v>
      </c>
      <c r="Y25" s="33" t="str">
        <f aca="false">IFERROR(LEFT(INDEX(日別データ!$G:$G,MATCH($A25*100+Y$21,日別データ!$D:$D,0)),1),"")</f>
        <v>標</v>
      </c>
      <c r="Z25" s="33" t="str">
        <f aca="false">IFERROR(LEFT(INDEX(日別データ!$G:$G,MATCH($A25*100+Z$21,日別データ!$D:$D,0)),1),"")</f>
        <v>標</v>
      </c>
      <c r="AA25" s="33" t="str">
        <f aca="false">IFERROR(LEFT(INDEX(日別データ!$G:$G,MATCH($A25*100+AA$21,日別データ!$D:$D,0)),1),"")</f>
        <v>標</v>
      </c>
      <c r="AB25" s="33" t="str">
        <f aca="false">IFERROR(LEFT(INDEX(日別データ!$G:$G,MATCH($A25*100+AB$21,日別データ!$D:$D,0)),1),"")</f>
        <v>標</v>
      </c>
      <c r="AC25" s="33" t="str">
        <f aca="false">IFERROR(LEFT(INDEX(日別データ!$G:$G,MATCH($A25*100+AC$21,日別データ!$D:$D,0)),1),"")</f>
        <v>標</v>
      </c>
      <c r="AD25" s="33" t="str">
        <f aca="false">IFERROR(LEFT(INDEX(日別データ!$G:$G,MATCH($A25*100+AD$21,日別データ!$D:$D,0)),1),"")</f>
        <v>標</v>
      </c>
      <c r="AE25" s="33" t="str">
        <f aca="false">IFERROR(LEFT(INDEX(日別データ!$G:$G,MATCH($A25*100+AE$21,日別データ!$D:$D,0)),1),"")</f>
        <v>標</v>
      </c>
      <c r="AF25" s="33" t="str">
        <f aca="false">IFERROR(LEFT(INDEX(日別データ!$G:$G,MATCH($A25*100+AF$21,日別データ!$D:$D,0)),1),"")</f>
        <v/>
      </c>
    </row>
    <row r="26" customFormat="false" ht="15" hidden="false" customHeight="false" outlineLevel="0" collapsed="false">
      <c r="A26" s="30" t="n">
        <v>5</v>
      </c>
      <c r="B26" s="33" t="str">
        <f aca="false">IFERROR(LEFT(INDEX(日別データ!$G:$G,MATCH($A26*100+B$21,日別データ!$D:$D,0)),1),"")</f>
        <v>標</v>
      </c>
      <c r="C26" s="33" t="str">
        <f aca="false">IFERROR(LEFT(INDEX(日別データ!$G:$G,MATCH($A26*100+C$21,日別データ!$D:$D,0)),1),"")</f>
        <v>標</v>
      </c>
      <c r="D26" s="33" t="str">
        <f aca="false">IFERROR(LEFT(INDEX(日別データ!$G:$G,MATCH($A26*100+D$21,日別データ!$D:$D,0)),1),"")</f>
        <v>標</v>
      </c>
      <c r="E26" s="33" t="str">
        <f aca="false">IFERROR(LEFT(INDEX(日別データ!$G:$G,MATCH($A26*100+E$21,日別データ!$D:$D,0)),1),"")</f>
        <v>標</v>
      </c>
      <c r="F26" s="33" t="str">
        <f aca="false">IFERROR(LEFT(INDEX(日別データ!$G:$G,MATCH($A26*100+F$21,日別データ!$D:$D,0)),1),"")</f>
        <v>標</v>
      </c>
      <c r="G26" s="33" t="str">
        <f aca="false">IFERROR(LEFT(INDEX(日別データ!$G:$G,MATCH($A26*100+G$21,日別データ!$D:$D,0)),1),"")</f>
        <v>標</v>
      </c>
      <c r="H26" s="33" t="str">
        <f aca="false">IFERROR(LEFT(INDEX(日別データ!$G:$G,MATCH($A26*100+H$21,日別データ!$D:$D,0)),1),"")</f>
        <v>標</v>
      </c>
      <c r="I26" s="33" t="str">
        <f aca="false">IFERROR(LEFT(INDEX(日別データ!$G:$G,MATCH($A26*100+I$21,日別データ!$D:$D,0)),1),"")</f>
        <v>標</v>
      </c>
      <c r="J26" s="33" t="str">
        <f aca="false">IFERROR(LEFT(INDEX(日別データ!$G:$G,MATCH($A26*100+J$21,日別データ!$D:$D,0)),1),"")</f>
        <v>標</v>
      </c>
      <c r="K26" s="33" t="str">
        <f aca="false">IFERROR(LEFT(INDEX(日別データ!$G:$G,MATCH($A26*100+K$21,日別データ!$D:$D,0)),1),"")</f>
        <v>標</v>
      </c>
      <c r="L26" s="33" t="str">
        <f aca="false">IFERROR(LEFT(INDEX(日別データ!$G:$G,MATCH($A26*100+L$21,日別データ!$D:$D,0)),1),"")</f>
        <v>標</v>
      </c>
      <c r="M26" s="33" t="str">
        <f aca="false">IFERROR(LEFT(INDEX(日別データ!$G:$G,MATCH($A26*100+M$21,日別データ!$D:$D,0)),1),"")</f>
        <v>標</v>
      </c>
      <c r="N26" s="33" t="str">
        <f aca="false">IFERROR(LEFT(INDEX(日別データ!$G:$G,MATCH($A26*100+N$21,日別データ!$D:$D,0)),1),"")</f>
        <v>標</v>
      </c>
      <c r="O26" s="33" t="str">
        <f aca="false">IFERROR(LEFT(INDEX(日別データ!$G:$G,MATCH($A26*100+O$21,日別データ!$D:$D,0)),1),"")</f>
        <v>標</v>
      </c>
      <c r="P26" s="33" t="str">
        <f aca="false">IFERROR(LEFT(INDEX(日別データ!$G:$G,MATCH($A26*100+P$21,日別データ!$D:$D,0)),1),"")</f>
        <v>標</v>
      </c>
      <c r="Q26" s="33" t="str">
        <f aca="false">IFERROR(LEFT(INDEX(日別データ!$G:$G,MATCH($A26*100+Q$21,日別データ!$D:$D,0)),1),"")</f>
        <v>標</v>
      </c>
      <c r="R26" s="33" t="str">
        <f aca="false">IFERROR(LEFT(INDEX(日別データ!$G:$G,MATCH($A26*100+R$21,日別データ!$D:$D,0)),1),"")</f>
        <v>標</v>
      </c>
      <c r="S26" s="33" t="str">
        <f aca="false">IFERROR(LEFT(INDEX(日別データ!$G:$G,MATCH($A26*100+S$21,日別データ!$D:$D,0)),1),"")</f>
        <v>標</v>
      </c>
      <c r="T26" s="33" t="str">
        <f aca="false">IFERROR(LEFT(INDEX(日別データ!$G:$G,MATCH($A26*100+T$21,日別データ!$D:$D,0)),1),"")</f>
        <v>標</v>
      </c>
      <c r="U26" s="33" t="str">
        <f aca="false">IFERROR(LEFT(INDEX(日別データ!$G:$G,MATCH($A26*100+U$21,日別データ!$D:$D,0)),1),"")</f>
        <v>標</v>
      </c>
      <c r="V26" s="33" t="str">
        <f aca="false">IFERROR(LEFT(INDEX(日別データ!$G:$G,MATCH($A26*100+V$21,日別データ!$D:$D,0)),1),"")</f>
        <v>標</v>
      </c>
      <c r="W26" s="33" t="str">
        <f aca="false">IFERROR(LEFT(INDEX(日別データ!$G:$G,MATCH($A26*100+W$21,日別データ!$D:$D,0)),1),"")</f>
        <v>標</v>
      </c>
      <c r="X26" s="33" t="str">
        <f aca="false">IFERROR(LEFT(INDEX(日別データ!$G:$G,MATCH($A26*100+X$21,日別データ!$D:$D,0)),1),"")</f>
        <v>標</v>
      </c>
      <c r="Y26" s="33" t="str">
        <f aca="false">IFERROR(LEFT(INDEX(日別データ!$G:$G,MATCH($A26*100+Y$21,日別データ!$D:$D,0)),1),"")</f>
        <v>標</v>
      </c>
      <c r="Z26" s="33" t="str">
        <f aca="false">IFERROR(LEFT(INDEX(日別データ!$G:$G,MATCH($A26*100+Z$21,日別データ!$D:$D,0)),1),"")</f>
        <v>標</v>
      </c>
      <c r="AA26" s="33" t="str">
        <f aca="false">IFERROR(LEFT(INDEX(日別データ!$G:$G,MATCH($A26*100+AA$21,日別データ!$D:$D,0)),1),"")</f>
        <v>標</v>
      </c>
      <c r="AB26" s="33" t="str">
        <f aca="false">IFERROR(LEFT(INDEX(日別データ!$G:$G,MATCH($A26*100+AB$21,日別データ!$D:$D,0)),1),"")</f>
        <v>標</v>
      </c>
      <c r="AC26" s="33" t="str">
        <f aca="false">IFERROR(LEFT(INDEX(日別データ!$G:$G,MATCH($A26*100+AC$21,日別データ!$D:$D,0)),1),"")</f>
        <v>標</v>
      </c>
      <c r="AD26" s="33" t="str">
        <f aca="false">IFERROR(LEFT(INDEX(日別データ!$G:$G,MATCH($A26*100+AD$21,日別データ!$D:$D,0)),1),"")</f>
        <v>標</v>
      </c>
      <c r="AE26" s="33" t="str">
        <f aca="false">IFERROR(LEFT(INDEX(日別データ!$G:$G,MATCH($A26*100+AE$21,日別データ!$D:$D,0)),1),"")</f>
        <v>標</v>
      </c>
      <c r="AF26" s="33" t="str">
        <f aca="false">IFERROR(LEFT(INDEX(日別データ!$G:$G,MATCH($A26*100+AF$21,日別データ!$D:$D,0)),1),"")</f>
        <v>標</v>
      </c>
    </row>
    <row r="27" customFormat="false" ht="15" hidden="false" customHeight="false" outlineLevel="0" collapsed="false">
      <c r="A27" s="30" t="n">
        <v>6</v>
      </c>
      <c r="B27" s="33" t="str">
        <f aca="false">IFERROR(LEFT(INDEX(日別データ!$G:$G,MATCH($A27*100+B$21,日別データ!$D:$D,0)),1),"")</f>
        <v>標</v>
      </c>
      <c r="C27" s="33" t="str">
        <f aca="false">IFERROR(LEFT(INDEX(日別データ!$G:$G,MATCH($A27*100+C$21,日別データ!$D:$D,0)),1),"")</f>
        <v>標</v>
      </c>
      <c r="D27" s="33" t="str">
        <f aca="false">IFERROR(LEFT(INDEX(日別データ!$G:$G,MATCH($A27*100+D$21,日別データ!$D:$D,0)),1),"")</f>
        <v>標</v>
      </c>
      <c r="E27" s="33" t="str">
        <f aca="false">IFERROR(LEFT(INDEX(日別データ!$G:$G,MATCH($A27*100+E$21,日別データ!$D:$D,0)),1),"")</f>
        <v>標</v>
      </c>
      <c r="F27" s="33" t="str">
        <f aca="false">IFERROR(LEFT(INDEX(日別データ!$G:$G,MATCH($A27*100+F$21,日別データ!$D:$D,0)),1),"")</f>
        <v>標</v>
      </c>
      <c r="G27" s="33" t="str">
        <f aca="false">IFERROR(LEFT(INDEX(日別データ!$G:$G,MATCH($A27*100+G$21,日別データ!$D:$D,0)),1),"")</f>
        <v>標</v>
      </c>
      <c r="H27" s="33" t="str">
        <f aca="false">IFERROR(LEFT(INDEX(日別データ!$G:$G,MATCH($A27*100+H$21,日別データ!$D:$D,0)),1),"")</f>
        <v>標</v>
      </c>
      <c r="I27" s="33" t="str">
        <f aca="false">IFERROR(LEFT(INDEX(日別データ!$G:$G,MATCH($A27*100+I$21,日別データ!$D:$D,0)),1),"")</f>
        <v>標</v>
      </c>
      <c r="J27" s="33" t="str">
        <f aca="false">IFERROR(LEFT(INDEX(日別データ!$G:$G,MATCH($A27*100+J$21,日別データ!$D:$D,0)),1),"")</f>
        <v>標</v>
      </c>
      <c r="K27" s="33" t="str">
        <f aca="false">IFERROR(LEFT(INDEX(日別データ!$G:$G,MATCH($A27*100+K$21,日別データ!$D:$D,0)),1),"")</f>
        <v>標</v>
      </c>
      <c r="L27" s="33" t="str">
        <f aca="false">IFERROR(LEFT(INDEX(日別データ!$G:$G,MATCH($A27*100+L$21,日別データ!$D:$D,0)),1),"")</f>
        <v>標</v>
      </c>
      <c r="M27" s="33" t="str">
        <f aca="false">IFERROR(LEFT(INDEX(日別データ!$G:$G,MATCH($A27*100+M$21,日別データ!$D:$D,0)),1),"")</f>
        <v>標</v>
      </c>
      <c r="N27" s="33" t="str">
        <f aca="false">IFERROR(LEFT(INDEX(日別データ!$G:$G,MATCH($A27*100+N$21,日別データ!$D:$D,0)),1),"")</f>
        <v>標</v>
      </c>
      <c r="O27" s="33" t="str">
        <f aca="false">IFERROR(LEFT(INDEX(日別データ!$G:$G,MATCH($A27*100+O$21,日別データ!$D:$D,0)),1),"")</f>
        <v>標</v>
      </c>
      <c r="P27" s="33" t="str">
        <f aca="false">IFERROR(LEFT(INDEX(日別データ!$G:$G,MATCH($A27*100+P$21,日別データ!$D:$D,0)),1),"")</f>
        <v>標</v>
      </c>
      <c r="Q27" s="33" t="str">
        <f aca="false">IFERROR(LEFT(INDEX(日別データ!$G:$G,MATCH($A27*100+Q$21,日別データ!$D:$D,0)),1),"")</f>
        <v>夏</v>
      </c>
      <c r="R27" s="33" t="str">
        <f aca="false">IFERROR(LEFT(INDEX(日別データ!$G:$G,MATCH($A27*100+R$21,日別データ!$D:$D,0)),1),"")</f>
        <v>夏</v>
      </c>
      <c r="S27" s="33" t="str">
        <f aca="false">IFERROR(LEFT(INDEX(日別データ!$G:$G,MATCH($A27*100+S$21,日別データ!$D:$D,0)),1),"")</f>
        <v>夏</v>
      </c>
      <c r="T27" s="33" t="str">
        <f aca="false">IFERROR(LEFT(INDEX(日別データ!$G:$G,MATCH($A27*100+T$21,日別データ!$D:$D,0)),1),"")</f>
        <v>夏</v>
      </c>
      <c r="U27" s="33" t="str">
        <f aca="false">IFERROR(LEFT(INDEX(日別データ!$G:$G,MATCH($A27*100+U$21,日別データ!$D:$D,0)),1),"")</f>
        <v>夏</v>
      </c>
      <c r="V27" s="33" t="str">
        <f aca="false">IFERROR(LEFT(INDEX(日別データ!$G:$G,MATCH($A27*100+V$21,日別データ!$D:$D,0)),1),"")</f>
        <v>夏</v>
      </c>
      <c r="W27" s="33" t="str">
        <f aca="false">IFERROR(LEFT(INDEX(日別データ!$G:$G,MATCH($A27*100+W$21,日別データ!$D:$D,0)),1),"")</f>
        <v>夏</v>
      </c>
      <c r="X27" s="33" t="str">
        <f aca="false">IFERROR(LEFT(INDEX(日別データ!$G:$G,MATCH($A27*100+X$21,日別データ!$D:$D,0)),1),"")</f>
        <v>夏</v>
      </c>
      <c r="Y27" s="33" t="str">
        <f aca="false">IFERROR(LEFT(INDEX(日別データ!$G:$G,MATCH($A27*100+Y$21,日別データ!$D:$D,0)),1),"")</f>
        <v>夏</v>
      </c>
      <c r="Z27" s="33" t="str">
        <f aca="false">IFERROR(LEFT(INDEX(日別データ!$G:$G,MATCH($A27*100+Z$21,日別データ!$D:$D,0)),1),"")</f>
        <v>夏</v>
      </c>
      <c r="AA27" s="33" t="str">
        <f aca="false">IFERROR(LEFT(INDEX(日別データ!$G:$G,MATCH($A27*100+AA$21,日別データ!$D:$D,0)),1),"")</f>
        <v>夏</v>
      </c>
      <c r="AB27" s="33" t="str">
        <f aca="false">IFERROR(LEFT(INDEX(日別データ!$G:$G,MATCH($A27*100+AB$21,日別データ!$D:$D,0)),1),"")</f>
        <v>夏</v>
      </c>
      <c r="AC27" s="33" t="str">
        <f aca="false">IFERROR(LEFT(INDEX(日別データ!$G:$G,MATCH($A27*100+AC$21,日別データ!$D:$D,0)),1),"")</f>
        <v>夏</v>
      </c>
      <c r="AD27" s="33" t="str">
        <f aca="false">IFERROR(LEFT(INDEX(日別データ!$G:$G,MATCH($A27*100+AD$21,日別データ!$D:$D,0)),1),"")</f>
        <v>夏</v>
      </c>
      <c r="AE27" s="33" t="str">
        <f aca="false">IFERROR(LEFT(INDEX(日別データ!$G:$G,MATCH($A27*100+AE$21,日別データ!$D:$D,0)),1),"")</f>
        <v>夏</v>
      </c>
      <c r="AF27" s="33" t="str">
        <f aca="false">IFERROR(LEFT(INDEX(日別データ!$G:$G,MATCH($A27*100+AF$21,日別データ!$D:$D,0)),1),"")</f>
        <v/>
      </c>
    </row>
    <row r="28" customFormat="false" ht="15" hidden="false" customHeight="false" outlineLevel="0" collapsed="false">
      <c r="A28" s="30" t="n">
        <v>7</v>
      </c>
      <c r="B28" s="33" t="str">
        <f aca="false">IFERROR(LEFT(INDEX(日別データ!$G:$G,MATCH($A28*100+B$21,日別データ!$D:$D,0)),1),"")</f>
        <v>夏</v>
      </c>
      <c r="C28" s="33" t="str">
        <f aca="false">IFERROR(LEFT(INDEX(日別データ!$G:$G,MATCH($A28*100+C$21,日別データ!$D:$D,0)),1),"")</f>
        <v>夏</v>
      </c>
      <c r="D28" s="33" t="str">
        <f aca="false">IFERROR(LEFT(INDEX(日別データ!$G:$G,MATCH($A28*100+D$21,日別データ!$D:$D,0)),1),"")</f>
        <v>夏</v>
      </c>
      <c r="E28" s="33" t="str">
        <f aca="false">IFERROR(LEFT(INDEX(日別データ!$G:$G,MATCH($A28*100+E$21,日別データ!$D:$D,0)),1),"")</f>
        <v>夏</v>
      </c>
      <c r="F28" s="33" t="str">
        <f aca="false">IFERROR(LEFT(INDEX(日別データ!$G:$G,MATCH($A28*100+F$21,日別データ!$D:$D,0)),1),"")</f>
        <v>夏</v>
      </c>
      <c r="G28" s="33" t="str">
        <f aca="false">IFERROR(LEFT(INDEX(日別データ!$G:$G,MATCH($A28*100+G$21,日別データ!$D:$D,0)),1),"")</f>
        <v>夏</v>
      </c>
      <c r="H28" s="33" t="str">
        <f aca="false">IFERROR(LEFT(INDEX(日別データ!$G:$G,MATCH($A28*100+H$21,日別データ!$D:$D,0)),1),"")</f>
        <v>夏</v>
      </c>
      <c r="I28" s="33" t="str">
        <f aca="false">IFERROR(LEFT(INDEX(日別データ!$G:$G,MATCH($A28*100+I$21,日別データ!$D:$D,0)),1),"")</f>
        <v>夏</v>
      </c>
      <c r="J28" s="33" t="str">
        <f aca="false">IFERROR(LEFT(INDEX(日別データ!$G:$G,MATCH($A28*100+J$21,日別データ!$D:$D,0)),1),"")</f>
        <v>夏</v>
      </c>
      <c r="K28" s="33" t="str">
        <f aca="false">IFERROR(LEFT(INDEX(日別データ!$G:$G,MATCH($A28*100+K$21,日別データ!$D:$D,0)),1),"")</f>
        <v>夏</v>
      </c>
      <c r="L28" s="33" t="str">
        <f aca="false">IFERROR(LEFT(INDEX(日別データ!$G:$G,MATCH($A28*100+L$21,日別データ!$D:$D,0)),1),"")</f>
        <v>夏</v>
      </c>
      <c r="M28" s="33" t="str">
        <f aca="false">IFERROR(LEFT(INDEX(日別データ!$G:$G,MATCH($A28*100+M$21,日別データ!$D:$D,0)),1),"")</f>
        <v>夏</v>
      </c>
      <c r="N28" s="33" t="str">
        <f aca="false">IFERROR(LEFT(INDEX(日別データ!$G:$G,MATCH($A28*100+N$21,日別データ!$D:$D,0)),1),"")</f>
        <v>夏</v>
      </c>
      <c r="O28" s="33" t="str">
        <f aca="false">IFERROR(LEFT(INDEX(日別データ!$G:$G,MATCH($A28*100+O$21,日別データ!$D:$D,0)),1),"")</f>
        <v>夏</v>
      </c>
      <c r="P28" s="33" t="str">
        <f aca="false">IFERROR(LEFT(INDEX(日別データ!$G:$G,MATCH($A28*100+P$21,日別データ!$D:$D,0)),1),"")</f>
        <v>夏</v>
      </c>
      <c r="Q28" s="33" t="str">
        <f aca="false">IFERROR(LEFT(INDEX(日別データ!$G:$G,MATCH($A28*100+Q$21,日別データ!$D:$D,0)),1),"")</f>
        <v>夏</v>
      </c>
      <c r="R28" s="33" t="str">
        <f aca="false">IFERROR(LEFT(INDEX(日別データ!$G:$G,MATCH($A28*100+R$21,日別データ!$D:$D,0)),1),"")</f>
        <v>夏</v>
      </c>
      <c r="S28" s="33" t="str">
        <f aca="false">IFERROR(LEFT(INDEX(日別データ!$G:$G,MATCH($A28*100+S$21,日別データ!$D:$D,0)),1),"")</f>
        <v>夏</v>
      </c>
      <c r="T28" s="33" t="str">
        <f aca="false">IFERROR(LEFT(INDEX(日別データ!$G:$G,MATCH($A28*100+T$21,日別データ!$D:$D,0)),1),"")</f>
        <v>夏</v>
      </c>
      <c r="U28" s="33" t="str">
        <f aca="false">IFERROR(LEFT(INDEX(日別データ!$G:$G,MATCH($A28*100+U$21,日別データ!$D:$D,0)),1),"")</f>
        <v>夏</v>
      </c>
      <c r="V28" s="33" t="str">
        <f aca="false">IFERROR(LEFT(INDEX(日別データ!$G:$G,MATCH($A28*100+V$21,日別データ!$D:$D,0)),1),"")</f>
        <v>夏</v>
      </c>
      <c r="W28" s="33" t="str">
        <f aca="false">IFERROR(LEFT(INDEX(日別データ!$G:$G,MATCH($A28*100+W$21,日別データ!$D:$D,0)),1),"")</f>
        <v>夏</v>
      </c>
      <c r="X28" s="33" t="str">
        <f aca="false">IFERROR(LEFT(INDEX(日別データ!$G:$G,MATCH($A28*100+X$21,日別データ!$D:$D,0)),1),"")</f>
        <v>夏</v>
      </c>
      <c r="Y28" s="33" t="str">
        <f aca="false">IFERROR(LEFT(INDEX(日別データ!$G:$G,MATCH($A28*100+Y$21,日別データ!$D:$D,0)),1),"")</f>
        <v>夏</v>
      </c>
      <c r="Z28" s="33" t="str">
        <f aca="false">IFERROR(LEFT(INDEX(日別データ!$G:$G,MATCH($A28*100+Z$21,日別データ!$D:$D,0)),1),"")</f>
        <v>夏</v>
      </c>
      <c r="AA28" s="33" t="str">
        <f aca="false">IFERROR(LEFT(INDEX(日別データ!$G:$G,MATCH($A28*100+AA$21,日別データ!$D:$D,0)),1),"")</f>
        <v>夏</v>
      </c>
      <c r="AB28" s="33" t="str">
        <f aca="false">IFERROR(LEFT(INDEX(日別データ!$G:$G,MATCH($A28*100+AB$21,日別データ!$D:$D,0)),1),"")</f>
        <v>夏</v>
      </c>
      <c r="AC28" s="33" t="str">
        <f aca="false">IFERROR(LEFT(INDEX(日別データ!$G:$G,MATCH($A28*100+AC$21,日別データ!$D:$D,0)),1),"")</f>
        <v>夏</v>
      </c>
      <c r="AD28" s="33" t="str">
        <f aca="false">IFERROR(LEFT(INDEX(日別データ!$G:$G,MATCH($A28*100+AD$21,日別データ!$D:$D,0)),1),"")</f>
        <v>夏</v>
      </c>
      <c r="AE28" s="33" t="str">
        <f aca="false">IFERROR(LEFT(INDEX(日別データ!$G:$G,MATCH($A28*100+AE$21,日別データ!$D:$D,0)),1),"")</f>
        <v>夏</v>
      </c>
      <c r="AF28" s="33" t="str">
        <f aca="false">IFERROR(LEFT(INDEX(日別データ!$G:$G,MATCH($A28*100+AF$21,日別データ!$D:$D,0)),1),"")</f>
        <v>夏</v>
      </c>
    </row>
    <row r="29" customFormat="false" ht="15" hidden="false" customHeight="false" outlineLevel="0" collapsed="false">
      <c r="A29" s="30" t="n">
        <v>8</v>
      </c>
      <c r="B29" s="33" t="str">
        <f aca="false">IFERROR(LEFT(INDEX(日別データ!$G:$G,MATCH($A29*100+B$21,日別データ!$D:$D,0)),1),"")</f>
        <v>夏</v>
      </c>
      <c r="C29" s="33" t="str">
        <f aca="false">IFERROR(LEFT(INDEX(日別データ!$G:$G,MATCH($A29*100+C$21,日別データ!$D:$D,0)),1),"")</f>
        <v>夏</v>
      </c>
      <c r="D29" s="33" t="str">
        <f aca="false">IFERROR(LEFT(INDEX(日別データ!$G:$G,MATCH($A29*100+D$21,日別データ!$D:$D,0)),1),"")</f>
        <v>夏</v>
      </c>
      <c r="E29" s="33" t="str">
        <f aca="false">IFERROR(LEFT(INDEX(日別データ!$G:$G,MATCH($A29*100+E$21,日別データ!$D:$D,0)),1),"")</f>
        <v>夏</v>
      </c>
      <c r="F29" s="33" t="str">
        <f aca="false">IFERROR(LEFT(INDEX(日別データ!$G:$G,MATCH($A29*100+F$21,日別データ!$D:$D,0)),1),"")</f>
        <v>夏</v>
      </c>
      <c r="G29" s="33" t="str">
        <f aca="false">IFERROR(LEFT(INDEX(日別データ!$G:$G,MATCH($A29*100+G$21,日別データ!$D:$D,0)),1),"")</f>
        <v>夏</v>
      </c>
      <c r="H29" s="33" t="str">
        <f aca="false">IFERROR(LEFT(INDEX(日別データ!$G:$G,MATCH($A29*100+H$21,日別データ!$D:$D,0)),1),"")</f>
        <v>夏</v>
      </c>
      <c r="I29" s="33" t="str">
        <f aca="false">IFERROR(LEFT(INDEX(日別データ!$G:$G,MATCH($A29*100+I$21,日別データ!$D:$D,0)),1),"")</f>
        <v>夏</v>
      </c>
      <c r="J29" s="33" t="str">
        <f aca="false">IFERROR(LEFT(INDEX(日別データ!$G:$G,MATCH($A29*100+J$21,日別データ!$D:$D,0)),1),"")</f>
        <v>夏</v>
      </c>
      <c r="K29" s="33" t="str">
        <f aca="false">IFERROR(LEFT(INDEX(日別データ!$G:$G,MATCH($A29*100+K$21,日別データ!$D:$D,0)),1),"")</f>
        <v>夏</v>
      </c>
      <c r="L29" s="33" t="str">
        <f aca="false">IFERROR(LEFT(INDEX(日別データ!$G:$G,MATCH($A29*100+L$21,日別データ!$D:$D,0)),1),"")</f>
        <v>夏</v>
      </c>
      <c r="M29" s="33" t="str">
        <f aca="false">IFERROR(LEFT(INDEX(日別データ!$G:$G,MATCH($A29*100+M$21,日別データ!$D:$D,0)),1),"")</f>
        <v>夏</v>
      </c>
      <c r="N29" s="33" t="str">
        <f aca="false">IFERROR(LEFT(INDEX(日別データ!$G:$G,MATCH($A29*100+N$21,日別データ!$D:$D,0)),1),"")</f>
        <v>夏</v>
      </c>
      <c r="O29" s="33" t="str">
        <f aca="false">IFERROR(LEFT(INDEX(日別データ!$G:$G,MATCH($A29*100+O$21,日別データ!$D:$D,0)),1),"")</f>
        <v>夏</v>
      </c>
      <c r="P29" s="33" t="str">
        <f aca="false">IFERROR(LEFT(INDEX(日別データ!$G:$G,MATCH($A29*100+P$21,日別データ!$D:$D,0)),1),"")</f>
        <v>夏</v>
      </c>
      <c r="Q29" s="33" t="str">
        <f aca="false">IFERROR(LEFT(INDEX(日別データ!$G:$G,MATCH($A29*100+Q$21,日別データ!$D:$D,0)),1),"")</f>
        <v>夏</v>
      </c>
      <c r="R29" s="33" t="str">
        <f aca="false">IFERROR(LEFT(INDEX(日別データ!$G:$G,MATCH($A29*100+R$21,日別データ!$D:$D,0)),1),"")</f>
        <v>夏</v>
      </c>
      <c r="S29" s="33" t="str">
        <f aca="false">IFERROR(LEFT(INDEX(日別データ!$G:$G,MATCH($A29*100+S$21,日別データ!$D:$D,0)),1),"")</f>
        <v>夏</v>
      </c>
      <c r="T29" s="33" t="str">
        <f aca="false">IFERROR(LEFT(INDEX(日別データ!$G:$G,MATCH($A29*100+T$21,日別データ!$D:$D,0)),1),"")</f>
        <v>夏</v>
      </c>
      <c r="U29" s="33" t="str">
        <f aca="false">IFERROR(LEFT(INDEX(日別データ!$G:$G,MATCH($A29*100+U$21,日別データ!$D:$D,0)),1),"")</f>
        <v>夏</v>
      </c>
      <c r="V29" s="33" t="str">
        <f aca="false">IFERROR(LEFT(INDEX(日別データ!$G:$G,MATCH($A29*100+V$21,日別データ!$D:$D,0)),1),"")</f>
        <v>夏</v>
      </c>
      <c r="W29" s="33" t="str">
        <f aca="false">IFERROR(LEFT(INDEX(日別データ!$G:$G,MATCH($A29*100+W$21,日別データ!$D:$D,0)),1),"")</f>
        <v>夏</v>
      </c>
      <c r="X29" s="33" t="str">
        <f aca="false">IFERROR(LEFT(INDEX(日別データ!$G:$G,MATCH($A29*100+X$21,日別データ!$D:$D,0)),1),"")</f>
        <v>夏</v>
      </c>
      <c r="Y29" s="33" t="str">
        <f aca="false">IFERROR(LEFT(INDEX(日別データ!$G:$G,MATCH($A29*100+Y$21,日別データ!$D:$D,0)),1),"")</f>
        <v>夏</v>
      </c>
      <c r="Z29" s="33" t="str">
        <f aca="false">IFERROR(LEFT(INDEX(日別データ!$G:$G,MATCH($A29*100+Z$21,日別データ!$D:$D,0)),1),"")</f>
        <v>夏</v>
      </c>
      <c r="AA29" s="33" t="str">
        <f aca="false">IFERROR(LEFT(INDEX(日別データ!$G:$G,MATCH($A29*100+AA$21,日別データ!$D:$D,0)),1),"")</f>
        <v>夏</v>
      </c>
      <c r="AB29" s="33" t="str">
        <f aca="false">IFERROR(LEFT(INDEX(日別データ!$G:$G,MATCH($A29*100+AB$21,日別データ!$D:$D,0)),1),"")</f>
        <v>夏</v>
      </c>
      <c r="AC29" s="33" t="str">
        <f aca="false">IFERROR(LEFT(INDEX(日別データ!$G:$G,MATCH($A29*100+AC$21,日別データ!$D:$D,0)),1),"")</f>
        <v>夏</v>
      </c>
      <c r="AD29" s="33" t="str">
        <f aca="false">IFERROR(LEFT(INDEX(日別データ!$G:$G,MATCH($A29*100+AD$21,日別データ!$D:$D,0)),1),"")</f>
        <v>夏</v>
      </c>
      <c r="AE29" s="33" t="str">
        <f aca="false">IFERROR(LEFT(INDEX(日別データ!$G:$G,MATCH($A29*100+AE$21,日別データ!$D:$D,0)),1),"")</f>
        <v>夏</v>
      </c>
      <c r="AF29" s="33" t="str">
        <f aca="false">IFERROR(LEFT(INDEX(日別データ!$G:$G,MATCH($A29*100+AF$21,日別データ!$D:$D,0)),1),"")</f>
        <v>夏</v>
      </c>
    </row>
    <row r="30" customFormat="false" ht="15" hidden="false" customHeight="false" outlineLevel="0" collapsed="false">
      <c r="A30" s="30" t="n">
        <v>9</v>
      </c>
      <c r="B30" s="33" t="str">
        <f aca="false">IFERROR(LEFT(INDEX(日別データ!$G:$G,MATCH($A30*100+B$21,日別データ!$D:$D,0)),1),"")</f>
        <v>夏</v>
      </c>
      <c r="C30" s="33" t="str">
        <f aca="false">IFERROR(LEFT(INDEX(日別データ!$G:$G,MATCH($A30*100+C$21,日別データ!$D:$D,0)),1),"")</f>
        <v>夏</v>
      </c>
      <c r="D30" s="33" t="str">
        <f aca="false">IFERROR(LEFT(INDEX(日別データ!$G:$G,MATCH($A30*100+D$21,日別データ!$D:$D,0)),1),"")</f>
        <v>夏</v>
      </c>
      <c r="E30" s="33" t="str">
        <f aca="false">IFERROR(LEFT(INDEX(日別データ!$G:$G,MATCH($A30*100+E$21,日別データ!$D:$D,0)),1),"")</f>
        <v>夏</v>
      </c>
      <c r="F30" s="33" t="str">
        <f aca="false">IFERROR(LEFT(INDEX(日別データ!$G:$G,MATCH($A30*100+F$21,日別データ!$D:$D,0)),1),"")</f>
        <v>夏</v>
      </c>
      <c r="G30" s="33" t="str">
        <f aca="false">IFERROR(LEFT(INDEX(日別データ!$G:$G,MATCH($A30*100+G$21,日別データ!$D:$D,0)),1),"")</f>
        <v>夏</v>
      </c>
      <c r="H30" s="33" t="str">
        <f aca="false">IFERROR(LEFT(INDEX(日別データ!$G:$G,MATCH($A30*100+H$21,日別データ!$D:$D,0)),1),"")</f>
        <v>夏</v>
      </c>
      <c r="I30" s="33" t="str">
        <f aca="false">IFERROR(LEFT(INDEX(日別データ!$G:$G,MATCH($A30*100+I$21,日別データ!$D:$D,0)),1),"")</f>
        <v>夏</v>
      </c>
      <c r="J30" s="33" t="str">
        <f aca="false">IFERROR(LEFT(INDEX(日別データ!$G:$G,MATCH($A30*100+J$21,日別データ!$D:$D,0)),1),"")</f>
        <v>夏</v>
      </c>
      <c r="K30" s="33" t="str">
        <f aca="false">IFERROR(LEFT(INDEX(日別データ!$G:$G,MATCH($A30*100+K$21,日別データ!$D:$D,0)),1),"")</f>
        <v>夏</v>
      </c>
      <c r="L30" s="33" t="str">
        <f aca="false">IFERROR(LEFT(INDEX(日別データ!$G:$G,MATCH($A30*100+L$21,日別データ!$D:$D,0)),1),"")</f>
        <v>夏</v>
      </c>
      <c r="M30" s="33" t="str">
        <f aca="false">IFERROR(LEFT(INDEX(日別データ!$G:$G,MATCH($A30*100+M$21,日別データ!$D:$D,0)),1),"")</f>
        <v>夏</v>
      </c>
      <c r="N30" s="33" t="str">
        <f aca="false">IFERROR(LEFT(INDEX(日別データ!$G:$G,MATCH($A30*100+N$21,日別データ!$D:$D,0)),1),"")</f>
        <v>夏</v>
      </c>
      <c r="O30" s="33" t="str">
        <f aca="false">IFERROR(LEFT(INDEX(日別データ!$G:$G,MATCH($A30*100+O$21,日別データ!$D:$D,0)),1),"")</f>
        <v>夏</v>
      </c>
      <c r="P30" s="33" t="str">
        <f aca="false">IFERROR(LEFT(INDEX(日別データ!$G:$G,MATCH($A30*100+P$21,日別データ!$D:$D,0)),1),"")</f>
        <v>夏</v>
      </c>
      <c r="Q30" s="33" t="str">
        <f aca="false">IFERROR(LEFT(INDEX(日別データ!$G:$G,MATCH($A30*100+Q$21,日別データ!$D:$D,0)),1),"")</f>
        <v>夏</v>
      </c>
      <c r="R30" s="33" t="str">
        <f aca="false">IFERROR(LEFT(INDEX(日別データ!$G:$G,MATCH($A30*100+R$21,日別データ!$D:$D,0)),1),"")</f>
        <v>夏</v>
      </c>
      <c r="S30" s="33" t="str">
        <f aca="false">IFERROR(LEFT(INDEX(日別データ!$G:$G,MATCH($A30*100+S$21,日別データ!$D:$D,0)),1),"")</f>
        <v>夏</v>
      </c>
      <c r="T30" s="33" t="str">
        <f aca="false">IFERROR(LEFT(INDEX(日別データ!$G:$G,MATCH($A30*100+T$21,日別データ!$D:$D,0)),1),"")</f>
        <v>夏</v>
      </c>
      <c r="U30" s="33" t="str">
        <f aca="false">IFERROR(LEFT(INDEX(日別データ!$G:$G,MATCH($A30*100+U$21,日別データ!$D:$D,0)),1),"")</f>
        <v>夏</v>
      </c>
      <c r="V30" s="33" t="str">
        <f aca="false">IFERROR(LEFT(INDEX(日別データ!$G:$G,MATCH($A30*100+V$21,日別データ!$D:$D,0)),1),"")</f>
        <v>夏</v>
      </c>
      <c r="W30" s="33" t="str">
        <f aca="false">IFERROR(LEFT(INDEX(日別データ!$G:$G,MATCH($A30*100+W$21,日別データ!$D:$D,0)),1),"")</f>
        <v>夏</v>
      </c>
      <c r="X30" s="33" t="str">
        <f aca="false">IFERROR(LEFT(INDEX(日別データ!$G:$G,MATCH($A30*100+X$21,日別データ!$D:$D,0)),1),"")</f>
        <v>夏</v>
      </c>
      <c r="Y30" s="33" t="str">
        <f aca="false">IFERROR(LEFT(INDEX(日別データ!$G:$G,MATCH($A30*100+Y$21,日別データ!$D:$D,0)),1),"")</f>
        <v>標</v>
      </c>
      <c r="Z30" s="33" t="str">
        <f aca="false">IFERROR(LEFT(INDEX(日別データ!$G:$G,MATCH($A30*100+Z$21,日別データ!$D:$D,0)),1),"")</f>
        <v>標</v>
      </c>
      <c r="AA30" s="33" t="str">
        <f aca="false">IFERROR(LEFT(INDEX(日別データ!$G:$G,MATCH($A30*100+AA$21,日別データ!$D:$D,0)),1),"")</f>
        <v>標</v>
      </c>
      <c r="AB30" s="33" t="str">
        <f aca="false">IFERROR(LEFT(INDEX(日別データ!$G:$G,MATCH($A30*100+AB$21,日別データ!$D:$D,0)),1),"")</f>
        <v>標</v>
      </c>
      <c r="AC30" s="33" t="str">
        <f aca="false">IFERROR(LEFT(INDEX(日別データ!$G:$G,MATCH($A30*100+AC$21,日別データ!$D:$D,0)),1),"")</f>
        <v>標</v>
      </c>
      <c r="AD30" s="33" t="str">
        <f aca="false">IFERROR(LEFT(INDEX(日別データ!$G:$G,MATCH($A30*100+AD$21,日別データ!$D:$D,0)),1),"")</f>
        <v>標</v>
      </c>
      <c r="AE30" s="33" t="str">
        <f aca="false">IFERROR(LEFT(INDEX(日別データ!$G:$G,MATCH($A30*100+AE$21,日別データ!$D:$D,0)),1),"")</f>
        <v>標</v>
      </c>
      <c r="AF30" s="33" t="str">
        <f aca="false">IFERROR(LEFT(INDEX(日別データ!$G:$G,MATCH($A30*100+AF$21,日別データ!$D:$D,0)),1),"")</f>
        <v/>
      </c>
    </row>
    <row r="31" customFormat="false" ht="15" hidden="false" customHeight="false" outlineLevel="0" collapsed="false">
      <c r="A31" s="30" t="n">
        <v>10</v>
      </c>
      <c r="B31" s="33" t="str">
        <f aca="false">IFERROR(LEFT(INDEX(日別データ!$G:$G,MATCH($A31*100+B$21,日別データ!$D:$D,0)),1),"")</f>
        <v>標</v>
      </c>
      <c r="C31" s="33" t="str">
        <f aca="false">IFERROR(LEFT(INDEX(日別データ!$G:$G,MATCH($A31*100+C$21,日別データ!$D:$D,0)),1),"")</f>
        <v>標</v>
      </c>
      <c r="D31" s="33" t="str">
        <f aca="false">IFERROR(LEFT(INDEX(日別データ!$G:$G,MATCH($A31*100+D$21,日別データ!$D:$D,0)),1),"")</f>
        <v>標</v>
      </c>
      <c r="E31" s="33" t="str">
        <f aca="false">IFERROR(LEFT(INDEX(日別データ!$G:$G,MATCH($A31*100+E$21,日別データ!$D:$D,0)),1),"")</f>
        <v>標</v>
      </c>
      <c r="F31" s="33" t="str">
        <f aca="false">IFERROR(LEFT(INDEX(日別データ!$G:$G,MATCH($A31*100+F$21,日別データ!$D:$D,0)),1),"")</f>
        <v>標</v>
      </c>
      <c r="G31" s="33" t="str">
        <f aca="false">IFERROR(LEFT(INDEX(日別データ!$G:$G,MATCH($A31*100+G$21,日別データ!$D:$D,0)),1),"")</f>
        <v>標</v>
      </c>
      <c r="H31" s="33" t="str">
        <f aca="false">IFERROR(LEFT(INDEX(日別データ!$G:$G,MATCH($A31*100+H$21,日別データ!$D:$D,0)),1),"")</f>
        <v>標</v>
      </c>
      <c r="I31" s="33" t="str">
        <f aca="false">IFERROR(LEFT(INDEX(日別データ!$G:$G,MATCH($A31*100+I$21,日別データ!$D:$D,0)),1),"")</f>
        <v>標</v>
      </c>
      <c r="J31" s="33" t="str">
        <f aca="false">IFERROR(LEFT(INDEX(日別データ!$G:$G,MATCH($A31*100+J$21,日別データ!$D:$D,0)),1),"")</f>
        <v>標</v>
      </c>
      <c r="K31" s="33" t="str">
        <f aca="false">IFERROR(LEFT(INDEX(日別データ!$G:$G,MATCH($A31*100+K$21,日別データ!$D:$D,0)),1),"")</f>
        <v>標</v>
      </c>
      <c r="L31" s="33" t="str">
        <f aca="false">IFERROR(LEFT(INDEX(日別データ!$G:$G,MATCH($A31*100+L$21,日別データ!$D:$D,0)),1),"")</f>
        <v>標</v>
      </c>
      <c r="M31" s="33" t="str">
        <f aca="false">IFERROR(LEFT(INDEX(日別データ!$G:$G,MATCH($A31*100+M$21,日別データ!$D:$D,0)),1),"")</f>
        <v>標</v>
      </c>
      <c r="N31" s="33" t="str">
        <f aca="false">IFERROR(LEFT(INDEX(日別データ!$G:$G,MATCH($A31*100+N$21,日別データ!$D:$D,0)),1),"")</f>
        <v>標</v>
      </c>
      <c r="O31" s="33" t="str">
        <f aca="false">IFERROR(LEFT(INDEX(日別データ!$G:$G,MATCH($A31*100+O$21,日別データ!$D:$D,0)),1),"")</f>
        <v>標</v>
      </c>
      <c r="P31" s="33" t="str">
        <f aca="false">IFERROR(LEFT(INDEX(日別データ!$G:$G,MATCH($A31*100+P$21,日別データ!$D:$D,0)),1),"")</f>
        <v>標</v>
      </c>
      <c r="Q31" s="33" t="str">
        <f aca="false">IFERROR(LEFT(INDEX(日別データ!$G:$G,MATCH($A31*100+Q$21,日別データ!$D:$D,0)),1),"")</f>
        <v>標</v>
      </c>
      <c r="R31" s="33" t="str">
        <f aca="false">IFERROR(LEFT(INDEX(日別データ!$G:$G,MATCH($A31*100+R$21,日別データ!$D:$D,0)),1),"")</f>
        <v>標</v>
      </c>
      <c r="S31" s="33" t="str">
        <f aca="false">IFERROR(LEFT(INDEX(日別データ!$G:$G,MATCH($A31*100+S$21,日別データ!$D:$D,0)),1),"")</f>
        <v>標</v>
      </c>
      <c r="T31" s="33" t="str">
        <f aca="false">IFERROR(LEFT(INDEX(日別データ!$G:$G,MATCH($A31*100+T$21,日別データ!$D:$D,0)),1),"")</f>
        <v>標</v>
      </c>
      <c r="U31" s="33" t="str">
        <f aca="false">IFERROR(LEFT(INDEX(日別データ!$G:$G,MATCH($A31*100+U$21,日別データ!$D:$D,0)),1),"")</f>
        <v>標</v>
      </c>
      <c r="V31" s="33" t="str">
        <f aca="false">IFERROR(LEFT(INDEX(日別データ!$G:$G,MATCH($A31*100+V$21,日別データ!$D:$D,0)),1),"")</f>
        <v>標</v>
      </c>
      <c r="W31" s="33" t="str">
        <f aca="false">IFERROR(LEFT(INDEX(日別データ!$G:$G,MATCH($A31*100+W$21,日別データ!$D:$D,0)),1),"")</f>
        <v>標</v>
      </c>
      <c r="X31" s="33" t="str">
        <f aca="false">IFERROR(LEFT(INDEX(日別データ!$G:$G,MATCH($A31*100+X$21,日別データ!$D:$D,0)),1),"")</f>
        <v>標</v>
      </c>
      <c r="Y31" s="33" t="str">
        <f aca="false">IFERROR(LEFT(INDEX(日別データ!$G:$G,MATCH($A31*100+Y$21,日別データ!$D:$D,0)),1),"")</f>
        <v>標</v>
      </c>
      <c r="Z31" s="33" t="str">
        <f aca="false">IFERROR(LEFT(INDEX(日別データ!$G:$G,MATCH($A31*100+Z$21,日別データ!$D:$D,0)),1),"")</f>
        <v>標</v>
      </c>
      <c r="AA31" s="33" t="str">
        <f aca="false">IFERROR(LEFT(INDEX(日別データ!$G:$G,MATCH($A31*100+AA$21,日別データ!$D:$D,0)),1),"")</f>
        <v>標</v>
      </c>
      <c r="AB31" s="33" t="str">
        <f aca="false">IFERROR(LEFT(INDEX(日別データ!$G:$G,MATCH($A31*100+AB$21,日別データ!$D:$D,0)),1),"")</f>
        <v>標</v>
      </c>
      <c r="AC31" s="33" t="str">
        <f aca="false">IFERROR(LEFT(INDEX(日別データ!$G:$G,MATCH($A31*100+AC$21,日別データ!$D:$D,0)),1),"")</f>
        <v>標</v>
      </c>
      <c r="AD31" s="33" t="str">
        <f aca="false">IFERROR(LEFT(INDEX(日別データ!$G:$G,MATCH($A31*100+AD$21,日別データ!$D:$D,0)),1),"")</f>
        <v>標</v>
      </c>
      <c r="AE31" s="33" t="str">
        <f aca="false">IFERROR(LEFT(INDEX(日別データ!$G:$G,MATCH($A31*100+AE$21,日別データ!$D:$D,0)),1),"")</f>
        <v>標</v>
      </c>
      <c r="AF31" s="33" t="str">
        <f aca="false">IFERROR(LEFT(INDEX(日別データ!$G:$G,MATCH($A31*100+AF$21,日別データ!$D:$D,0)),1),"")</f>
        <v>標</v>
      </c>
    </row>
    <row r="32" customFormat="false" ht="15" hidden="false" customHeight="false" outlineLevel="0" collapsed="false">
      <c r="A32" s="30" t="n">
        <v>11</v>
      </c>
      <c r="B32" s="33" t="str">
        <f aca="false">IFERROR(LEFT(INDEX(日別データ!$G:$G,MATCH($A32*100+B$21,日別データ!$D:$D,0)),1),"")</f>
        <v>標</v>
      </c>
      <c r="C32" s="33" t="str">
        <f aca="false">IFERROR(LEFT(INDEX(日別データ!$G:$G,MATCH($A32*100+C$21,日別データ!$D:$D,0)),1),"")</f>
        <v>標</v>
      </c>
      <c r="D32" s="33" t="str">
        <f aca="false">IFERROR(LEFT(INDEX(日別データ!$G:$G,MATCH($A32*100+D$21,日別データ!$D:$D,0)),1),"")</f>
        <v>標</v>
      </c>
      <c r="E32" s="33" t="str">
        <f aca="false">IFERROR(LEFT(INDEX(日別データ!$G:$G,MATCH($A32*100+E$21,日別データ!$D:$D,0)),1),"")</f>
        <v>標</v>
      </c>
      <c r="F32" s="33" t="str">
        <f aca="false">IFERROR(LEFT(INDEX(日別データ!$G:$G,MATCH($A32*100+F$21,日別データ!$D:$D,0)),1),"")</f>
        <v>標</v>
      </c>
      <c r="G32" s="33" t="str">
        <f aca="false">IFERROR(LEFT(INDEX(日別データ!$G:$G,MATCH($A32*100+G$21,日別データ!$D:$D,0)),1),"")</f>
        <v>標</v>
      </c>
      <c r="H32" s="33" t="str">
        <f aca="false">IFERROR(LEFT(INDEX(日別データ!$G:$G,MATCH($A32*100+H$21,日別データ!$D:$D,0)),1),"")</f>
        <v>標</v>
      </c>
      <c r="I32" s="33" t="str">
        <f aca="false">IFERROR(LEFT(INDEX(日別データ!$G:$G,MATCH($A32*100+I$21,日別データ!$D:$D,0)),1),"")</f>
        <v>標</v>
      </c>
      <c r="J32" s="33" t="str">
        <f aca="false">IFERROR(LEFT(INDEX(日別データ!$G:$G,MATCH($A32*100+J$21,日別データ!$D:$D,0)),1),"")</f>
        <v>標</v>
      </c>
      <c r="K32" s="33" t="str">
        <f aca="false">IFERROR(LEFT(INDEX(日別データ!$G:$G,MATCH($A32*100+K$21,日別データ!$D:$D,0)),1),"")</f>
        <v>標</v>
      </c>
      <c r="L32" s="33" t="str">
        <f aca="false">IFERROR(LEFT(INDEX(日別データ!$G:$G,MATCH($A32*100+L$21,日別データ!$D:$D,0)),1),"")</f>
        <v>標</v>
      </c>
      <c r="M32" s="33" t="str">
        <f aca="false">IFERROR(LEFT(INDEX(日別データ!$G:$G,MATCH($A32*100+M$21,日別データ!$D:$D,0)),1),"")</f>
        <v>標</v>
      </c>
      <c r="N32" s="33" t="str">
        <f aca="false">IFERROR(LEFT(INDEX(日別データ!$G:$G,MATCH($A32*100+N$21,日別データ!$D:$D,0)),1),"")</f>
        <v>標</v>
      </c>
      <c r="O32" s="33" t="str">
        <f aca="false">IFERROR(LEFT(INDEX(日別データ!$G:$G,MATCH($A32*100+O$21,日別データ!$D:$D,0)),1),"")</f>
        <v>標</v>
      </c>
      <c r="P32" s="33" t="str">
        <f aca="false">IFERROR(LEFT(INDEX(日別データ!$G:$G,MATCH($A32*100+P$21,日別データ!$D:$D,0)),1),"")</f>
        <v>標</v>
      </c>
      <c r="Q32" s="33" t="str">
        <f aca="false">IFERROR(LEFT(INDEX(日別データ!$G:$G,MATCH($A32*100+Q$21,日別データ!$D:$D,0)),1),"")</f>
        <v>標</v>
      </c>
      <c r="R32" s="33" t="str">
        <f aca="false">IFERROR(LEFT(INDEX(日別データ!$G:$G,MATCH($A32*100+R$21,日別データ!$D:$D,0)),1),"")</f>
        <v>標</v>
      </c>
      <c r="S32" s="33" t="str">
        <f aca="false">IFERROR(LEFT(INDEX(日別データ!$G:$G,MATCH($A32*100+S$21,日別データ!$D:$D,0)),1),"")</f>
        <v>標</v>
      </c>
      <c r="T32" s="33" t="str">
        <f aca="false">IFERROR(LEFT(INDEX(日別データ!$G:$G,MATCH($A32*100+T$21,日別データ!$D:$D,0)),1),"")</f>
        <v>標</v>
      </c>
      <c r="U32" s="33" t="str">
        <f aca="false">IFERROR(LEFT(INDEX(日別データ!$G:$G,MATCH($A32*100+U$21,日別データ!$D:$D,0)),1),"")</f>
        <v>標</v>
      </c>
      <c r="V32" s="33" t="str">
        <f aca="false">IFERROR(LEFT(INDEX(日別データ!$G:$G,MATCH($A32*100+V$21,日別データ!$D:$D,0)),1),"")</f>
        <v>標</v>
      </c>
      <c r="W32" s="33" t="str">
        <f aca="false">IFERROR(LEFT(INDEX(日別データ!$G:$G,MATCH($A32*100+W$21,日別データ!$D:$D,0)),1),"")</f>
        <v>標</v>
      </c>
      <c r="X32" s="33" t="str">
        <f aca="false">IFERROR(LEFT(INDEX(日別データ!$G:$G,MATCH($A32*100+X$21,日別データ!$D:$D,0)),1),"")</f>
        <v>標</v>
      </c>
      <c r="Y32" s="33" t="str">
        <f aca="false">IFERROR(LEFT(INDEX(日別データ!$G:$G,MATCH($A32*100+Y$21,日別データ!$D:$D,0)),1),"")</f>
        <v>標</v>
      </c>
      <c r="Z32" s="33" t="str">
        <f aca="false">IFERROR(LEFT(INDEX(日別データ!$G:$G,MATCH($A32*100+Z$21,日別データ!$D:$D,0)),1),"")</f>
        <v>標</v>
      </c>
      <c r="AA32" s="33" t="str">
        <f aca="false">IFERROR(LEFT(INDEX(日別データ!$G:$G,MATCH($A32*100+AA$21,日別データ!$D:$D,0)),1),"")</f>
        <v>標</v>
      </c>
      <c r="AB32" s="33" t="str">
        <f aca="false">IFERROR(LEFT(INDEX(日別データ!$G:$G,MATCH($A32*100+AB$21,日別データ!$D:$D,0)),1),"")</f>
        <v>標</v>
      </c>
      <c r="AC32" s="33" t="str">
        <f aca="false">IFERROR(LEFT(INDEX(日別データ!$G:$G,MATCH($A32*100+AC$21,日別データ!$D:$D,0)),1),"")</f>
        <v>標</v>
      </c>
      <c r="AD32" s="33" t="str">
        <f aca="false">IFERROR(LEFT(INDEX(日別データ!$G:$G,MATCH($A32*100+AD$21,日別データ!$D:$D,0)),1),"")</f>
        <v>標</v>
      </c>
      <c r="AE32" s="33" t="str">
        <f aca="false">IFERROR(LEFT(INDEX(日別データ!$G:$G,MATCH($A32*100+AE$21,日別データ!$D:$D,0)),1),"")</f>
        <v>標</v>
      </c>
      <c r="AF32" s="33" t="str">
        <f aca="false">IFERROR(LEFT(INDEX(日別データ!$G:$G,MATCH($A32*100+AF$21,日別データ!$D:$D,0)),1),"")</f>
        <v/>
      </c>
    </row>
    <row r="33" customFormat="false" ht="15" hidden="false" customHeight="false" outlineLevel="0" collapsed="false">
      <c r="A33" s="30" t="n">
        <v>12</v>
      </c>
      <c r="B33" s="33" t="str">
        <f aca="false">IFERROR(LEFT(INDEX(日別データ!$G:$G,MATCH($A33*100+B$21,日別データ!$D:$D,0)),1),"")</f>
        <v>標</v>
      </c>
      <c r="C33" s="33" t="str">
        <f aca="false">IFERROR(LEFT(INDEX(日別データ!$G:$G,MATCH($A33*100+C$21,日別データ!$D:$D,0)),1),"")</f>
        <v>標</v>
      </c>
      <c r="D33" s="33" t="str">
        <f aca="false">IFERROR(LEFT(INDEX(日別データ!$G:$G,MATCH($A33*100+D$21,日別データ!$D:$D,0)),1),"")</f>
        <v>標</v>
      </c>
      <c r="E33" s="33" t="str">
        <f aca="false">IFERROR(LEFT(INDEX(日別データ!$G:$G,MATCH($A33*100+E$21,日別データ!$D:$D,0)),1),"")</f>
        <v>標</v>
      </c>
      <c r="F33" s="33" t="str">
        <f aca="false">IFERROR(LEFT(INDEX(日別データ!$G:$G,MATCH($A33*100+F$21,日別データ!$D:$D,0)),1),"")</f>
        <v>標</v>
      </c>
      <c r="G33" s="33" t="str">
        <f aca="false">IFERROR(LEFT(INDEX(日別データ!$G:$G,MATCH($A33*100+G$21,日別データ!$D:$D,0)),1),"")</f>
        <v>標</v>
      </c>
      <c r="H33" s="33" t="str">
        <f aca="false">IFERROR(LEFT(INDEX(日別データ!$G:$G,MATCH($A33*100+H$21,日別データ!$D:$D,0)),1),"")</f>
        <v>標</v>
      </c>
      <c r="I33" s="33" t="str">
        <f aca="false">IFERROR(LEFT(INDEX(日別データ!$G:$G,MATCH($A33*100+I$21,日別データ!$D:$D,0)),1),"")</f>
        <v>冬</v>
      </c>
      <c r="J33" s="33" t="str">
        <f aca="false">IFERROR(LEFT(INDEX(日別データ!$G:$G,MATCH($A33*100+J$21,日別データ!$D:$D,0)),1),"")</f>
        <v>冬</v>
      </c>
      <c r="K33" s="33" t="str">
        <f aca="false">IFERROR(LEFT(INDEX(日別データ!$G:$G,MATCH($A33*100+K$21,日別データ!$D:$D,0)),1),"")</f>
        <v>冬</v>
      </c>
      <c r="L33" s="33" t="str">
        <f aca="false">IFERROR(LEFT(INDEX(日別データ!$G:$G,MATCH($A33*100+L$21,日別データ!$D:$D,0)),1),"")</f>
        <v>冬</v>
      </c>
      <c r="M33" s="33" t="str">
        <f aca="false">IFERROR(LEFT(INDEX(日別データ!$G:$G,MATCH($A33*100+M$21,日別データ!$D:$D,0)),1),"")</f>
        <v>冬</v>
      </c>
      <c r="N33" s="33" t="str">
        <f aca="false">IFERROR(LEFT(INDEX(日別データ!$G:$G,MATCH($A33*100+N$21,日別データ!$D:$D,0)),1),"")</f>
        <v>冬</v>
      </c>
      <c r="O33" s="33" t="str">
        <f aca="false">IFERROR(LEFT(INDEX(日別データ!$G:$G,MATCH($A33*100+O$21,日別データ!$D:$D,0)),1),"")</f>
        <v>冬</v>
      </c>
      <c r="P33" s="33" t="str">
        <f aca="false">IFERROR(LEFT(INDEX(日別データ!$G:$G,MATCH($A33*100+P$21,日別データ!$D:$D,0)),1),"")</f>
        <v>冬</v>
      </c>
      <c r="Q33" s="33" t="str">
        <f aca="false">IFERROR(LEFT(INDEX(日別データ!$G:$G,MATCH($A33*100+Q$21,日別データ!$D:$D,0)),1),"")</f>
        <v>冬</v>
      </c>
      <c r="R33" s="33" t="str">
        <f aca="false">IFERROR(LEFT(INDEX(日別データ!$G:$G,MATCH($A33*100+R$21,日別データ!$D:$D,0)),1),"")</f>
        <v>冬</v>
      </c>
      <c r="S33" s="33" t="str">
        <f aca="false">IFERROR(LEFT(INDEX(日別データ!$G:$G,MATCH($A33*100+S$21,日別データ!$D:$D,0)),1),"")</f>
        <v>冬</v>
      </c>
      <c r="T33" s="33" t="str">
        <f aca="false">IFERROR(LEFT(INDEX(日別データ!$G:$G,MATCH($A33*100+T$21,日別データ!$D:$D,0)),1),"")</f>
        <v>冬</v>
      </c>
      <c r="U33" s="33" t="str">
        <f aca="false">IFERROR(LEFT(INDEX(日別データ!$G:$G,MATCH($A33*100+U$21,日別データ!$D:$D,0)),1),"")</f>
        <v>冬</v>
      </c>
      <c r="V33" s="33" t="str">
        <f aca="false">IFERROR(LEFT(INDEX(日別データ!$G:$G,MATCH($A33*100+V$21,日別データ!$D:$D,0)),1),"")</f>
        <v>冬</v>
      </c>
      <c r="W33" s="33" t="str">
        <f aca="false">IFERROR(LEFT(INDEX(日別データ!$G:$G,MATCH($A33*100+W$21,日別データ!$D:$D,0)),1),"")</f>
        <v>冬</v>
      </c>
      <c r="X33" s="33" t="str">
        <f aca="false">IFERROR(LEFT(INDEX(日別データ!$G:$G,MATCH($A33*100+X$21,日別データ!$D:$D,0)),1),"")</f>
        <v>冬</v>
      </c>
      <c r="Y33" s="33" t="str">
        <f aca="false">IFERROR(LEFT(INDEX(日別データ!$G:$G,MATCH($A33*100+Y$21,日別データ!$D:$D,0)),1),"")</f>
        <v>冬</v>
      </c>
      <c r="Z33" s="33" t="str">
        <f aca="false">IFERROR(LEFT(INDEX(日別データ!$G:$G,MATCH($A33*100+Z$21,日別データ!$D:$D,0)),1),"")</f>
        <v>冬</v>
      </c>
      <c r="AA33" s="33" t="str">
        <f aca="false">IFERROR(LEFT(INDEX(日別データ!$G:$G,MATCH($A33*100+AA$21,日別データ!$D:$D,0)),1),"")</f>
        <v>冬</v>
      </c>
      <c r="AB33" s="33" t="str">
        <f aca="false">IFERROR(LEFT(INDEX(日別データ!$G:$G,MATCH($A33*100+AB$21,日別データ!$D:$D,0)),1),"")</f>
        <v>冬</v>
      </c>
      <c r="AC33" s="33" t="str">
        <f aca="false">IFERROR(LEFT(INDEX(日別データ!$G:$G,MATCH($A33*100+AC$21,日別データ!$D:$D,0)),1),"")</f>
        <v>冬</v>
      </c>
      <c r="AD33" s="33" t="str">
        <f aca="false">IFERROR(LEFT(INDEX(日別データ!$G:$G,MATCH($A33*100+AD$21,日別データ!$D:$D,0)),1),"")</f>
        <v>冬</v>
      </c>
      <c r="AE33" s="33" t="str">
        <f aca="false">IFERROR(LEFT(INDEX(日別データ!$G:$G,MATCH($A33*100+AE$21,日別データ!$D:$D,0)),1),"")</f>
        <v>冬</v>
      </c>
      <c r="AF33" s="33" t="str">
        <f aca="false">IFERROR(LEFT(INDEX(日別データ!$G:$G,MATCH($A33*100+AF$21,日別データ!$D:$D,0)),1),"")</f>
        <v>冬</v>
      </c>
    </row>
    <row r="35" customFormat="false" ht="15" hidden="false" customHeight="false" outlineLevel="0" collapsed="false">
      <c r="A35" s="25" t="s">
        <v>68</v>
      </c>
      <c r="B35" s="34"/>
      <c r="C35" s="35" t="s">
        <v>69</v>
      </c>
      <c r="D35" s="36"/>
      <c r="E35" s="35" t="s">
        <v>70</v>
      </c>
      <c r="F35" s="37"/>
      <c r="G35" s="38" t="s">
        <v>71</v>
      </c>
      <c r="J35" s="39"/>
      <c r="K35" s="38" t="s">
        <v>72</v>
      </c>
      <c r="N35" s="40"/>
      <c r="O35" s="38" t="s">
        <v>73</v>
      </c>
    </row>
    <row r="37" customFormat="false" ht="15" hidden="false" customHeight="false" outlineLevel="0" collapsed="false">
      <c r="A37" s="26" t="s">
        <v>74</v>
      </c>
    </row>
  </sheetData>
  <conditionalFormatting sqref="B6:AF17">
    <cfRule type="cellIs" priority="2" operator="equal" aboveAverage="0" equalAverage="0" bottom="0" percent="0" rank="0" text="" dxfId="1">
      <formula>6</formula>
    </cfRule>
    <cfRule type="cellIs" priority="3" operator="equal" aboveAverage="0" equalAverage="0" bottom="0" percent="0" rank="0" text="" dxfId="2">
      <formula>3</formula>
    </cfRule>
  </conditionalFormatting>
  <conditionalFormatting sqref="B22:AF33">
    <cfRule type="cellIs" priority="4" operator="equal" aboveAverage="0" equalAverage="0" bottom="0" percent="0" rank="0" text="" dxfId="3">
      <formula>"夏"</formula>
    </cfRule>
    <cfRule type="cellIs" priority="5" operator="equal" aboveAverage="0" equalAverage="0" bottom="0" percent="0" rank="0" text="" dxfId="4">
      <formula>"冬"</formula>
    </cfRule>
    <cfRule type="cellIs" priority="6" operator="equal" aboveAverage="0" equalAverage="0" bottom="0" percent="0" rank="0" text="" dxfId="5">
      <formula>"標"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6" min="3" style="0" width="9"/>
    <col collapsed="false" customWidth="true" hidden="false" outlineLevel="0" max="9" min="7" style="0" width="11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41" t="s">
        <v>76</v>
      </c>
    </row>
    <row r="4" customFormat="false" ht="15" hidden="false" customHeight="false" outlineLevel="0" collapsed="false">
      <c r="A4" s="42" t="s">
        <v>77</v>
      </c>
    </row>
    <row r="5" customFormat="false" ht="15" hidden="false" customHeight="false" outlineLevel="0" collapsed="false">
      <c r="A5" s="28" t="s">
        <v>3</v>
      </c>
      <c r="B5" s="43" t="s">
        <v>7</v>
      </c>
      <c r="C5" s="28" t="s">
        <v>78</v>
      </c>
      <c r="D5" s="28" t="s">
        <v>79</v>
      </c>
      <c r="E5" s="28" t="s">
        <v>80</v>
      </c>
      <c r="F5" s="28" t="s">
        <v>81</v>
      </c>
      <c r="G5" s="17" t="s">
        <v>13</v>
      </c>
      <c r="H5" s="17" t="s">
        <v>14</v>
      </c>
    </row>
    <row r="6" customFormat="false" ht="15" hidden="false" customHeight="false" outlineLevel="0" collapsed="false">
      <c r="A6" s="44" t="s">
        <v>82</v>
      </c>
      <c r="B6" s="45" t="n">
        <v>6</v>
      </c>
      <c r="C6" s="46" t="n">
        <v>6</v>
      </c>
      <c r="D6" s="46" t="n">
        <v>30</v>
      </c>
      <c r="E6" s="46" t="n">
        <v>9</v>
      </c>
      <c r="F6" s="46" t="n">
        <v>14</v>
      </c>
      <c r="G6" s="18" t="n">
        <f aca="false">C6*100+D6</f>
        <v>630</v>
      </c>
      <c r="H6" s="18" t="n">
        <f aca="false">E6*100+F6</f>
        <v>914</v>
      </c>
    </row>
    <row r="7" customFormat="false" ht="15" hidden="false" customHeight="false" outlineLevel="0" collapsed="false">
      <c r="A7" s="44" t="s">
        <v>83</v>
      </c>
      <c r="B7" s="45" t="n">
        <v>6</v>
      </c>
      <c r="C7" s="46" t="n">
        <v>11</v>
      </c>
      <c r="D7" s="46" t="n">
        <v>27</v>
      </c>
      <c r="E7" s="46" t="n">
        <v>2</v>
      </c>
      <c r="F7" s="46" t="n">
        <v>20</v>
      </c>
      <c r="G7" s="18" t="n">
        <f aca="false">C7*100+D7</f>
        <v>1127</v>
      </c>
      <c r="H7" s="18" t="n">
        <f aca="false">E7*100+F7</f>
        <v>220</v>
      </c>
    </row>
    <row r="8" customFormat="false" ht="15" hidden="false" customHeight="false" outlineLevel="0" collapsed="false">
      <c r="A8" s="44" t="s">
        <v>84</v>
      </c>
      <c r="B8" s="45" t="n">
        <v>3</v>
      </c>
      <c r="C8" s="47" t="s">
        <v>85</v>
      </c>
      <c r="D8" s="47" t="s">
        <v>85</v>
      </c>
      <c r="E8" s="47" t="s">
        <v>85</v>
      </c>
      <c r="F8" s="47" t="s">
        <v>85</v>
      </c>
      <c r="G8" s="47" t="s">
        <v>85</v>
      </c>
      <c r="H8" s="47" t="s">
        <v>85</v>
      </c>
    </row>
    <row r="10" customFormat="false" ht="15" hidden="false" customHeight="false" outlineLevel="0" collapsed="false">
      <c r="A10" s="42" t="s">
        <v>86</v>
      </c>
    </row>
    <row r="11" customFormat="false" ht="15" hidden="false" customHeight="false" outlineLevel="0" collapsed="false">
      <c r="A11" s="28" t="s">
        <v>3</v>
      </c>
      <c r="B11" s="28" t="s">
        <v>87</v>
      </c>
      <c r="C11" s="28" t="s">
        <v>88</v>
      </c>
      <c r="D11" s="28" t="s">
        <v>78</v>
      </c>
      <c r="E11" s="28" t="s">
        <v>79</v>
      </c>
      <c r="F11" s="28" t="s">
        <v>80</v>
      </c>
      <c r="G11" s="28" t="s">
        <v>81</v>
      </c>
      <c r="H11" s="17" t="s">
        <v>13</v>
      </c>
      <c r="I11" s="17" t="s">
        <v>14</v>
      </c>
    </row>
    <row r="12" customFormat="false" ht="15" hidden="false" customHeight="false" outlineLevel="0" collapsed="false">
      <c r="A12" s="48" t="s">
        <v>16</v>
      </c>
      <c r="B12" s="11" t="s">
        <v>89</v>
      </c>
      <c r="C12" s="11" t="s">
        <v>90</v>
      </c>
      <c r="D12" s="46" t="n">
        <v>3</v>
      </c>
      <c r="E12" s="46" t="n">
        <v>8</v>
      </c>
      <c r="F12" s="46" t="n">
        <v>6</v>
      </c>
      <c r="G12" s="46" t="n">
        <v>15</v>
      </c>
      <c r="H12" s="18" t="n">
        <f aca="false">D12*100+E12</f>
        <v>308</v>
      </c>
      <c r="I12" s="18" t="n">
        <f aca="false">F12*100+G12</f>
        <v>615</v>
      </c>
    </row>
    <row r="13" customFormat="false" ht="15" hidden="false" customHeight="false" outlineLevel="0" collapsed="false">
      <c r="A13" s="48" t="s">
        <v>20</v>
      </c>
      <c r="B13" s="11" t="s">
        <v>91</v>
      </c>
      <c r="C13" s="11" t="s">
        <v>92</v>
      </c>
      <c r="D13" s="46" t="n">
        <v>6</v>
      </c>
      <c r="E13" s="46" t="n">
        <v>16</v>
      </c>
      <c r="F13" s="46" t="n">
        <v>9</v>
      </c>
      <c r="G13" s="46" t="n">
        <v>23</v>
      </c>
      <c r="H13" s="18" t="n">
        <f aca="false">D13*100+E13</f>
        <v>616</v>
      </c>
      <c r="I13" s="18" t="n">
        <f aca="false">F13*100+G13</f>
        <v>923</v>
      </c>
    </row>
    <row r="14" customFormat="false" ht="15" hidden="false" customHeight="false" outlineLevel="0" collapsed="false">
      <c r="A14" s="48" t="s">
        <v>24</v>
      </c>
      <c r="B14" s="11" t="s">
        <v>89</v>
      </c>
      <c r="C14" s="11" t="s">
        <v>90</v>
      </c>
      <c r="D14" s="46" t="n">
        <v>9</v>
      </c>
      <c r="E14" s="46" t="n">
        <v>24</v>
      </c>
      <c r="F14" s="46" t="n">
        <v>12</v>
      </c>
      <c r="G14" s="46" t="n">
        <v>7</v>
      </c>
      <c r="H14" s="18" t="n">
        <f aca="false">D14*100+E14</f>
        <v>924</v>
      </c>
      <c r="I14" s="18" t="n">
        <f aca="false">F14*100+G14</f>
        <v>1207</v>
      </c>
    </row>
    <row r="15" customFormat="false" ht="15" hidden="false" customHeight="false" outlineLevel="0" collapsed="false">
      <c r="A15" s="48" t="s">
        <v>28</v>
      </c>
      <c r="B15" s="11" t="s">
        <v>89</v>
      </c>
      <c r="C15" s="11" t="s">
        <v>93</v>
      </c>
      <c r="D15" s="46" t="n">
        <v>12</v>
      </c>
      <c r="E15" s="46" t="n">
        <v>8</v>
      </c>
      <c r="F15" s="46" t="n">
        <v>3</v>
      </c>
      <c r="G15" s="46" t="n">
        <v>7</v>
      </c>
      <c r="H15" s="18" t="n">
        <f aca="false">D15*100+E15</f>
        <v>1208</v>
      </c>
      <c r="I15" s="18" t="n">
        <f aca="false">F15*100+G15</f>
        <v>307</v>
      </c>
    </row>
    <row r="18" customFormat="false" ht="15" hidden="false" customHeight="false" outlineLevel="0" collapsed="false">
      <c r="A18" s="25" t="s">
        <v>94</v>
      </c>
    </row>
    <row r="19" customFormat="false" ht="15" hidden="false" customHeight="false" outlineLevel="0" collapsed="false">
      <c r="A19" s="26" t="s">
        <v>95</v>
      </c>
    </row>
    <row r="20" customFormat="false" ht="15" hidden="false" customHeight="false" outlineLevel="0" collapsed="false">
      <c r="A20" s="26" t="s">
        <v>96</v>
      </c>
    </row>
    <row r="21" customFormat="false" ht="15" hidden="false" customHeight="false" outlineLevel="0" collapsed="false">
      <c r="A21" s="26" t="s">
        <v>97</v>
      </c>
    </row>
    <row r="22" customFormat="false" ht="15" hidden="false" customHeight="false" outlineLevel="0" collapsed="false">
      <c r="A22" s="26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9"/>
    <col collapsed="false" customWidth="true" hidden="false" outlineLevel="0" max="5" min="4" style="0" width="10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15" min="10" style="0" width="6"/>
  </cols>
  <sheetData>
    <row r="1" customFormat="false" ht="19.4" hidden="false" customHeight="false" outlineLevel="0" collapsed="false">
      <c r="A1" s="1" t="s">
        <v>99</v>
      </c>
    </row>
    <row r="2" customFormat="false" ht="15" hidden="false" customHeight="false" outlineLevel="0" collapsed="false">
      <c r="A2" s="41" t="s">
        <v>100</v>
      </c>
      <c r="J2" s="3" t="s">
        <v>101</v>
      </c>
    </row>
    <row r="3" customFormat="false" ht="15" hidden="false" customHeight="false" outlineLevel="0" collapsed="false">
      <c r="A3" s="28" t="s">
        <v>102</v>
      </c>
      <c r="B3" s="28" t="s">
        <v>103</v>
      </c>
      <c r="C3" s="28" t="s">
        <v>104</v>
      </c>
      <c r="D3" s="28" t="s">
        <v>105</v>
      </c>
      <c r="E3" s="43" t="s">
        <v>7</v>
      </c>
      <c r="F3" s="28" t="s">
        <v>87</v>
      </c>
      <c r="G3" s="28" t="s">
        <v>88</v>
      </c>
      <c r="H3" s="28" t="s">
        <v>15</v>
      </c>
      <c r="J3" s="49" t="s">
        <v>106</v>
      </c>
      <c r="K3" s="49" t="s">
        <v>107</v>
      </c>
      <c r="L3" s="6" t="s">
        <v>108</v>
      </c>
      <c r="M3" s="6" t="s">
        <v>109</v>
      </c>
      <c r="N3" s="6" t="s">
        <v>110</v>
      </c>
      <c r="O3" s="6" t="s">
        <v>111</v>
      </c>
    </row>
    <row r="4" customFormat="false" ht="15" hidden="false" customHeight="false" outlineLevel="0" collapsed="false">
      <c r="A4" s="48" t="n">
        <v>1</v>
      </c>
      <c r="B4" s="48" t="n">
        <v>1</v>
      </c>
      <c r="C4" s="48" t="str">
        <f aca="false">A4&amp;"/"&amp;B4</f>
        <v>1/1</v>
      </c>
      <c r="D4" s="48" t="n">
        <f aca="false">A4*100+B4</f>
        <v>101</v>
      </c>
      <c r="E4" s="45" t="n">
        <f aca="false">IF(SUM(J4:K4)&gt;0,前提条件!$B$6,前提条件!$B$8)</f>
        <v>6</v>
      </c>
      <c r="F4" s="48" t="str">
        <f aca="false">IFERROR(INDEX(前提条件!$B$12:$B$15,MATCH(1,L4:O4,0)),"未設定")</f>
        <v>標準形</v>
      </c>
      <c r="G4" s="48" t="str">
        <f aca="false">IFERROR(INDEX(前提条件!$C$12:$C$15,MATCH(1,L4:O4,0)),"未設定")</f>
        <v>冬期</v>
      </c>
      <c r="H4" s="44" t="str">
        <f aca="false">"S値+"&amp;E4&amp;"／"&amp;F4&amp;"（"&amp;G4&amp;"）"</f>
        <v>S値+6／標準形（冬期）</v>
      </c>
      <c r="J4" s="14" t="n">
        <f aca="false">IF(IF(前提条件!$G$6&lt;=前提条件!$H$6,AND($D4&gt;=前提条件!$G$6,$D4&lt;=前提条件!$H$6),OR($D4&gt;=前提条件!$G$6,$D4&lt;=前提条件!$H$6)),1,0)</f>
        <v>0</v>
      </c>
      <c r="K4" s="14" t="n">
        <f aca="false">IF(IF(前提条件!$G$7&lt;=前提条件!$H$7,AND($D4&gt;=前提条件!$G$7,$D4&lt;=前提条件!$H$7),OR($D4&gt;=前提条件!$G$7,$D4&lt;=前提条件!$H$7)),1,0)</f>
        <v>1</v>
      </c>
      <c r="L4" s="14" t="n">
        <f aca="false">IF(IF(前提条件!$H$12&lt;=前提条件!$I$12,AND($D4&gt;=前提条件!$H$12,$D4&lt;=前提条件!$I$12),OR($D4&gt;=前提条件!$H$12,$D4&lt;=前提条件!$I$12)),1,0)</f>
        <v>0</v>
      </c>
      <c r="M4" s="14" t="n">
        <f aca="false">IF(IF(前提条件!$H$13&lt;=前提条件!$I$13,AND($D4&gt;=前提条件!$H$13,$D4&lt;=前提条件!$I$13),OR($D4&gt;=前提条件!$H$13,$D4&lt;=前提条件!$I$13)),1,0)</f>
        <v>0</v>
      </c>
      <c r="N4" s="14" t="n">
        <f aca="false">IF(IF(前提条件!$H$14&lt;=前提条件!$I$14,AND($D4&gt;=前提条件!$H$14,$D4&lt;=前提条件!$I$14),OR($D4&gt;=前提条件!$H$14,$D4&lt;=前提条件!$I$14)),1,0)</f>
        <v>0</v>
      </c>
      <c r="O4" s="14" t="n">
        <f aca="false">IF(IF(前提条件!$H$15&lt;=前提条件!$I$15,AND($D4&gt;=前提条件!$H$15,$D4&lt;=前提条件!$I$15),OR($D4&gt;=前提条件!$H$15,$D4&lt;=前提条件!$I$15)),1,0)</f>
        <v>1</v>
      </c>
    </row>
    <row r="5" customFormat="false" ht="15" hidden="false" customHeight="false" outlineLevel="0" collapsed="false">
      <c r="A5" s="48" t="n">
        <v>1</v>
      </c>
      <c r="B5" s="48" t="n">
        <v>2</v>
      </c>
      <c r="C5" s="48" t="str">
        <f aca="false">A5&amp;"/"&amp;B5</f>
        <v>1/2</v>
      </c>
      <c r="D5" s="48" t="n">
        <f aca="false">A5*100+B5</f>
        <v>102</v>
      </c>
      <c r="E5" s="45" t="n">
        <f aca="false">IF(SUM(J5:K5)&gt;0,前提条件!$B$6,前提条件!$B$8)</f>
        <v>6</v>
      </c>
      <c r="F5" s="48" t="str">
        <f aca="false">IFERROR(INDEX(前提条件!$B$12:$B$15,MATCH(1,L5:O5,0)),"未設定")</f>
        <v>標準形</v>
      </c>
      <c r="G5" s="48" t="str">
        <f aca="false">IFERROR(INDEX(前提条件!$C$12:$C$15,MATCH(1,L5:O5,0)),"未設定")</f>
        <v>冬期</v>
      </c>
      <c r="H5" s="44" t="str">
        <f aca="false">"S値+"&amp;E5&amp;"／"&amp;F5&amp;"（"&amp;G5&amp;"）"</f>
        <v>S値+6／標準形（冬期）</v>
      </c>
      <c r="J5" s="14" t="n">
        <f aca="false">IF(IF(前提条件!$G$6&lt;=前提条件!$H$6,AND($D5&gt;=前提条件!$G$6,$D5&lt;=前提条件!$H$6),OR($D5&gt;=前提条件!$G$6,$D5&lt;=前提条件!$H$6)),1,0)</f>
        <v>0</v>
      </c>
      <c r="K5" s="14" t="n">
        <f aca="false">IF(IF(前提条件!$G$7&lt;=前提条件!$H$7,AND($D5&gt;=前提条件!$G$7,$D5&lt;=前提条件!$H$7),OR($D5&gt;=前提条件!$G$7,$D5&lt;=前提条件!$H$7)),1,0)</f>
        <v>1</v>
      </c>
      <c r="L5" s="14" t="n">
        <f aca="false">IF(IF(前提条件!$H$12&lt;=前提条件!$I$12,AND($D5&gt;=前提条件!$H$12,$D5&lt;=前提条件!$I$12),OR($D5&gt;=前提条件!$H$12,$D5&lt;=前提条件!$I$12)),1,0)</f>
        <v>0</v>
      </c>
      <c r="M5" s="14" t="n">
        <f aca="false">IF(IF(前提条件!$H$13&lt;=前提条件!$I$13,AND($D5&gt;=前提条件!$H$13,$D5&lt;=前提条件!$I$13),OR($D5&gt;=前提条件!$H$13,$D5&lt;=前提条件!$I$13)),1,0)</f>
        <v>0</v>
      </c>
      <c r="N5" s="14" t="n">
        <f aca="false">IF(IF(前提条件!$H$14&lt;=前提条件!$I$14,AND($D5&gt;=前提条件!$H$14,$D5&lt;=前提条件!$I$14),OR($D5&gt;=前提条件!$H$14,$D5&lt;=前提条件!$I$14)),1,0)</f>
        <v>0</v>
      </c>
      <c r="O5" s="14" t="n">
        <f aca="false">IF(IF(前提条件!$H$15&lt;=前提条件!$I$15,AND($D5&gt;=前提条件!$H$15,$D5&lt;=前提条件!$I$15),OR($D5&gt;=前提条件!$H$15,$D5&lt;=前提条件!$I$15)),1,0)</f>
        <v>1</v>
      </c>
    </row>
    <row r="6" customFormat="false" ht="15" hidden="false" customHeight="false" outlineLevel="0" collapsed="false">
      <c r="A6" s="48" t="n">
        <v>1</v>
      </c>
      <c r="B6" s="48" t="n">
        <v>3</v>
      </c>
      <c r="C6" s="48" t="str">
        <f aca="false">A6&amp;"/"&amp;B6</f>
        <v>1/3</v>
      </c>
      <c r="D6" s="48" t="n">
        <f aca="false">A6*100+B6</f>
        <v>103</v>
      </c>
      <c r="E6" s="45" t="n">
        <f aca="false">IF(SUM(J6:K6)&gt;0,前提条件!$B$6,前提条件!$B$8)</f>
        <v>6</v>
      </c>
      <c r="F6" s="48" t="str">
        <f aca="false">IFERROR(INDEX(前提条件!$B$12:$B$15,MATCH(1,L6:O6,0)),"未設定")</f>
        <v>標準形</v>
      </c>
      <c r="G6" s="48" t="str">
        <f aca="false">IFERROR(INDEX(前提条件!$C$12:$C$15,MATCH(1,L6:O6,0)),"未設定")</f>
        <v>冬期</v>
      </c>
      <c r="H6" s="44" t="str">
        <f aca="false">"S値+"&amp;E6&amp;"／"&amp;F6&amp;"（"&amp;G6&amp;"）"</f>
        <v>S値+6／標準形（冬期）</v>
      </c>
      <c r="J6" s="14" t="n">
        <f aca="false">IF(IF(前提条件!$G$6&lt;=前提条件!$H$6,AND($D6&gt;=前提条件!$G$6,$D6&lt;=前提条件!$H$6),OR($D6&gt;=前提条件!$G$6,$D6&lt;=前提条件!$H$6)),1,0)</f>
        <v>0</v>
      </c>
      <c r="K6" s="14" t="n">
        <f aca="false">IF(IF(前提条件!$G$7&lt;=前提条件!$H$7,AND($D6&gt;=前提条件!$G$7,$D6&lt;=前提条件!$H$7),OR($D6&gt;=前提条件!$G$7,$D6&lt;=前提条件!$H$7)),1,0)</f>
        <v>1</v>
      </c>
      <c r="L6" s="14" t="n">
        <f aca="false">IF(IF(前提条件!$H$12&lt;=前提条件!$I$12,AND($D6&gt;=前提条件!$H$12,$D6&lt;=前提条件!$I$12),OR($D6&gt;=前提条件!$H$12,$D6&lt;=前提条件!$I$12)),1,0)</f>
        <v>0</v>
      </c>
      <c r="M6" s="14" t="n">
        <f aca="false">IF(IF(前提条件!$H$13&lt;=前提条件!$I$13,AND($D6&gt;=前提条件!$H$13,$D6&lt;=前提条件!$I$13),OR($D6&gt;=前提条件!$H$13,$D6&lt;=前提条件!$I$13)),1,0)</f>
        <v>0</v>
      </c>
      <c r="N6" s="14" t="n">
        <f aca="false">IF(IF(前提条件!$H$14&lt;=前提条件!$I$14,AND($D6&gt;=前提条件!$H$14,$D6&lt;=前提条件!$I$14),OR($D6&gt;=前提条件!$H$14,$D6&lt;=前提条件!$I$14)),1,0)</f>
        <v>0</v>
      </c>
      <c r="O6" s="14" t="n">
        <f aca="false">IF(IF(前提条件!$H$15&lt;=前提条件!$I$15,AND($D6&gt;=前提条件!$H$15,$D6&lt;=前提条件!$I$15),OR($D6&gt;=前提条件!$H$15,$D6&lt;=前提条件!$I$15)),1,0)</f>
        <v>1</v>
      </c>
    </row>
    <row r="7" customFormat="false" ht="15" hidden="false" customHeight="false" outlineLevel="0" collapsed="false">
      <c r="A7" s="48" t="n">
        <v>1</v>
      </c>
      <c r="B7" s="48" t="n">
        <v>4</v>
      </c>
      <c r="C7" s="48" t="str">
        <f aca="false">A7&amp;"/"&amp;B7</f>
        <v>1/4</v>
      </c>
      <c r="D7" s="48" t="n">
        <f aca="false">A7*100+B7</f>
        <v>104</v>
      </c>
      <c r="E7" s="45" t="n">
        <f aca="false">IF(SUM(J7:K7)&gt;0,前提条件!$B$6,前提条件!$B$8)</f>
        <v>6</v>
      </c>
      <c r="F7" s="48" t="str">
        <f aca="false">IFERROR(INDEX(前提条件!$B$12:$B$15,MATCH(1,L7:O7,0)),"未設定")</f>
        <v>標準形</v>
      </c>
      <c r="G7" s="48" t="str">
        <f aca="false">IFERROR(INDEX(前提条件!$C$12:$C$15,MATCH(1,L7:O7,0)),"未設定")</f>
        <v>冬期</v>
      </c>
      <c r="H7" s="44" t="str">
        <f aca="false">"S値+"&amp;E7&amp;"／"&amp;F7&amp;"（"&amp;G7&amp;"）"</f>
        <v>S値+6／標準形（冬期）</v>
      </c>
      <c r="J7" s="14" t="n">
        <f aca="false">IF(IF(前提条件!$G$6&lt;=前提条件!$H$6,AND($D7&gt;=前提条件!$G$6,$D7&lt;=前提条件!$H$6),OR($D7&gt;=前提条件!$G$6,$D7&lt;=前提条件!$H$6)),1,0)</f>
        <v>0</v>
      </c>
      <c r="K7" s="14" t="n">
        <f aca="false">IF(IF(前提条件!$G$7&lt;=前提条件!$H$7,AND($D7&gt;=前提条件!$G$7,$D7&lt;=前提条件!$H$7),OR($D7&gt;=前提条件!$G$7,$D7&lt;=前提条件!$H$7)),1,0)</f>
        <v>1</v>
      </c>
      <c r="L7" s="14" t="n">
        <f aca="false">IF(IF(前提条件!$H$12&lt;=前提条件!$I$12,AND($D7&gt;=前提条件!$H$12,$D7&lt;=前提条件!$I$12),OR($D7&gt;=前提条件!$H$12,$D7&lt;=前提条件!$I$12)),1,0)</f>
        <v>0</v>
      </c>
      <c r="M7" s="14" t="n">
        <f aca="false">IF(IF(前提条件!$H$13&lt;=前提条件!$I$13,AND($D7&gt;=前提条件!$H$13,$D7&lt;=前提条件!$I$13),OR($D7&gt;=前提条件!$H$13,$D7&lt;=前提条件!$I$13)),1,0)</f>
        <v>0</v>
      </c>
      <c r="N7" s="14" t="n">
        <f aca="false">IF(IF(前提条件!$H$14&lt;=前提条件!$I$14,AND($D7&gt;=前提条件!$H$14,$D7&lt;=前提条件!$I$14),OR($D7&gt;=前提条件!$H$14,$D7&lt;=前提条件!$I$14)),1,0)</f>
        <v>0</v>
      </c>
      <c r="O7" s="14" t="n">
        <f aca="false">IF(IF(前提条件!$H$15&lt;=前提条件!$I$15,AND($D7&gt;=前提条件!$H$15,$D7&lt;=前提条件!$I$15),OR($D7&gt;=前提条件!$H$15,$D7&lt;=前提条件!$I$15)),1,0)</f>
        <v>1</v>
      </c>
    </row>
    <row r="8" customFormat="false" ht="15" hidden="false" customHeight="false" outlineLevel="0" collapsed="false">
      <c r="A8" s="48" t="n">
        <v>1</v>
      </c>
      <c r="B8" s="48" t="n">
        <v>5</v>
      </c>
      <c r="C8" s="48" t="str">
        <f aca="false">A8&amp;"/"&amp;B8</f>
        <v>1/5</v>
      </c>
      <c r="D8" s="48" t="n">
        <f aca="false">A8*100+B8</f>
        <v>105</v>
      </c>
      <c r="E8" s="45" t="n">
        <f aca="false">IF(SUM(J8:K8)&gt;0,前提条件!$B$6,前提条件!$B$8)</f>
        <v>6</v>
      </c>
      <c r="F8" s="48" t="str">
        <f aca="false">IFERROR(INDEX(前提条件!$B$12:$B$15,MATCH(1,L8:O8,0)),"未設定")</f>
        <v>標準形</v>
      </c>
      <c r="G8" s="48" t="str">
        <f aca="false">IFERROR(INDEX(前提条件!$C$12:$C$15,MATCH(1,L8:O8,0)),"未設定")</f>
        <v>冬期</v>
      </c>
      <c r="H8" s="44" t="str">
        <f aca="false">"S値+"&amp;E8&amp;"／"&amp;F8&amp;"（"&amp;G8&amp;"）"</f>
        <v>S値+6／標準形（冬期）</v>
      </c>
      <c r="J8" s="14" t="n">
        <f aca="false">IF(IF(前提条件!$G$6&lt;=前提条件!$H$6,AND($D8&gt;=前提条件!$G$6,$D8&lt;=前提条件!$H$6),OR($D8&gt;=前提条件!$G$6,$D8&lt;=前提条件!$H$6)),1,0)</f>
        <v>0</v>
      </c>
      <c r="K8" s="14" t="n">
        <f aca="false">IF(IF(前提条件!$G$7&lt;=前提条件!$H$7,AND($D8&gt;=前提条件!$G$7,$D8&lt;=前提条件!$H$7),OR($D8&gt;=前提条件!$G$7,$D8&lt;=前提条件!$H$7)),1,0)</f>
        <v>1</v>
      </c>
      <c r="L8" s="14" t="n">
        <f aca="false">IF(IF(前提条件!$H$12&lt;=前提条件!$I$12,AND($D8&gt;=前提条件!$H$12,$D8&lt;=前提条件!$I$12),OR($D8&gt;=前提条件!$H$12,$D8&lt;=前提条件!$I$12)),1,0)</f>
        <v>0</v>
      </c>
      <c r="M8" s="14" t="n">
        <f aca="false">IF(IF(前提条件!$H$13&lt;=前提条件!$I$13,AND($D8&gt;=前提条件!$H$13,$D8&lt;=前提条件!$I$13),OR($D8&gt;=前提条件!$H$13,$D8&lt;=前提条件!$I$13)),1,0)</f>
        <v>0</v>
      </c>
      <c r="N8" s="14" t="n">
        <f aca="false">IF(IF(前提条件!$H$14&lt;=前提条件!$I$14,AND($D8&gt;=前提条件!$H$14,$D8&lt;=前提条件!$I$14),OR($D8&gt;=前提条件!$H$14,$D8&lt;=前提条件!$I$14)),1,0)</f>
        <v>0</v>
      </c>
      <c r="O8" s="14" t="n">
        <f aca="false">IF(IF(前提条件!$H$15&lt;=前提条件!$I$15,AND($D8&gt;=前提条件!$H$15,$D8&lt;=前提条件!$I$15),OR($D8&gt;=前提条件!$H$15,$D8&lt;=前提条件!$I$15)),1,0)</f>
        <v>1</v>
      </c>
    </row>
    <row r="9" customFormat="false" ht="15" hidden="false" customHeight="false" outlineLevel="0" collapsed="false">
      <c r="A9" s="48" t="n">
        <v>1</v>
      </c>
      <c r="B9" s="48" t="n">
        <v>6</v>
      </c>
      <c r="C9" s="48" t="str">
        <f aca="false">A9&amp;"/"&amp;B9</f>
        <v>1/6</v>
      </c>
      <c r="D9" s="48" t="n">
        <f aca="false">A9*100+B9</f>
        <v>106</v>
      </c>
      <c r="E9" s="45" t="n">
        <f aca="false">IF(SUM(J9:K9)&gt;0,前提条件!$B$6,前提条件!$B$8)</f>
        <v>6</v>
      </c>
      <c r="F9" s="48" t="str">
        <f aca="false">IFERROR(INDEX(前提条件!$B$12:$B$15,MATCH(1,L9:O9,0)),"未設定")</f>
        <v>標準形</v>
      </c>
      <c r="G9" s="48" t="str">
        <f aca="false">IFERROR(INDEX(前提条件!$C$12:$C$15,MATCH(1,L9:O9,0)),"未設定")</f>
        <v>冬期</v>
      </c>
      <c r="H9" s="44" t="str">
        <f aca="false">"S値+"&amp;E9&amp;"／"&amp;F9&amp;"（"&amp;G9&amp;"）"</f>
        <v>S値+6／標準形（冬期）</v>
      </c>
      <c r="J9" s="14" t="n">
        <f aca="false">IF(IF(前提条件!$G$6&lt;=前提条件!$H$6,AND($D9&gt;=前提条件!$G$6,$D9&lt;=前提条件!$H$6),OR($D9&gt;=前提条件!$G$6,$D9&lt;=前提条件!$H$6)),1,0)</f>
        <v>0</v>
      </c>
      <c r="K9" s="14" t="n">
        <f aca="false">IF(IF(前提条件!$G$7&lt;=前提条件!$H$7,AND($D9&gt;=前提条件!$G$7,$D9&lt;=前提条件!$H$7),OR($D9&gt;=前提条件!$G$7,$D9&lt;=前提条件!$H$7)),1,0)</f>
        <v>1</v>
      </c>
      <c r="L9" s="14" t="n">
        <f aca="false">IF(IF(前提条件!$H$12&lt;=前提条件!$I$12,AND($D9&gt;=前提条件!$H$12,$D9&lt;=前提条件!$I$12),OR($D9&gt;=前提条件!$H$12,$D9&lt;=前提条件!$I$12)),1,0)</f>
        <v>0</v>
      </c>
      <c r="M9" s="14" t="n">
        <f aca="false">IF(IF(前提条件!$H$13&lt;=前提条件!$I$13,AND($D9&gt;=前提条件!$H$13,$D9&lt;=前提条件!$I$13),OR($D9&gt;=前提条件!$H$13,$D9&lt;=前提条件!$I$13)),1,0)</f>
        <v>0</v>
      </c>
      <c r="N9" s="14" t="n">
        <f aca="false">IF(IF(前提条件!$H$14&lt;=前提条件!$I$14,AND($D9&gt;=前提条件!$H$14,$D9&lt;=前提条件!$I$14),OR($D9&gt;=前提条件!$H$14,$D9&lt;=前提条件!$I$14)),1,0)</f>
        <v>0</v>
      </c>
      <c r="O9" s="14" t="n">
        <f aca="false">IF(IF(前提条件!$H$15&lt;=前提条件!$I$15,AND($D9&gt;=前提条件!$H$15,$D9&lt;=前提条件!$I$15),OR($D9&gt;=前提条件!$H$15,$D9&lt;=前提条件!$I$15)),1,0)</f>
        <v>1</v>
      </c>
    </row>
    <row r="10" customFormat="false" ht="15" hidden="false" customHeight="false" outlineLevel="0" collapsed="false">
      <c r="A10" s="48" t="n">
        <v>1</v>
      </c>
      <c r="B10" s="48" t="n">
        <v>7</v>
      </c>
      <c r="C10" s="48" t="str">
        <f aca="false">A10&amp;"/"&amp;B10</f>
        <v>1/7</v>
      </c>
      <c r="D10" s="48" t="n">
        <f aca="false">A10*100+B10</f>
        <v>107</v>
      </c>
      <c r="E10" s="45" t="n">
        <f aca="false">IF(SUM(J10:K10)&gt;0,前提条件!$B$6,前提条件!$B$8)</f>
        <v>6</v>
      </c>
      <c r="F10" s="48" t="str">
        <f aca="false">IFERROR(INDEX(前提条件!$B$12:$B$15,MATCH(1,L10:O10,0)),"未設定")</f>
        <v>標準形</v>
      </c>
      <c r="G10" s="48" t="str">
        <f aca="false">IFERROR(INDEX(前提条件!$C$12:$C$15,MATCH(1,L10:O10,0)),"未設定")</f>
        <v>冬期</v>
      </c>
      <c r="H10" s="44" t="str">
        <f aca="false">"S値+"&amp;E10&amp;"／"&amp;F10&amp;"（"&amp;G10&amp;"）"</f>
        <v>S値+6／標準形（冬期）</v>
      </c>
      <c r="J10" s="14" t="n">
        <f aca="false">IF(IF(前提条件!$G$6&lt;=前提条件!$H$6,AND($D10&gt;=前提条件!$G$6,$D10&lt;=前提条件!$H$6),OR($D10&gt;=前提条件!$G$6,$D10&lt;=前提条件!$H$6)),1,0)</f>
        <v>0</v>
      </c>
      <c r="K10" s="14" t="n">
        <f aca="false">IF(IF(前提条件!$G$7&lt;=前提条件!$H$7,AND($D10&gt;=前提条件!$G$7,$D10&lt;=前提条件!$H$7),OR($D10&gt;=前提条件!$G$7,$D10&lt;=前提条件!$H$7)),1,0)</f>
        <v>1</v>
      </c>
      <c r="L10" s="14" t="n">
        <f aca="false">IF(IF(前提条件!$H$12&lt;=前提条件!$I$12,AND($D10&gt;=前提条件!$H$12,$D10&lt;=前提条件!$I$12),OR($D10&gt;=前提条件!$H$12,$D10&lt;=前提条件!$I$12)),1,0)</f>
        <v>0</v>
      </c>
      <c r="M10" s="14" t="n">
        <f aca="false">IF(IF(前提条件!$H$13&lt;=前提条件!$I$13,AND($D10&gt;=前提条件!$H$13,$D10&lt;=前提条件!$I$13),OR($D10&gt;=前提条件!$H$13,$D10&lt;=前提条件!$I$13)),1,0)</f>
        <v>0</v>
      </c>
      <c r="N10" s="14" t="n">
        <f aca="false">IF(IF(前提条件!$H$14&lt;=前提条件!$I$14,AND($D10&gt;=前提条件!$H$14,$D10&lt;=前提条件!$I$14),OR($D10&gt;=前提条件!$H$14,$D10&lt;=前提条件!$I$14)),1,0)</f>
        <v>0</v>
      </c>
      <c r="O10" s="14" t="n">
        <f aca="false">IF(IF(前提条件!$H$15&lt;=前提条件!$I$15,AND($D10&gt;=前提条件!$H$15,$D10&lt;=前提条件!$I$15),OR($D10&gt;=前提条件!$H$15,$D10&lt;=前提条件!$I$15)),1,0)</f>
        <v>1</v>
      </c>
    </row>
    <row r="11" customFormat="false" ht="15" hidden="false" customHeight="false" outlineLevel="0" collapsed="false">
      <c r="A11" s="48" t="n">
        <v>1</v>
      </c>
      <c r="B11" s="48" t="n">
        <v>8</v>
      </c>
      <c r="C11" s="48" t="str">
        <f aca="false">A11&amp;"/"&amp;B11</f>
        <v>1/8</v>
      </c>
      <c r="D11" s="48" t="n">
        <f aca="false">A11*100+B11</f>
        <v>108</v>
      </c>
      <c r="E11" s="45" t="n">
        <f aca="false">IF(SUM(J11:K11)&gt;0,前提条件!$B$6,前提条件!$B$8)</f>
        <v>6</v>
      </c>
      <c r="F11" s="48" t="str">
        <f aca="false">IFERROR(INDEX(前提条件!$B$12:$B$15,MATCH(1,L11:O11,0)),"未設定")</f>
        <v>標準形</v>
      </c>
      <c r="G11" s="48" t="str">
        <f aca="false">IFERROR(INDEX(前提条件!$C$12:$C$15,MATCH(1,L11:O11,0)),"未設定")</f>
        <v>冬期</v>
      </c>
      <c r="H11" s="44" t="str">
        <f aca="false">"S値+"&amp;E11&amp;"／"&amp;F11&amp;"（"&amp;G11&amp;"）"</f>
        <v>S値+6／標準形（冬期）</v>
      </c>
      <c r="J11" s="14" t="n">
        <f aca="false">IF(IF(前提条件!$G$6&lt;=前提条件!$H$6,AND($D11&gt;=前提条件!$G$6,$D11&lt;=前提条件!$H$6),OR($D11&gt;=前提条件!$G$6,$D11&lt;=前提条件!$H$6)),1,0)</f>
        <v>0</v>
      </c>
      <c r="K11" s="14" t="n">
        <f aca="false">IF(IF(前提条件!$G$7&lt;=前提条件!$H$7,AND($D11&gt;=前提条件!$G$7,$D11&lt;=前提条件!$H$7),OR($D11&gt;=前提条件!$G$7,$D11&lt;=前提条件!$H$7)),1,0)</f>
        <v>1</v>
      </c>
      <c r="L11" s="14" t="n">
        <f aca="false">IF(IF(前提条件!$H$12&lt;=前提条件!$I$12,AND($D11&gt;=前提条件!$H$12,$D11&lt;=前提条件!$I$12),OR($D11&gt;=前提条件!$H$12,$D11&lt;=前提条件!$I$12)),1,0)</f>
        <v>0</v>
      </c>
      <c r="M11" s="14" t="n">
        <f aca="false">IF(IF(前提条件!$H$13&lt;=前提条件!$I$13,AND($D11&gt;=前提条件!$H$13,$D11&lt;=前提条件!$I$13),OR($D11&gt;=前提条件!$H$13,$D11&lt;=前提条件!$I$13)),1,0)</f>
        <v>0</v>
      </c>
      <c r="N11" s="14" t="n">
        <f aca="false">IF(IF(前提条件!$H$14&lt;=前提条件!$I$14,AND($D11&gt;=前提条件!$H$14,$D11&lt;=前提条件!$I$14),OR($D11&gt;=前提条件!$H$14,$D11&lt;=前提条件!$I$14)),1,0)</f>
        <v>0</v>
      </c>
      <c r="O11" s="14" t="n">
        <f aca="false">IF(IF(前提条件!$H$15&lt;=前提条件!$I$15,AND($D11&gt;=前提条件!$H$15,$D11&lt;=前提条件!$I$15),OR($D11&gt;=前提条件!$H$15,$D11&lt;=前提条件!$I$15)),1,0)</f>
        <v>1</v>
      </c>
    </row>
    <row r="12" customFormat="false" ht="15" hidden="false" customHeight="false" outlineLevel="0" collapsed="false">
      <c r="A12" s="48" t="n">
        <v>1</v>
      </c>
      <c r="B12" s="48" t="n">
        <v>9</v>
      </c>
      <c r="C12" s="48" t="str">
        <f aca="false">A12&amp;"/"&amp;B12</f>
        <v>1/9</v>
      </c>
      <c r="D12" s="48" t="n">
        <f aca="false">A12*100+B12</f>
        <v>109</v>
      </c>
      <c r="E12" s="45" t="n">
        <f aca="false">IF(SUM(J12:K12)&gt;0,前提条件!$B$6,前提条件!$B$8)</f>
        <v>6</v>
      </c>
      <c r="F12" s="48" t="str">
        <f aca="false">IFERROR(INDEX(前提条件!$B$12:$B$15,MATCH(1,L12:O12,0)),"未設定")</f>
        <v>標準形</v>
      </c>
      <c r="G12" s="48" t="str">
        <f aca="false">IFERROR(INDEX(前提条件!$C$12:$C$15,MATCH(1,L12:O12,0)),"未設定")</f>
        <v>冬期</v>
      </c>
      <c r="H12" s="44" t="str">
        <f aca="false">"S値+"&amp;E12&amp;"／"&amp;F12&amp;"（"&amp;G12&amp;"）"</f>
        <v>S値+6／標準形（冬期）</v>
      </c>
      <c r="J12" s="14" t="n">
        <f aca="false">IF(IF(前提条件!$G$6&lt;=前提条件!$H$6,AND($D12&gt;=前提条件!$G$6,$D12&lt;=前提条件!$H$6),OR($D12&gt;=前提条件!$G$6,$D12&lt;=前提条件!$H$6)),1,0)</f>
        <v>0</v>
      </c>
      <c r="K12" s="14" t="n">
        <f aca="false">IF(IF(前提条件!$G$7&lt;=前提条件!$H$7,AND($D12&gt;=前提条件!$G$7,$D12&lt;=前提条件!$H$7),OR($D12&gt;=前提条件!$G$7,$D12&lt;=前提条件!$H$7)),1,0)</f>
        <v>1</v>
      </c>
      <c r="L12" s="14" t="n">
        <f aca="false">IF(IF(前提条件!$H$12&lt;=前提条件!$I$12,AND($D12&gt;=前提条件!$H$12,$D12&lt;=前提条件!$I$12),OR($D12&gt;=前提条件!$H$12,$D12&lt;=前提条件!$I$12)),1,0)</f>
        <v>0</v>
      </c>
      <c r="M12" s="14" t="n">
        <f aca="false">IF(IF(前提条件!$H$13&lt;=前提条件!$I$13,AND($D12&gt;=前提条件!$H$13,$D12&lt;=前提条件!$I$13),OR($D12&gt;=前提条件!$H$13,$D12&lt;=前提条件!$I$13)),1,0)</f>
        <v>0</v>
      </c>
      <c r="N12" s="14" t="n">
        <f aca="false">IF(IF(前提条件!$H$14&lt;=前提条件!$I$14,AND($D12&gt;=前提条件!$H$14,$D12&lt;=前提条件!$I$14),OR($D12&gt;=前提条件!$H$14,$D12&lt;=前提条件!$I$14)),1,0)</f>
        <v>0</v>
      </c>
      <c r="O12" s="14" t="n">
        <f aca="false">IF(IF(前提条件!$H$15&lt;=前提条件!$I$15,AND($D12&gt;=前提条件!$H$15,$D12&lt;=前提条件!$I$15),OR($D12&gt;=前提条件!$H$15,$D12&lt;=前提条件!$I$15)),1,0)</f>
        <v>1</v>
      </c>
    </row>
    <row r="13" customFormat="false" ht="15" hidden="false" customHeight="false" outlineLevel="0" collapsed="false">
      <c r="A13" s="48" t="n">
        <v>1</v>
      </c>
      <c r="B13" s="48" t="n">
        <v>10</v>
      </c>
      <c r="C13" s="48" t="str">
        <f aca="false">A13&amp;"/"&amp;B13</f>
        <v>1/10</v>
      </c>
      <c r="D13" s="48" t="n">
        <f aca="false">A13*100+B13</f>
        <v>110</v>
      </c>
      <c r="E13" s="45" t="n">
        <f aca="false">IF(SUM(J13:K13)&gt;0,前提条件!$B$6,前提条件!$B$8)</f>
        <v>6</v>
      </c>
      <c r="F13" s="48" t="str">
        <f aca="false">IFERROR(INDEX(前提条件!$B$12:$B$15,MATCH(1,L13:O13,0)),"未設定")</f>
        <v>標準形</v>
      </c>
      <c r="G13" s="48" t="str">
        <f aca="false">IFERROR(INDEX(前提条件!$C$12:$C$15,MATCH(1,L13:O13,0)),"未設定")</f>
        <v>冬期</v>
      </c>
      <c r="H13" s="44" t="str">
        <f aca="false">"S値+"&amp;E13&amp;"／"&amp;F13&amp;"（"&amp;G13&amp;"）"</f>
        <v>S値+6／標準形（冬期）</v>
      </c>
      <c r="J13" s="14" t="n">
        <f aca="false">IF(IF(前提条件!$G$6&lt;=前提条件!$H$6,AND($D13&gt;=前提条件!$G$6,$D13&lt;=前提条件!$H$6),OR($D13&gt;=前提条件!$G$6,$D13&lt;=前提条件!$H$6)),1,0)</f>
        <v>0</v>
      </c>
      <c r="K13" s="14" t="n">
        <f aca="false">IF(IF(前提条件!$G$7&lt;=前提条件!$H$7,AND($D13&gt;=前提条件!$G$7,$D13&lt;=前提条件!$H$7),OR($D13&gt;=前提条件!$G$7,$D13&lt;=前提条件!$H$7)),1,0)</f>
        <v>1</v>
      </c>
      <c r="L13" s="14" t="n">
        <f aca="false">IF(IF(前提条件!$H$12&lt;=前提条件!$I$12,AND($D13&gt;=前提条件!$H$12,$D13&lt;=前提条件!$I$12),OR($D13&gt;=前提条件!$H$12,$D13&lt;=前提条件!$I$12)),1,0)</f>
        <v>0</v>
      </c>
      <c r="M13" s="14" t="n">
        <f aca="false">IF(IF(前提条件!$H$13&lt;=前提条件!$I$13,AND($D13&gt;=前提条件!$H$13,$D13&lt;=前提条件!$I$13),OR($D13&gt;=前提条件!$H$13,$D13&lt;=前提条件!$I$13)),1,0)</f>
        <v>0</v>
      </c>
      <c r="N13" s="14" t="n">
        <f aca="false">IF(IF(前提条件!$H$14&lt;=前提条件!$I$14,AND($D13&gt;=前提条件!$H$14,$D13&lt;=前提条件!$I$14),OR($D13&gt;=前提条件!$H$14,$D13&lt;=前提条件!$I$14)),1,0)</f>
        <v>0</v>
      </c>
      <c r="O13" s="14" t="n">
        <f aca="false">IF(IF(前提条件!$H$15&lt;=前提条件!$I$15,AND($D13&gt;=前提条件!$H$15,$D13&lt;=前提条件!$I$15),OR($D13&gt;=前提条件!$H$15,$D13&lt;=前提条件!$I$15)),1,0)</f>
        <v>1</v>
      </c>
    </row>
    <row r="14" customFormat="false" ht="15" hidden="false" customHeight="false" outlineLevel="0" collapsed="false">
      <c r="A14" s="48" t="n">
        <v>1</v>
      </c>
      <c r="B14" s="48" t="n">
        <v>11</v>
      </c>
      <c r="C14" s="48" t="str">
        <f aca="false">A14&amp;"/"&amp;B14</f>
        <v>1/11</v>
      </c>
      <c r="D14" s="48" t="n">
        <f aca="false">A14*100+B14</f>
        <v>111</v>
      </c>
      <c r="E14" s="45" t="n">
        <f aca="false">IF(SUM(J14:K14)&gt;0,前提条件!$B$6,前提条件!$B$8)</f>
        <v>6</v>
      </c>
      <c r="F14" s="48" t="str">
        <f aca="false">IFERROR(INDEX(前提条件!$B$12:$B$15,MATCH(1,L14:O14,0)),"未設定")</f>
        <v>標準形</v>
      </c>
      <c r="G14" s="48" t="str">
        <f aca="false">IFERROR(INDEX(前提条件!$C$12:$C$15,MATCH(1,L14:O14,0)),"未設定")</f>
        <v>冬期</v>
      </c>
      <c r="H14" s="44" t="str">
        <f aca="false">"S値+"&amp;E14&amp;"／"&amp;F14&amp;"（"&amp;G14&amp;"）"</f>
        <v>S値+6／標準形（冬期）</v>
      </c>
      <c r="J14" s="14" t="n">
        <f aca="false">IF(IF(前提条件!$G$6&lt;=前提条件!$H$6,AND($D14&gt;=前提条件!$G$6,$D14&lt;=前提条件!$H$6),OR($D14&gt;=前提条件!$G$6,$D14&lt;=前提条件!$H$6)),1,0)</f>
        <v>0</v>
      </c>
      <c r="K14" s="14" t="n">
        <f aca="false">IF(IF(前提条件!$G$7&lt;=前提条件!$H$7,AND($D14&gt;=前提条件!$G$7,$D14&lt;=前提条件!$H$7),OR($D14&gt;=前提条件!$G$7,$D14&lt;=前提条件!$H$7)),1,0)</f>
        <v>1</v>
      </c>
      <c r="L14" s="14" t="n">
        <f aca="false">IF(IF(前提条件!$H$12&lt;=前提条件!$I$12,AND($D14&gt;=前提条件!$H$12,$D14&lt;=前提条件!$I$12),OR($D14&gt;=前提条件!$H$12,$D14&lt;=前提条件!$I$12)),1,0)</f>
        <v>0</v>
      </c>
      <c r="M14" s="14" t="n">
        <f aca="false">IF(IF(前提条件!$H$13&lt;=前提条件!$I$13,AND($D14&gt;=前提条件!$H$13,$D14&lt;=前提条件!$I$13),OR($D14&gt;=前提条件!$H$13,$D14&lt;=前提条件!$I$13)),1,0)</f>
        <v>0</v>
      </c>
      <c r="N14" s="14" t="n">
        <f aca="false">IF(IF(前提条件!$H$14&lt;=前提条件!$I$14,AND($D14&gt;=前提条件!$H$14,$D14&lt;=前提条件!$I$14),OR($D14&gt;=前提条件!$H$14,$D14&lt;=前提条件!$I$14)),1,0)</f>
        <v>0</v>
      </c>
      <c r="O14" s="14" t="n">
        <f aca="false">IF(IF(前提条件!$H$15&lt;=前提条件!$I$15,AND($D14&gt;=前提条件!$H$15,$D14&lt;=前提条件!$I$15),OR($D14&gt;=前提条件!$H$15,$D14&lt;=前提条件!$I$15)),1,0)</f>
        <v>1</v>
      </c>
    </row>
    <row r="15" customFormat="false" ht="15" hidden="false" customHeight="false" outlineLevel="0" collapsed="false">
      <c r="A15" s="48" t="n">
        <v>1</v>
      </c>
      <c r="B15" s="48" t="n">
        <v>12</v>
      </c>
      <c r="C15" s="48" t="str">
        <f aca="false">A15&amp;"/"&amp;B15</f>
        <v>1/12</v>
      </c>
      <c r="D15" s="48" t="n">
        <f aca="false">A15*100+B15</f>
        <v>112</v>
      </c>
      <c r="E15" s="45" t="n">
        <f aca="false">IF(SUM(J15:K15)&gt;0,前提条件!$B$6,前提条件!$B$8)</f>
        <v>6</v>
      </c>
      <c r="F15" s="48" t="str">
        <f aca="false">IFERROR(INDEX(前提条件!$B$12:$B$15,MATCH(1,L15:O15,0)),"未設定")</f>
        <v>標準形</v>
      </c>
      <c r="G15" s="48" t="str">
        <f aca="false">IFERROR(INDEX(前提条件!$C$12:$C$15,MATCH(1,L15:O15,0)),"未設定")</f>
        <v>冬期</v>
      </c>
      <c r="H15" s="44" t="str">
        <f aca="false">"S値+"&amp;E15&amp;"／"&amp;F15&amp;"（"&amp;G15&amp;"）"</f>
        <v>S値+6／標準形（冬期）</v>
      </c>
      <c r="J15" s="14" t="n">
        <f aca="false">IF(IF(前提条件!$G$6&lt;=前提条件!$H$6,AND($D15&gt;=前提条件!$G$6,$D15&lt;=前提条件!$H$6),OR($D15&gt;=前提条件!$G$6,$D15&lt;=前提条件!$H$6)),1,0)</f>
        <v>0</v>
      </c>
      <c r="K15" s="14" t="n">
        <f aca="false">IF(IF(前提条件!$G$7&lt;=前提条件!$H$7,AND($D15&gt;=前提条件!$G$7,$D15&lt;=前提条件!$H$7),OR($D15&gt;=前提条件!$G$7,$D15&lt;=前提条件!$H$7)),1,0)</f>
        <v>1</v>
      </c>
      <c r="L15" s="14" t="n">
        <f aca="false">IF(IF(前提条件!$H$12&lt;=前提条件!$I$12,AND($D15&gt;=前提条件!$H$12,$D15&lt;=前提条件!$I$12),OR($D15&gt;=前提条件!$H$12,$D15&lt;=前提条件!$I$12)),1,0)</f>
        <v>0</v>
      </c>
      <c r="M15" s="14" t="n">
        <f aca="false">IF(IF(前提条件!$H$13&lt;=前提条件!$I$13,AND($D15&gt;=前提条件!$H$13,$D15&lt;=前提条件!$I$13),OR($D15&gt;=前提条件!$H$13,$D15&lt;=前提条件!$I$13)),1,0)</f>
        <v>0</v>
      </c>
      <c r="N15" s="14" t="n">
        <f aca="false">IF(IF(前提条件!$H$14&lt;=前提条件!$I$14,AND($D15&gt;=前提条件!$H$14,$D15&lt;=前提条件!$I$14),OR($D15&gt;=前提条件!$H$14,$D15&lt;=前提条件!$I$14)),1,0)</f>
        <v>0</v>
      </c>
      <c r="O15" s="14" t="n">
        <f aca="false">IF(IF(前提条件!$H$15&lt;=前提条件!$I$15,AND($D15&gt;=前提条件!$H$15,$D15&lt;=前提条件!$I$15),OR($D15&gt;=前提条件!$H$15,$D15&lt;=前提条件!$I$15)),1,0)</f>
        <v>1</v>
      </c>
    </row>
    <row r="16" customFormat="false" ht="15" hidden="false" customHeight="false" outlineLevel="0" collapsed="false">
      <c r="A16" s="48" t="n">
        <v>1</v>
      </c>
      <c r="B16" s="48" t="n">
        <v>13</v>
      </c>
      <c r="C16" s="48" t="str">
        <f aca="false">A16&amp;"/"&amp;B16</f>
        <v>1/13</v>
      </c>
      <c r="D16" s="48" t="n">
        <f aca="false">A16*100+B16</f>
        <v>113</v>
      </c>
      <c r="E16" s="45" t="n">
        <f aca="false">IF(SUM(J16:K16)&gt;0,前提条件!$B$6,前提条件!$B$8)</f>
        <v>6</v>
      </c>
      <c r="F16" s="48" t="str">
        <f aca="false">IFERROR(INDEX(前提条件!$B$12:$B$15,MATCH(1,L16:O16,0)),"未設定")</f>
        <v>標準形</v>
      </c>
      <c r="G16" s="48" t="str">
        <f aca="false">IFERROR(INDEX(前提条件!$C$12:$C$15,MATCH(1,L16:O16,0)),"未設定")</f>
        <v>冬期</v>
      </c>
      <c r="H16" s="44" t="str">
        <f aca="false">"S値+"&amp;E16&amp;"／"&amp;F16&amp;"（"&amp;G16&amp;"）"</f>
        <v>S値+6／標準形（冬期）</v>
      </c>
      <c r="J16" s="14" t="n">
        <f aca="false">IF(IF(前提条件!$G$6&lt;=前提条件!$H$6,AND($D16&gt;=前提条件!$G$6,$D16&lt;=前提条件!$H$6),OR($D16&gt;=前提条件!$G$6,$D16&lt;=前提条件!$H$6)),1,0)</f>
        <v>0</v>
      </c>
      <c r="K16" s="14" t="n">
        <f aca="false">IF(IF(前提条件!$G$7&lt;=前提条件!$H$7,AND($D16&gt;=前提条件!$G$7,$D16&lt;=前提条件!$H$7),OR($D16&gt;=前提条件!$G$7,$D16&lt;=前提条件!$H$7)),1,0)</f>
        <v>1</v>
      </c>
      <c r="L16" s="14" t="n">
        <f aca="false">IF(IF(前提条件!$H$12&lt;=前提条件!$I$12,AND($D16&gt;=前提条件!$H$12,$D16&lt;=前提条件!$I$12),OR($D16&gt;=前提条件!$H$12,$D16&lt;=前提条件!$I$12)),1,0)</f>
        <v>0</v>
      </c>
      <c r="M16" s="14" t="n">
        <f aca="false">IF(IF(前提条件!$H$13&lt;=前提条件!$I$13,AND($D16&gt;=前提条件!$H$13,$D16&lt;=前提条件!$I$13),OR($D16&gt;=前提条件!$H$13,$D16&lt;=前提条件!$I$13)),1,0)</f>
        <v>0</v>
      </c>
      <c r="N16" s="14" t="n">
        <f aca="false">IF(IF(前提条件!$H$14&lt;=前提条件!$I$14,AND($D16&gt;=前提条件!$H$14,$D16&lt;=前提条件!$I$14),OR($D16&gt;=前提条件!$H$14,$D16&lt;=前提条件!$I$14)),1,0)</f>
        <v>0</v>
      </c>
      <c r="O16" s="14" t="n">
        <f aca="false">IF(IF(前提条件!$H$15&lt;=前提条件!$I$15,AND($D16&gt;=前提条件!$H$15,$D16&lt;=前提条件!$I$15),OR($D16&gt;=前提条件!$H$15,$D16&lt;=前提条件!$I$15)),1,0)</f>
        <v>1</v>
      </c>
    </row>
    <row r="17" customFormat="false" ht="15" hidden="false" customHeight="false" outlineLevel="0" collapsed="false">
      <c r="A17" s="48" t="n">
        <v>1</v>
      </c>
      <c r="B17" s="48" t="n">
        <v>14</v>
      </c>
      <c r="C17" s="48" t="str">
        <f aca="false">A17&amp;"/"&amp;B17</f>
        <v>1/14</v>
      </c>
      <c r="D17" s="48" t="n">
        <f aca="false">A17*100+B17</f>
        <v>114</v>
      </c>
      <c r="E17" s="45" t="n">
        <f aca="false">IF(SUM(J17:K17)&gt;0,前提条件!$B$6,前提条件!$B$8)</f>
        <v>6</v>
      </c>
      <c r="F17" s="48" t="str">
        <f aca="false">IFERROR(INDEX(前提条件!$B$12:$B$15,MATCH(1,L17:O17,0)),"未設定")</f>
        <v>標準形</v>
      </c>
      <c r="G17" s="48" t="str">
        <f aca="false">IFERROR(INDEX(前提条件!$C$12:$C$15,MATCH(1,L17:O17,0)),"未設定")</f>
        <v>冬期</v>
      </c>
      <c r="H17" s="44" t="str">
        <f aca="false">"S値+"&amp;E17&amp;"／"&amp;F17&amp;"（"&amp;G17&amp;"）"</f>
        <v>S値+6／標準形（冬期）</v>
      </c>
      <c r="J17" s="14" t="n">
        <f aca="false">IF(IF(前提条件!$G$6&lt;=前提条件!$H$6,AND($D17&gt;=前提条件!$G$6,$D17&lt;=前提条件!$H$6),OR($D17&gt;=前提条件!$G$6,$D17&lt;=前提条件!$H$6)),1,0)</f>
        <v>0</v>
      </c>
      <c r="K17" s="14" t="n">
        <f aca="false">IF(IF(前提条件!$G$7&lt;=前提条件!$H$7,AND($D17&gt;=前提条件!$G$7,$D17&lt;=前提条件!$H$7),OR($D17&gt;=前提条件!$G$7,$D17&lt;=前提条件!$H$7)),1,0)</f>
        <v>1</v>
      </c>
      <c r="L17" s="14" t="n">
        <f aca="false">IF(IF(前提条件!$H$12&lt;=前提条件!$I$12,AND($D17&gt;=前提条件!$H$12,$D17&lt;=前提条件!$I$12),OR($D17&gt;=前提条件!$H$12,$D17&lt;=前提条件!$I$12)),1,0)</f>
        <v>0</v>
      </c>
      <c r="M17" s="14" t="n">
        <f aca="false">IF(IF(前提条件!$H$13&lt;=前提条件!$I$13,AND($D17&gt;=前提条件!$H$13,$D17&lt;=前提条件!$I$13),OR($D17&gt;=前提条件!$H$13,$D17&lt;=前提条件!$I$13)),1,0)</f>
        <v>0</v>
      </c>
      <c r="N17" s="14" t="n">
        <f aca="false">IF(IF(前提条件!$H$14&lt;=前提条件!$I$14,AND($D17&gt;=前提条件!$H$14,$D17&lt;=前提条件!$I$14),OR($D17&gt;=前提条件!$H$14,$D17&lt;=前提条件!$I$14)),1,0)</f>
        <v>0</v>
      </c>
      <c r="O17" s="14" t="n">
        <f aca="false">IF(IF(前提条件!$H$15&lt;=前提条件!$I$15,AND($D17&gt;=前提条件!$H$15,$D17&lt;=前提条件!$I$15),OR($D17&gt;=前提条件!$H$15,$D17&lt;=前提条件!$I$15)),1,0)</f>
        <v>1</v>
      </c>
    </row>
    <row r="18" customFormat="false" ht="15" hidden="false" customHeight="false" outlineLevel="0" collapsed="false">
      <c r="A18" s="48" t="n">
        <v>1</v>
      </c>
      <c r="B18" s="48" t="n">
        <v>15</v>
      </c>
      <c r="C18" s="48" t="str">
        <f aca="false">A18&amp;"/"&amp;B18</f>
        <v>1/15</v>
      </c>
      <c r="D18" s="48" t="n">
        <f aca="false">A18*100+B18</f>
        <v>115</v>
      </c>
      <c r="E18" s="45" t="n">
        <f aca="false">IF(SUM(J18:K18)&gt;0,前提条件!$B$6,前提条件!$B$8)</f>
        <v>6</v>
      </c>
      <c r="F18" s="48" t="str">
        <f aca="false">IFERROR(INDEX(前提条件!$B$12:$B$15,MATCH(1,L18:O18,0)),"未設定")</f>
        <v>標準形</v>
      </c>
      <c r="G18" s="48" t="str">
        <f aca="false">IFERROR(INDEX(前提条件!$C$12:$C$15,MATCH(1,L18:O18,0)),"未設定")</f>
        <v>冬期</v>
      </c>
      <c r="H18" s="44" t="str">
        <f aca="false">"S値+"&amp;E18&amp;"／"&amp;F18&amp;"（"&amp;G18&amp;"）"</f>
        <v>S値+6／標準形（冬期）</v>
      </c>
      <c r="J18" s="14" t="n">
        <f aca="false">IF(IF(前提条件!$G$6&lt;=前提条件!$H$6,AND($D18&gt;=前提条件!$G$6,$D18&lt;=前提条件!$H$6),OR($D18&gt;=前提条件!$G$6,$D18&lt;=前提条件!$H$6)),1,0)</f>
        <v>0</v>
      </c>
      <c r="K18" s="14" t="n">
        <f aca="false">IF(IF(前提条件!$G$7&lt;=前提条件!$H$7,AND($D18&gt;=前提条件!$G$7,$D18&lt;=前提条件!$H$7),OR($D18&gt;=前提条件!$G$7,$D18&lt;=前提条件!$H$7)),1,0)</f>
        <v>1</v>
      </c>
      <c r="L18" s="14" t="n">
        <f aca="false">IF(IF(前提条件!$H$12&lt;=前提条件!$I$12,AND($D18&gt;=前提条件!$H$12,$D18&lt;=前提条件!$I$12),OR($D18&gt;=前提条件!$H$12,$D18&lt;=前提条件!$I$12)),1,0)</f>
        <v>0</v>
      </c>
      <c r="M18" s="14" t="n">
        <f aca="false">IF(IF(前提条件!$H$13&lt;=前提条件!$I$13,AND($D18&gt;=前提条件!$H$13,$D18&lt;=前提条件!$I$13),OR($D18&gt;=前提条件!$H$13,$D18&lt;=前提条件!$I$13)),1,0)</f>
        <v>0</v>
      </c>
      <c r="N18" s="14" t="n">
        <f aca="false">IF(IF(前提条件!$H$14&lt;=前提条件!$I$14,AND($D18&gt;=前提条件!$H$14,$D18&lt;=前提条件!$I$14),OR($D18&gt;=前提条件!$H$14,$D18&lt;=前提条件!$I$14)),1,0)</f>
        <v>0</v>
      </c>
      <c r="O18" s="14" t="n">
        <f aca="false">IF(IF(前提条件!$H$15&lt;=前提条件!$I$15,AND($D18&gt;=前提条件!$H$15,$D18&lt;=前提条件!$I$15),OR($D18&gt;=前提条件!$H$15,$D18&lt;=前提条件!$I$15)),1,0)</f>
        <v>1</v>
      </c>
    </row>
    <row r="19" customFormat="false" ht="15" hidden="false" customHeight="false" outlineLevel="0" collapsed="false">
      <c r="A19" s="48" t="n">
        <v>1</v>
      </c>
      <c r="B19" s="48" t="n">
        <v>16</v>
      </c>
      <c r="C19" s="48" t="str">
        <f aca="false">A19&amp;"/"&amp;B19</f>
        <v>1/16</v>
      </c>
      <c r="D19" s="48" t="n">
        <f aca="false">A19*100+B19</f>
        <v>116</v>
      </c>
      <c r="E19" s="45" t="n">
        <f aca="false">IF(SUM(J19:K19)&gt;0,前提条件!$B$6,前提条件!$B$8)</f>
        <v>6</v>
      </c>
      <c r="F19" s="48" t="str">
        <f aca="false">IFERROR(INDEX(前提条件!$B$12:$B$15,MATCH(1,L19:O19,0)),"未設定")</f>
        <v>標準形</v>
      </c>
      <c r="G19" s="48" t="str">
        <f aca="false">IFERROR(INDEX(前提条件!$C$12:$C$15,MATCH(1,L19:O19,0)),"未設定")</f>
        <v>冬期</v>
      </c>
      <c r="H19" s="44" t="str">
        <f aca="false">"S値+"&amp;E19&amp;"／"&amp;F19&amp;"（"&amp;G19&amp;"）"</f>
        <v>S値+6／標準形（冬期）</v>
      </c>
      <c r="J19" s="14" t="n">
        <f aca="false">IF(IF(前提条件!$G$6&lt;=前提条件!$H$6,AND($D19&gt;=前提条件!$G$6,$D19&lt;=前提条件!$H$6),OR($D19&gt;=前提条件!$G$6,$D19&lt;=前提条件!$H$6)),1,0)</f>
        <v>0</v>
      </c>
      <c r="K19" s="14" t="n">
        <f aca="false">IF(IF(前提条件!$G$7&lt;=前提条件!$H$7,AND($D19&gt;=前提条件!$G$7,$D19&lt;=前提条件!$H$7),OR($D19&gt;=前提条件!$G$7,$D19&lt;=前提条件!$H$7)),1,0)</f>
        <v>1</v>
      </c>
      <c r="L19" s="14" t="n">
        <f aca="false">IF(IF(前提条件!$H$12&lt;=前提条件!$I$12,AND($D19&gt;=前提条件!$H$12,$D19&lt;=前提条件!$I$12),OR($D19&gt;=前提条件!$H$12,$D19&lt;=前提条件!$I$12)),1,0)</f>
        <v>0</v>
      </c>
      <c r="M19" s="14" t="n">
        <f aca="false">IF(IF(前提条件!$H$13&lt;=前提条件!$I$13,AND($D19&gt;=前提条件!$H$13,$D19&lt;=前提条件!$I$13),OR($D19&gt;=前提条件!$H$13,$D19&lt;=前提条件!$I$13)),1,0)</f>
        <v>0</v>
      </c>
      <c r="N19" s="14" t="n">
        <f aca="false">IF(IF(前提条件!$H$14&lt;=前提条件!$I$14,AND($D19&gt;=前提条件!$H$14,$D19&lt;=前提条件!$I$14),OR($D19&gt;=前提条件!$H$14,$D19&lt;=前提条件!$I$14)),1,0)</f>
        <v>0</v>
      </c>
      <c r="O19" s="14" t="n">
        <f aca="false">IF(IF(前提条件!$H$15&lt;=前提条件!$I$15,AND($D19&gt;=前提条件!$H$15,$D19&lt;=前提条件!$I$15),OR($D19&gt;=前提条件!$H$15,$D19&lt;=前提条件!$I$15)),1,0)</f>
        <v>1</v>
      </c>
    </row>
    <row r="20" customFormat="false" ht="15" hidden="false" customHeight="false" outlineLevel="0" collapsed="false">
      <c r="A20" s="48" t="n">
        <v>1</v>
      </c>
      <c r="B20" s="48" t="n">
        <v>17</v>
      </c>
      <c r="C20" s="48" t="str">
        <f aca="false">A20&amp;"/"&amp;B20</f>
        <v>1/17</v>
      </c>
      <c r="D20" s="48" t="n">
        <f aca="false">A20*100+B20</f>
        <v>117</v>
      </c>
      <c r="E20" s="45" t="n">
        <f aca="false">IF(SUM(J20:K20)&gt;0,前提条件!$B$6,前提条件!$B$8)</f>
        <v>6</v>
      </c>
      <c r="F20" s="48" t="str">
        <f aca="false">IFERROR(INDEX(前提条件!$B$12:$B$15,MATCH(1,L20:O20,0)),"未設定")</f>
        <v>標準形</v>
      </c>
      <c r="G20" s="48" t="str">
        <f aca="false">IFERROR(INDEX(前提条件!$C$12:$C$15,MATCH(1,L20:O20,0)),"未設定")</f>
        <v>冬期</v>
      </c>
      <c r="H20" s="44" t="str">
        <f aca="false">"S値+"&amp;E20&amp;"／"&amp;F20&amp;"（"&amp;G20&amp;"）"</f>
        <v>S値+6／標準形（冬期）</v>
      </c>
      <c r="J20" s="14" t="n">
        <f aca="false">IF(IF(前提条件!$G$6&lt;=前提条件!$H$6,AND($D20&gt;=前提条件!$G$6,$D20&lt;=前提条件!$H$6),OR($D20&gt;=前提条件!$G$6,$D20&lt;=前提条件!$H$6)),1,0)</f>
        <v>0</v>
      </c>
      <c r="K20" s="14" t="n">
        <f aca="false">IF(IF(前提条件!$G$7&lt;=前提条件!$H$7,AND($D20&gt;=前提条件!$G$7,$D20&lt;=前提条件!$H$7),OR($D20&gt;=前提条件!$G$7,$D20&lt;=前提条件!$H$7)),1,0)</f>
        <v>1</v>
      </c>
      <c r="L20" s="14" t="n">
        <f aca="false">IF(IF(前提条件!$H$12&lt;=前提条件!$I$12,AND($D20&gt;=前提条件!$H$12,$D20&lt;=前提条件!$I$12),OR($D20&gt;=前提条件!$H$12,$D20&lt;=前提条件!$I$12)),1,0)</f>
        <v>0</v>
      </c>
      <c r="M20" s="14" t="n">
        <f aca="false">IF(IF(前提条件!$H$13&lt;=前提条件!$I$13,AND($D20&gt;=前提条件!$H$13,$D20&lt;=前提条件!$I$13),OR($D20&gt;=前提条件!$H$13,$D20&lt;=前提条件!$I$13)),1,0)</f>
        <v>0</v>
      </c>
      <c r="N20" s="14" t="n">
        <f aca="false">IF(IF(前提条件!$H$14&lt;=前提条件!$I$14,AND($D20&gt;=前提条件!$H$14,$D20&lt;=前提条件!$I$14),OR($D20&gt;=前提条件!$H$14,$D20&lt;=前提条件!$I$14)),1,0)</f>
        <v>0</v>
      </c>
      <c r="O20" s="14" t="n">
        <f aca="false">IF(IF(前提条件!$H$15&lt;=前提条件!$I$15,AND($D20&gt;=前提条件!$H$15,$D20&lt;=前提条件!$I$15),OR($D20&gt;=前提条件!$H$15,$D20&lt;=前提条件!$I$15)),1,0)</f>
        <v>1</v>
      </c>
    </row>
    <row r="21" customFormat="false" ht="15" hidden="false" customHeight="false" outlineLevel="0" collapsed="false">
      <c r="A21" s="48" t="n">
        <v>1</v>
      </c>
      <c r="B21" s="48" t="n">
        <v>18</v>
      </c>
      <c r="C21" s="48" t="str">
        <f aca="false">A21&amp;"/"&amp;B21</f>
        <v>1/18</v>
      </c>
      <c r="D21" s="48" t="n">
        <f aca="false">A21*100+B21</f>
        <v>118</v>
      </c>
      <c r="E21" s="45" t="n">
        <f aca="false">IF(SUM(J21:K21)&gt;0,前提条件!$B$6,前提条件!$B$8)</f>
        <v>6</v>
      </c>
      <c r="F21" s="48" t="str">
        <f aca="false">IFERROR(INDEX(前提条件!$B$12:$B$15,MATCH(1,L21:O21,0)),"未設定")</f>
        <v>標準形</v>
      </c>
      <c r="G21" s="48" t="str">
        <f aca="false">IFERROR(INDEX(前提条件!$C$12:$C$15,MATCH(1,L21:O21,0)),"未設定")</f>
        <v>冬期</v>
      </c>
      <c r="H21" s="44" t="str">
        <f aca="false">"S値+"&amp;E21&amp;"／"&amp;F21&amp;"（"&amp;G21&amp;"）"</f>
        <v>S値+6／標準形（冬期）</v>
      </c>
      <c r="J21" s="14" t="n">
        <f aca="false">IF(IF(前提条件!$G$6&lt;=前提条件!$H$6,AND($D21&gt;=前提条件!$G$6,$D21&lt;=前提条件!$H$6),OR($D21&gt;=前提条件!$G$6,$D21&lt;=前提条件!$H$6)),1,0)</f>
        <v>0</v>
      </c>
      <c r="K21" s="14" t="n">
        <f aca="false">IF(IF(前提条件!$G$7&lt;=前提条件!$H$7,AND($D21&gt;=前提条件!$G$7,$D21&lt;=前提条件!$H$7),OR($D21&gt;=前提条件!$G$7,$D21&lt;=前提条件!$H$7)),1,0)</f>
        <v>1</v>
      </c>
      <c r="L21" s="14" t="n">
        <f aca="false">IF(IF(前提条件!$H$12&lt;=前提条件!$I$12,AND($D21&gt;=前提条件!$H$12,$D21&lt;=前提条件!$I$12),OR($D21&gt;=前提条件!$H$12,$D21&lt;=前提条件!$I$12)),1,0)</f>
        <v>0</v>
      </c>
      <c r="M21" s="14" t="n">
        <f aca="false">IF(IF(前提条件!$H$13&lt;=前提条件!$I$13,AND($D21&gt;=前提条件!$H$13,$D21&lt;=前提条件!$I$13),OR($D21&gt;=前提条件!$H$13,$D21&lt;=前提条件!$I$13)),1,0)</f>
        <v>0</v>
      </c>
      <c r="N21" s="14" t="n">
        <f aca="false">IF(IF(前提条件!$H$14&lt;=前提条件!$I$14,AND($D21&gt;=前提条件!$H$14,$D21&lt;=前提条件!$I$14),OR($D21&gt;=前提条件!$H$14,$D21&lt;=前提条件!$I$14)),1,0)</f>
        <v>0</v>
      </c>
      <c r="O21" s="14" t="n">
        <f aca="false">IF(IF(前提条件!$H$15&lt;=前提条件!$I$15,AND($D21&gt;=前提条件!$H$15,$D21&lt;=前提条件!$I$15),OR($D21&gt;=前提条件!$H$15,$D21&lt;=前提条件!$I$15)),1,0)</f>
        <v>1</v>
      </c>
    </row>
    <row r="22" customFormat="false" ht="15" hidden="false" customHeight="false" outlineLevel="0" collapsed="false">
      <c r="A22" s="48" t="n">
        <v>1</v>
      </c>
      <c r="B22" s="48" t="n">
        <v>19</v>
      </c>
      <c r="C22" s="48" t="str">
        <f aca="false">A22&amp;"/"&amp;B22</f>
        <v>1/19</v>
      </c>
      <c r="D22" s="48" t="n">
        <f aca="false">A22*100+B22</f>
        <v>119</v>
      </c>
      <c r="E22" s="45" t="n">
        <f aca="false">IF(SUM(J22:K22)&gt;0,前提条件!$B$6,前提条件!$B$8)</f>
        <v>6</v>
      </c>
      <c r="F22" s="48" t="str">
        <f aca="false">IFERROR(INDEX(前提条件!$B$12:$B$15,MATCH(1,L22:O22,0)),"未設定")</f>
        <v>標準形</v>
      </c>
      <c r="G22" s="48" t="str">
        <f aca="false">IFERROR(INDEX(前提条件!$C$12:$C$15,MATCH(1,L22:O22,0)),"未設定")</f>
        <v>冬期</v>
      </c>
      <c r="H22" s="44" t="str">
        <f aca="false">"S値+"&amp;E22&amp;"／"&amp;F22&amp;"（"&amp;G22&amp;"）"</f>
        <v>S値+6／標準形（冬期）</v>
      </c>
      <c r="J22" s="14" t="n">
        <f aca="false">IF(IF(前提条件!$G$6&lt;=前提条件!$H$6,AND($D22&gt;=前提条件!$G$6,$D22&lt;=前提条件!$H$6),OR($D22&gt;=前提条件!$G$6,$D22&lt;=前提条件!$H$6)),1,0)</f>
        <v>0</v>
      </c>
      <c r="K22" s="14" t="n">
        <f aca="false">IF(IF(前提条件!$G$7&lt;=前提条件!$H$7,AND($D22&gt;=前提条件!$G$7,$D22&lt;=前提条件!$H$7),OR($D22&gt;=前提条件!$G$7,$D22&lt;=前提条件!$H$7)),1,0)</f>
        <v>1</v>
      </c>
      <c r="L22" s="14" t="n">
        <f aca="false">IF(IF(前提条件!$H$12&lt;=前提条件!$I$12,AND($D22&gt;=前提条件!$H$12,$D22&lt;=前提条件!$I$12),OR($D22&gt;=前提条件!$H$12,$D22&lt;=前提条件!$I$12)),1,0)</f>
        <v>0</v>
      </c>
      <c r="M22" s="14" t="n">
        <f aca="false">IF(IF(前提条件!$H$13&lt;=前提条件!$I$13,AND($D22&gt;=前提条件!$H$13,$D22&lt;=前提条件!$I$13),OR($D22&gt;=前提条件!$H$13,$D22&lt;=前提条件!$I$13)),1,0)</f>
        <v>0</v>
      </c>
      <c r="N22" s="14" t="n">
        <f aca="false">IF(IF(前提条件!$H$14&lt;=前提条件!$I$14,AND($D22&gt;=前提条件!$H$14,$D22&lt;=前提条件!$I$14),OR($D22&gt;=前提条件!$H$14,$D22&lt;=前提条件!$I$14)),1,0)</f>
        <v>0</v>
      </c>
      <c r="O22" s="14" t="n">
        <f aca="false">IF(IF(前提条件!$H$15&lt;=前提条件!$I$15,AND($D22&gt;=前提条件!$H$15,$D22&lt;=前提条件!$I$15),OR($D22&gt;=前提条件!$H$15,$D22&lt;=前提条件!$I$15)),1,0)</f>
        <v>1</v>
      </c>
    </row>
    <row r="23" customFormat="false" ht="15" hidden="false" customHeight="false" outlineLevel="0" collapsed="false">
      <c r="A23" s="48" t="n">
        <v>1</v>
      </c>
      <c r="B23" s="48" t="n">
        <v>20</v>
      </c>
      <c r="C23" s="48" t="str">
        <f aca="false">A23&amp;"/"&amp;B23</f>
        <v>1/20</v>
      </c>
      <c r="D23" s="48" t="n">
        <f aca="false">A23*100+B23</f>
        <v>120</v>
      </c>
      <c r="E23" s="45" t="n">
        <f aca="false">IF(SUM(J23:K23)&gt;0,前提条件!$B$6,前提条件!$B$8)</f>
        <v>6</v>
      </c>
      <c r="F23" s="48" t="str">
        <f aca="false">IFERROR(INDEX(前提条件!$B$12:$B$15,MATCH(1,L23:O23,0)),"未設定")</f>
        <v>標準形</v>
      </c>
      <c r="G23" s="48" t="str">
        <f aca="false">IFERROR(INDEX(前提条件!$C$12:$C$15,MATCH(1,L23:O23,0)),"未設定")</f>
        <v>冬期</v>
      </c>
      <c r="H23" s="44" t="str">
        <f aca="false">"S値+"&amp;E23&amp;"／"&amp;F23&amp;"（"&amp;G23&amp;"）"</f>
        <v>S値+6／標準形（冬期）</v>
      </c>
      <c r="J23" s="14" t="n">
        <f aca="false">IF(IF(前提条件!$G$6&lt;=前提条件!$H$6,AND($D23&gt;=前提条件!$G$6,$D23&lt;=前提条件!$H$6),OR($D23&gt;=前提条件!$G$6,$D23&lt;=前提条件!$H$6)),1,0)</f>
        <v>0</v>
      </c>
      <c r="K23" s="14" t="n">
        <f aca="false">IF(IF(前提条件!$G$7&lt;=前提条件!$H$7,AND($D23&gt;=前提条件!$G$7,$D23&lt;=前提条件!$H$7),OR($D23&gt;=前提条件!$G$7,$D23&lt;=前提条件!$H$7)),1,0)</f>
        <v>1</v>
      </c>
      <c r="L23" s="14" t="n">
        <f aca="false">IF(IF(前提条件!$H$12&lt;=前提条件!$I$12,AND($D23&gt;=前提条件!$H$12,$D23&lt;=前提条件!$I$12),OR($D23&gt;=前提条件!$H$12,$D23&lt;=前提条件!$I$12)),1,0)</f>
        <v>0</v>
      </c>
      <c r="M23" s="14" t="n">
        <f aca="false">IF(IF(前提条件!$H$13&lt;=前提条件!$I$13,AND($D23&gt;=前提条件!$H$13,$D23&lt;=前提条件!$I$13),OR($D23&gt;=前提条件!$H$13,$D23&lt;=前提条件!$I$13)),1,0)</f>
        <v>0</v>
      </c>
      <c r="N23" s="14" t="n">
        <f aca="false">IF(IF(前提条件!$H$14&lt;=前提条件!$I$14,AND($D23&gt;=前提条件!$H$14,$D23&lt;=前提条件!$I$14),OR($D23&gt;=前提条件!$H$14,$D23&lt;=前提条件!$I$14)),1,0)</f>
        <v>0</v>
      </c>
      <c r="O23" s="14" t="n">
        <f aca="false">IF(IF(前提条件!$H$15&lt;=前提条件!$I$15,AND($D23&gt;=前提条件!$H$15,$D23&lt;=前提条件!$I$15),OR($D23&gt;=前提条件!$H$15,$D23&lt;=前提条件!$I$15)),1,0)</f>
        <v>1</v>
      </c>
    </row>
    <row r="24" customFormat="false" ht="15" hidden="false" customHeight="false" outlineLevel="0" collapsed="false">
      <c r="A24" s="48" t="n">
        <v>1</v>
      </c>
      <c r="B24" s="48" t="n">
        <v>21</v>
      </c>
      <c r="C24" s="48" t="str">
        <f aca="false">A24&amp;"/"&amp;B24</f>
        <v>1/21</v>
      </c>
      <c r="D24" s="48" t="n">
        <f aca="false">A24*100+B24</f>
        <v>121</v>
      </c>
      <c r="E24" s="45" t="n">
        <f aca="false">IF(SUM(J24:K24)&gt;0,前提条件!$B$6,前提条件!$B$8)</f>
        <v>6</v>
      </c>
      <c r="F24" s="48" t="str">
        <f aca="false">IFERROR(INDEX(前提条件!$B$12:$B$15,MATCH(1,L24:O24,0)),"未設定")</f>
        <v>標準形</v>
      </c>
      <c r="G24" s="48" t="str">
        <f aca="false">IFERROR(INDEX(前提条件!$C$12:$C$15,MATCH(1,L24:O24,0)),"未設定")</f>
        <v>冬期</v>
      </c>
      <c r="H24" s="44" t="str">
        <f aca="false">"S値+"&amp;E24&amp;"／"&amp;F24&amp;"（"&amp;G24&amp;"）"</f>
        <v>S値+6／標準形（冬期）</v>
      </c>
      <c r="J24" s="14" t="n">
        <f aca="false">IF(IF(前提条件!$G$6&lt;=前提条件!$H$6,AND($D24&gt;=前提条件!$G$6,$D24&lt;=前提条件!$H$6),OR($D24&gt;=前提条件!$G$6,$D24&lt;=前提条件!$H$6)),1,0)</f>
        <v>0</v>
      </c>
      <c r="K24" s="14" t="n">
        <f aca="false">IF(IF(前提条件!$G$7&lt;=前提条件!$H$7,AND($D24&gt;=前提条件!$G$7,$D24&lt;=前提条件!$H$7),OR($D24&gt;=前提条件!$G$7,$D24&lt;=前提条件!$H$7)),1,0)</f>
        <v>1</v>
      </c>
      <c r="L24" s="14" t="n">
        <f aca="false">IF(IF(前提条件!$H$12&lt;=前提条件!$I$12,AND($D24&gt;=前提条件!$H$12,$D24&lt;=前提条件!$I$12),OR($D24&gt;=前提条件!$H$12,$D24&lt;=前提条件!$I$12)),1,0)</f>
        <v>0</v>
      </c>
      <c r="M24" s="14" t="n">
        <f aca="false">IF(IF(前提条件!$H$13&lt;=前提条件!$I$13,AND($D24&gt;=前提条件!$H$13,$D24&lt;=前提条件!$I$13),OR($D24&gt;=前提条件!$H$13,$D24&lt;=前提条件!$I$13)),1,0)</f>
        <v>0</v>
      </c>
      <c r="N24" s="14" t="n">
        <f aca="false">IF(IF(前提条件!$H$14&lt;=前提条件!$I$14,AND($D24&gt;=前提条件!$H$14,$D24&lt;=前提条件!$I$14),OR($D24&gt;=前提条件!$H$14,$D24&lt;=前提条件!$I$14)),1,0)</f>
        <v>0</v>
      </c>
      <c r="O24" s="14" t="n">
        <f aca="false">IF(IF(前提条件!$H$15&lt;=前提条件!$I$15,AND($D24&gt;=前提条件!$H$15,$D24&lt;=前提条件!$I$15),OR($D24&gt;=前提条件!$H$15,$D24&lt;=前提条件!$I$15)),1,0)</f>
        <v>1</v>
      </c>
    </row>
    <row r="25" customFormat="false" ht="15" hidden="false" customHeight="false" outlineLevel="0" collapsed="false">
      <c r="A25" s="48" t="n">
        <v>1</v>
      </c>
      <c r="B25" s="48" t="n">
        <v>22</v>
      </c>
      <c r="C25" s="48" t="str">
        <f aca="false">A25&amp;"/"&amp;B25</f>
        <v>1/22</v>
      </c>
      <c r="D25" s="48" t="n">
        <f aca="false">A25*100+B25</f>
        <v>122</v>
      </c>
      <c r="E25" s="45" t="n">
        <f aca="false">IF(SUM(J25:K25)&gt;0,前提条件!$B$6,前提条件!$B$8)</f>
        <v>6</v>
      </c>
      <c r="F25" s="48" t="str">
        <f aca="false">IFERROR(INDEX(前提条件!$B$12:$B$15,MATCH(1,L25:O25,0)),"未設定")</f>
        <v>標準形</v>
      </c>
      <c r="G25" s="48" t="str">
        <f aca="false">IFERROR(INDEX(前提条件!$C$12:$C$15,MATCH(1,L25:O25,0)),"未設定")</f>
        <v>冬期</v>
      </c>
      <c r="H25" s="44" t="str">
        <f aca="false">"S値+"&amp;E25&amp;"／"&amp;F25&amp;"（"&amp;G25&amp;"）"</f>
        <v>S値+6／標準形（冬期）</v>
      </c>
      <c r="J25" s="14" t="n">
        <f aca="false">IF(IF(前提条件!$G$6&lt;=前提条件!$H$6,AND($D25&gt;=前提条件!$G$6,$D25&lt;=前提条件!$H$6),OR($D25&gt;=前提条件!$G$6,$D25&lt;=前提条件!$H$6)),1,0)</f>
        <v>0</v>
      </c>
      <c r="K25" s="14" t="n">
        <f aca="false">IF(IF(前提条件!$G$7&lt;=前提条件!$H$7,AND($D25&gt;=前提条件!$G$7,$D25&lt;=前提条件!$H$7),OR($D25&gt;=前提条件!$G$7,$D25&lt;=前提条件!$H$7)),1,0)</f>
        <v>1</v>
      </c>
      <c r="L25" s="14" t="n">
        <f aca="false">IF(IF(前提条件!$H$12&lt;=前提条件!$I$12,AND($D25&gt;=前提条件!$H$12,$D25&lt;=前提条件!$I$12),OR($D25&gt;=前提条件!$H$12,$D25&lt;=前提条件!$I$12)),1,0)</f>
        <v>0</v>
      </c>
      <c r="M25" s="14" t="n">
        <f aca="false">IF(IF(前提条件!$H$13&lt;=前提条件!$I$13,AND($D25&gt;=前提条件!$H$13,$D25&lt;=前提条件!$I$13),OR($D25&gt;=前提条件!$H$13,$D25&lt;=前提条件!$I$13)),1,0)</f>
        <v>0</v>
      </c>
      <c r="N25" s="14" t="n">
        <f aca="false">IF(IF(前提条件!$H$14&lt;=前提条件!$I$14,AND($D25&gt;=前提条件!$H$14,$D25&lt;=前提条件!$I$14),OR($D25&gt;=前提条件!$H$14,$D25&lt;=前提条件!$I$14)),1,0)</f>
        <v>0</v>
      </c>
      <c r="O25" s="14" t="n">
        <f aca="false">IF(IF(前提条件!$H$15&lt;=前提条件!$I$15,AND($D25&gt;=前提条件!$H$15,$D25&lt;=前提条件!$I$15),OR($D25&gt;=前提条件!$H$15,$D25&lt;=前提条件!$I$15)),1,0)</f>
        <v>1</v>
      </c>
    </row>
    <row r="26" customFormat="false" ht="15" hidden="false" customHeight="false" outlineLevel="0" collapsed="false">
      <c r="A26" s="48" t="n">
        <v>1</v>
      </c>
      <c r="B26" s="48" t="n">
        <v>23</v>
      </c>
      <c r="C26" s="48" t="str">
        <f aca="false">A26&amp;"/"&amp;B26</f>
        <v>1/23</v>
      </c>
      <c r="D26" s="48" t="n">
        <f aca="false">A26*100+B26</f>
        <v>123</v>
      </c>
      <c r="E26" s="45" t="n">
        <f aca="false">IF(SUM(J26:K26)&gt;0,前提条件!$B$6,前提条件!$B$8)</f>
        <v>6</v>
      </c>
      <c r="F26" s="48" t="str">
        <f aca="false">IFERROR(INDEX(前提条件!$B$12:$B$15,MATCH(1,L26:O26,0)),"未設定")</f>
        <v>標準形</v>
      </c>
      <c r="G26" s="48" t="str">
        <f aca="false">IFERROR(INDEX(前提条件!$C$12:$C$15,MATCH(1,L26:O26,0)),"未設定")</f>
        <v>冬期</v>
      </c>
      <c r="H26" s="44" t="str">
        <f aca="false">"S値+"&amp;E26&amp;"／"&amp;F26&amp;"（"&amp;G26&amp;"）"</f>
        <v>S値+6／標準形（冬期）</v>
      </c>
      <c r="J26" s="14" t="n">
        <f aca="false">IF(IF(前提条件!$G$6&lt;=前提条件!$H$6,AND($D26&gt;=前提条件!$G$6,$D26&lt;=前提条件!$H$6),OR($D26&gt;=前提条件!$G$6,$D26&lt;=前提条件!$H$6)),1,0)</f>
        <v>0</v>
      </c>
      <c r="K26" s="14" t="n">
        <f aca="false">IF(IF(前提条件!$G$7&lt;=前提条件!$H$7,AND($D26&gt;=前提条件!$G$7,$D26&lt;=前提条件!$H$7),OR($D26&gt;=前提条件!$G$7,$D26&lt;=前提条件!$H$7)),1,0)</f>
        <v>1</v>
      </c>
      <c r="L26" s="14" t="n">
        <f aca="false">IF(IF(前提条件!$H$12&lt;=前提条件!$I$12,AND($D26&gt;=前提条件!$H$12,$D26&lt;=前提条件!$I$12),OR($D26&gt;=前提条件!$H$12,$D26&lt;=前提条件!$I$12)),1,0)</f>
        <v>0</v>
      </c>
      <c r="M26" s="14" t="n">
        <f aca="false">IF(IF(前提条件!$H$13&lt;=前提条件!$I$13,AND($D26&gt;=前提条件!$H$13,$D26&lt;=前提条件!$I$13),OR($D26&gt;=前提条件!$H$13,$D26&lt;=前提条件!$I$13)),1,0)</f>
        <v>0</v>
      </c>
      <c r="N26" s="14" t="n">
        <f aca="false">IF(IF(前提条件!$H$14&lt;=前提条件!$I$14,AND($D26&gt;=前提条件!$H$14,$D26&lt;=前提条件!$I$14),OR($D26&gt;=前提条件!$H$14,$D26&lt;=前提条件!$I$14)),1,0)</f>
        <v>0</v>
      </c>
      <c r="O26" s="14" t="n">
        <f aca="false">IF(IF(前提条件!$H$15&lt;=前提条件!$I$15,AND($D26&gt;=前提条件!$H$15,$D26&lt;=前提条件!$I$15),OR($D26&gt;=前提条件!$H$15,$D26&lt;=前提条件!$I$15)),1,0)</f>
        <v>1</v>
      </c>
    </row>
    <row r="27" customFormat="false" ht="15" hidden="false" customHeight="false" outlineLevel="0" collapsed="false">
      <c r="A27" s="48" t="n">
        <v>1</v>
      </c>
      <c r="B27" s="48" t="n">
        <v>24</v>
      </c>
      <c r="C27" s="48" t="str">
        <f aca="false">A27&amp;"/"&amp;B27</f>
        <v>1/24</v>
      </c>
      <c r="D27" s="48" t="n">
        <f aca="false">A27*100+B27</f>
        <v>124</v>
      </c>
      <c r="E27" s="45" t="n">
        <f aca="false">IF(SUM(J27:K27)&gt;0,前提条件!$B$6,前提条件!$B$8)</f>
        <v>6</v>
      </c>
      <c r="F27" s="48" t="str">
        <f aca="false">IFERROR(INDEX(前提条件!$B$12:$B$15,MATCH(1,L27:O27,0)),"未設定")</f>
        <v>標準形</v>
      </c>
      <c r="G27" s="48" t="str">
        <f aca="false">IFERROR(INDEX(前提条件!$C$12:$C$15,MATCH(1,L27:O27,0)),"未設定")</f>
        <v>冬期</v>
      </c>
      <c r="H27" s="44" t="str">
        <f aca="false">"S値+"&amp;E27&amp;"／"&amp;F27&amp;"（"&amp;G27&amp;"）"</f>
        <v>S値+6／標準形（冬期）</v>
      </c>
      <c r="J27" s="14" t="n">
        <f aca="false">IF(IF(前提条件!$G$6&lt;=前提条件!$H$6,AND($D27&gt;=前提条件!$G$6,$D27&lt;=前提条件!$H$6),OR($D27&gt;=前提条件!$G$6,$D27&lt;=前提条件!$H$6)),1,0)</f>
        <v>0</v>
      </c>
      <c r="K27" s="14" t="n">
        <f aca="false">IF(IF(前提条件!$G$7&lt;=前提条件!$H$7,AND($D27&gt;=前提条件!$G$7,$D27&lt;=前提条件!$H$7),OR($D27&gt;=前提条件!$G$7,$D27&lt;=前提条件!$H$7)),1,0)</f>
        <v>1</v>
      </c>
      <c r="L27" s="14" t="n">
        <f aca="false">IF(IF(前提条件!$H$12&lt;=前提条件!$I$12,AND($D27&gt;=前提条件!$H$12,$D27&lt;=前提条件!$I$12),OR($D27&gt;=前提条件!$H$12,$D27&lt;=前提条件!$I$12)),1,0)</f>
        <v>0</v>
      </c>
      <c r="M27" s="14" t="n">
        <f aca="false">IF(IF(前提条件!$H$13&lt;=前提条件!$I$13,AND($D27&gt;=前提条件!$H$13,$D27&lt;=前提条件!$I$13),OR($D27&gt;=前提条件!$H$13,$D27&lt;=前提条件!$I$13)),1,0)</f>
        <v>0</v>
      </c>
      <c r="N27" s="14" t="n">
        <f aca="false">IF(IF(前提条件!$H$14&lt;=前提条件!$I$14,AND($D27&gt;=前提条件!$H$14,$D27&lt;=前提条件!$I$14),OR($D27&gt;=前提条件!$H$14,$D27&lt;=前提条件!$I$14)),1,0)</f>
        <v>0</v>
      </c>
      <c r="O27" s="14" t="n">
        <f aca="false">IF(IF(前提条件!$H$15&lt;=前提条件!$I$15,AND($D27&gt;=前提条件!$H$15,$D27&lt;=前提条件!$I$15),OR($D27&gt;=前提条件!$H$15,$D27&lt;=前提条件!$I$15)),1,0)</f>
        <v>1</v>
      </c>
    </row>
    <row r="28" customFormat="false" ht="15" hidden="false" customHeight="false" outlineLevel="0" collapsed="false">
      <c r="A28" s="48" t="n">
        <v>1</v>
      </c>
      <c r="B28" s="48" t="n">
        <v>25</v>
      </c>
      <c r="C28" s="48" t="str">
        <f aca="false">A28&amp;"/"&amp;B28</f>
        <v>1/25</v>
      </c>
      <c r="D28" s="48" t="n">
        <f aca="false">A28*100+B28</f>
        <v>125</v>
      </c>
      <c r="E28" s="45" t="n">
        <f aca="false">IF(SUM(J28:K28)&gt;0,前提条件!$B$6,前提条件!$B$8)</f>
        <v>6</v>
      </c>
      <c r="F28" s="48" t="str">
        <f aca="false">IFERROR(INDEX(前提条件!$B$12:$B$15,MATCH(1,L28:O28,0)),"未設定")</f>
        <v>標準形</v>
      </c>
      <c r="G28" s="48" t="str">
        <f aca="false">IFERROR(INDEX(前提条件!$C$12:$C$15,MATCH(1,L28:O28,0)),"未設定")</f>
        <v>冬期</v>
      </c>
      <c r="H28" s="44" t="str">
        <f aca="false">"S値+"&amp;E28&amp;"／"&amp;F28&amp;"（"&amp;G28&amp;"）"</f>
        <v>S値+6／標準形（冬期）</v>
      </c>
      <c r="J28" s="14" t="n">
        <f aca="false">IF(IF(前提条件!$G$6&lt;=前提条件!$H$6,AND($D28&gt;=前提条件!$G$6,$D28&lt;=前提条件!$H$6),OR($D28&gt;=前提条件!$G$6,$D28&lt;=前提条件!$H$6)),1,0)</f>
        <v>0</v>
      </c>
      <c r="K28" s="14" t="n">
        <f aca="false">IF(IF(前提条件!$G$7&lt;=前提条件!$H$7,AND($D28&gt;=前提条件!$G$7,$D28&lt;=前提条件!$H$7),OR($D28&gt;=前提条件!$G$7,$D28&lt;=前提条件!$H$7)),1,0)</f>
        <v>1</v>
      </c>
      <c r="L28" s="14" t="n">
        <f aca="false">IF(IF(前提条件!$H$12&lt;=前提条件!$I$12,AND($D28&gt;=前提条件!$H$12,$D28&lt;=前提条件!$I$12),OR($D28&gt;=前提条件!$H$12,$D28&lt;=前提条件!$I$12)),1,0)</f>
        <v>0</v>
      </c>
      <c r="M28" s="14" t="n">
        <f aca="false">IF(IF(前提条件!$H$13&lt;=前提条件!$I$13,AND($D28&gt;=前提条件!$H$13,$D28&lt;=前提条件!$I$13),OR($D28&gt;=前提条件!$H$13,$D28&lt;=前提条件!$I$13)),1,0)</f>
        <v>0</v>
      </c>
      <c r="N28" s="14" t="n">
        <f aca="false">IF(IF(前提条件!$H$14&lt;=前提条件!$I$14,AND($D28&gt;=前提条件!$H$14,$D28&lt;=前提条件!$I$14),OR($D28&gt;=前提条件!$H$14,$D28&lt;=前提条件!$I$14)),1,0)</f>
        <v>0</v>
      </c>
      <c r="O28" s="14" t="n">
        <f aca="false">IF(IF(前提条件!$H$15&lt;=前提条件!$I$15,AND($D28&gt;=前提条件!$H$15,$D28&lt;=前提条件!$I$15),OR($D28&gt;=前提条件!$H$15,$D28&lt;=前提条件!$I$15)),1,0)</f>
        <v>1</v>
      </c>
    </row>
    <row r="29" customFormat="false" ht="15" hidden="false" customHeight="false" outlineLevel="0" collapsed="false">
      <c r="A29" s="48" t="n">
        <v>1</v>
      </c>
      <c r="B29" s="48" t="n">
        <v>26</v>
      </c>
      <c r="C29" s="48" t="str">
        <f aca="false">A29&amp;"/"&amp;B29</f>
        <v>1/26</v>
      </c>
      <c r="D29" s="48" t="n">
        <f aca="false">A29*100+B29</f>
        <v>126</v>
      </c>
      <c r="E29" s="45" t="n">
        <f aca="false">IF(SUM(J29:K29)&gt;0,前提条件!$B$6,前提条件!$B$8)</f>
        <v>6</v>
      </c>
      <c r="F29" s="48" t="str">
        <f aca="false">IFERROR(INDEX(前提条件!$B$12:$B$15,MATCH(1,L29:O29,0)),"未設定")</f>
        <v>標準形</v>
      </c>
      <c r="G29" s="48" t="str">
        <f aca="false">IFERROR(INDEX(前提条件!$C$12:$C$15,MATCH(1,L29:O29,0)),"未設定")</f>
        <v>冬期</v>
      </c>
      <c r="H29" s="44" t="str">
        <f aca="false">"S値+"&amp;E29&amp;"／"&amp;F29&amp;"（"&amp;G29&amp;"）"</f>
        <v>S値+6／標準形（冬期）</v>
      </c>
      <c r="J29" s="14" t="n">
        <f aca="false">IF(IF(前提条件!$G$6&lt;=前提条件!$H$6,AND($D29&gt;=前提条件!$G$6,$D29&lt;=前提条件!$H$6),OR($D29&gt;=前提条件!$G$6,$D29&lt;=前提条件!$H$6)),1,0)</f>
        <v>0</v>
      </c>
      <c r="K29" s="14" t="n">
        <f aca="false">IF(IF(前提条件!$G$7&lt;=前提条件!$H$7,AND($D29&gt;=前提条件!$G$7,$D29&lt;=前提条件!$H$7),OR($D29&gt;=前提条件!$G$7,$D29&lt;=前提条件!$H$7)),1,0)</f>
        <v>1</v>
      </c>
      <c r="L29" s="14" t="n">
        <f aca="false">IF(IF(前提条件!$H$12&lt;=前提条件!$I$12,AND($D29&gt;=前提条件!$H$12,$D29&lt;=前提条件!$I$12),OR($D29&gt;=前提条件!$H$12,$D29&lt;=前提条件!$I$12)),1,0)</f>
        <v>0</v>
      </c>
      <c r="M29" s="14" t="n">
        <f aca="false">IF(IF(前提条件!$H$13&lt;=前提条件!$I$13,AND($D29&gt;=前提条件!$H$13,$D29&lt;=前提条件!$I$13),OR($D29&gt;=前提条件!$H$13,$D29&lt;=前提条件!$I$13)),1,0)</f>
        <v>0</v>
      </c>
      <c r="N29" s="14" t="n">
        <f aca="false">IF(IF(前提条件!$H$14&lt;=前提条件!$I$14,AND($D29&gt;=前提条件!$H$14,$D29&lt;=前提条件!$I$14),OR($D29&gt;=前提条件!$H$14,$D29&lt;=前提条件!$I$14)),1,0)</f>
        <v>0</v>
      </c>
      <c r="O29" s="14" t="n">
        <f aca="false">IF(IF(前提条件!$H$15&lt;=前提条件!$I$15,AND($D29&gt;=前提条件!$H$15,$D29&lt;=前提条件!$I$15),OR($D29&gt;=前提条件!$H$15,$D29&lt;=前提条件!$I$15)),1,0)</f>
        <v>1</v>
      </c>
    </row>
    <row r="30" customFormat="false" ht="15" hidden="false" customHeight="false" outlineLevel="0" collapsed="false">
      <c r="A30" s="48" t="n">
        <v>1</v>
      </c>
      <c r="B30" s="48" t="n">
        <v>27</v>
      </c>
      <c r="C30" s="48" t="str">
        <f aca="false">A30&amp;"/"&amp;B30</f>
        <v>1/27</v>
      </c>
      <c r="D30" s="48" t="n">
        <f aca="false">A30*100+B30</f>
        <v>127</v>
      </c>
      <c r="E30" s="45" t="n">
        <f aca="false">IF(SUM(J30:K30)&gt;0,前提条件!$B$6,前提条件!$B$8)</f>
        <v>6</v>
      </c>
      <c r="F30" s="48" t="str">
        <f aca="false">IFERROR(INDEX(前提条件!$B$12:$B$15,MATCH(1,L30:O30,0)),"未設定")</f>
        <v>標準形</v>
      </c>
      <c r="G30" s="48" t="str">
        <f aca="false">IFERROR(INDEX(前提条件!$C$12:$C$15,MATCH(1,L30:O30,0)),"未設定")</f>
        <v>冬期</v>
      </c>
      <c r="H30" s="44" t="str">
        <f aca="false">"S値+"&amp;E30&amp;"／"&amp;F30&amp;"（"&amp;G30&amp;"）"</f>
        <v>S値+6／標準形（冬期）</v>
      </c>
      <c r="J30" s="14" t="n">
        <f aca="false">IF(IF(前提条件!$G$6&lt;=前提条件!$H$6,AND($D30&gt;=前提条件!$G$6,$D30&lt;=前提条件!$H$6),OR($D30&gt;=前提条件!$G$6,$D30&lt;=前提条件!$H$6)),1,0)</f>
        <v>0</v>
      </c>
      <c r="K30" s="14" t="n">
        <f aca="false">IF(IF(前提条件!$G$7&lt;=前提条件!$H$7,AND($D30&gt;=前提条件!$G$7,$D30&lt;=前提条件!$H$7),OR($D30&gt;=前提条件!$G$7,$D30&lt;=前提条件!$H$7)),1,0)</f>
        <v>1</v>
      </c>
      <c r="L30" s="14" t="n">
        <f aca="false">IF(IF(前提条件!$H$12&lt;=前提条件!$I$12,AND($D30&gt;=前提条件!$H$12,$D30&lt;=前提条件!$I$12),OR($D30&gt;=前提条件!$H$12,$D30&lt;=前提条件!$I$12)),1,0)</f>
        <v>0</v>
      </c>
      <c r="M30" s="14" t="n">
        <f aca="false">IF(IF(前提条件!$H$13&lt;=前提条件!$I$13,AND($D30&gt;=前提条件!$H$13,$D30&lt;=前提条件!$I$13),OR($D30&gt;=前提条件!$H$13,$D30&lt;=前提条件!$I$13)),1,0)</f>
        <v>0</v>
      </c>
      <c r="N30" s="14" t="n">
        <f aca="false">IF(IF(前提条件!$H$14&lt;=前提条件!$I$14,AND($D30&gt;=前提条件!$H$14,$D30&lt;=前提条件!$I$14),OR($D30&gt;=前提条件!$H$14,$D30&lt;=前提条件!$I$14)),1,0)</f>
        <v>0</v>
      </c>
      <c r="O30" s="14" t="n">
        <f aca="false">IF(IF(前提条件!$H$15&lt;=前提条件!$I$15,AND($D30&gt;=前提条件!$H$15,$D30&lt;=前提条件!$I$15),OR($D30&gt;=前提条件!$H$15,$D30&lt;=前提条件!$I$15)),1,0)</f>
        <v>1</v>
      </c>
    </row>
    <row r="31" customFormat="false" ht="15" hidden="false" customHeight="false" outlineLevel="0" collapsed="false">
      <c r="A31" s="48" t="n">
        <v>1</v>
      </c>
      <c r="B31" s="48" t="n">
        <v>28</v>
      </c>
      <c r="C31" s="48" t="str">
        <f aca="false">A31&amp;"/"&amp;B31</f>
        <v>1/28</v>
      </c>
      <c r="D31" s="48" t="n">
        <f aca="false">A31*100+B31</f>
        <v>128</v>
      </c>
      <c r="E31" s="45" t="n">
        <f aca="false">IF(SUM(J31:K31)&gt;0,前提条件!$B$6,前提条件!$B$8)</f>
        <v>6</v>
      </c>
      <c r="F31" s="48" t="str">
        <f aca="false">IFERROR(INDEX(前提条件!$B$12:$B$15,MATCH(1,L31:O31,0)),"未設定")</f>
        <v>標準形</v>
      </c>
      <c r="G31" s="48" t="str">
        <f aca="false">IFERROR(INDEX(前提条件!$C$12:$C$15,MATCH(1,L31:O31,0)),"未設定")</f>
        <v>冬期</v>
      </c>
      <c r="H31" s="44" t="str">
        <f aca="false">"S値+"&amp;E31&amp;"／"&amp;F31&amp;"（"&amp;G31&amp;"）"</f>
        <v>S値+6／標準形（冬期）</v>
      </c>
      <c r="J31" s="14" t="n">
        <f aca="false">IF(IF(前提条件!$G$6&lt;=前提条件!$H$6,AND($D31&gt;=前提条件!$G$6,$D31&lt;=前提条件!$H$6),OR($D31&gt;=前提条件!$G$6,$D31&lt;=前提条件!$H$6)),1,0)</f>
        <v>0</v>
      </c>
      <c r="K31" s="14" t="n">
        <f aca="false">IF(IF(前提条件!$G$7&lt;=前提条件!$H$7,AND($D31&gt;=前提条件!$G$7,$D31&lt;=前提条件!$H$7),OR($D31&gt;=前提条件!$G$7,$D31&lt;=前提条件!$H$7)),1,0)</f>
        <v>1</v>
      </c>
      <c r="L31" s="14" t="n">
        <f aca="false">IF(IF(前提条件!$H$12&lt;=前提条件!$I$12,AND($D31&gt;=前提条件!$H$12,$D31&lt;=前提条件!$I$12),OR($D31&gt;=前提条件!$H$12,$D31&lt;=前提条件!$I$12)),1,0)</f>
        <v>0</v>
      </c>
      <c r="M31" s="14" t="n">
        <f aca="false">IF(IF(前提条件!$H$13&lt;=前提条件!$I$13,AND($D31&gt;=前提条件!$H$13,$D31&lt;=前提条件!$I$13),OR($D31&gt;=前提条件!$H$13,$D31&lt;=前提条件!$I$13)),1,0)</f>
        <v>0</v>
      </c>
      <c r="N31" s="14" t="n">
        <f aca="false">IF(IF(前提条件!$H$14&lt;=前提条件!$I$14,AND($D31&gt;=前提条件!$H$14,$D31&lt;=前提条件!$I$14),OR($D31&gt;=前提条件!$H$14,$D31&lt;=前提条件!$I$14)),1,0)</f>
        <v>0</v>
      </c>
      <c r="O31" s="14" t="n">
        <f aca="false">IF(IF(前提条件!$H$15&lt;=前提条件!$I$15,AND($D31&gt;=前提条件!$H$15,$D31&lt;=前提条件!$I$15),OR($D31&gt;=前提条件!$H$15,$D31&lt;=前提条件!$I$15)),1,0)</f>
        <v>1</v>
      </c>
    </row>
    <row r="32" customFormat="false" ht="15" hidden="false" customHeight="false" outlineLevel="0" collapsed="false">
      <c r="A32" s="48" t="n">
        <v>1</v>
      </c>
      <c r="B32" s="48" t="n">
        <v>29</v>
      </c>
      <c r="C32" s="48" t="str">
        <f aca="false">A32&amp;"/"&amp;B32</f>
        <v>1/29</v>
      </c>
      <c r="D32" s="48" t="n">
        <f aca="false">A32*100+B32</f>
        <v>129</v>
      </c>
      <c r="E32" s="45" t="n">
        <f aca="false">IF(SUM(J32:K32)&gt;0,前提条件!$B$6,前提条件!$B$8)</f>
        <v>6</v>
      </c>
      <c r="F32" s="48" t="str">
        <f aca="false">IFERROR(INDEX(前提条件!$B$12:$B$15,MATCH(1,L32:O32,0)),"未設定")</f>
        <v>標準形</v>
      </c>
      <c r="G32" s="48" t="str">
        <f aca="false">IFERROR(INDEX(前提条件!$C$12:$C$15,MATCH(1,L32:O32,0)),"未設定")</f>
        <v>冬期</v>
      </c>
      <c r="H32" s="44" t="str">
        <f aca="false">"S値+"&amp;E32&amp;"／"&amp;F32&amp;"（"&amp;G32&amp;"）"</f>
        <v>S値+6／標準形（冬期）</v>
      </c>
      <c r="J32" s="14" t="n">
        <f aca="false">IF(IF(前提条件!$G$6&lt;=前提条件!$H$6,AND($D32&gt;=前提条件!$G$6,$D32&lt;=前提条件!$H$6),OR($D32&gt;=前提条件!$G$6,$D32&lt;=前提条件!$H$6)),1,0)</f>
        <v>0</v>
      </c>
      <c r="K32" s="14" t="n">
        <f aca="false">IF(IF(前提条件!$G$7&lt;=前提条件!$H$7,AND($D32&gt;=前提条件!$G$7,$D32&lt;=前提条件!$H$7),OR($D32&gt;=前提条件!$G$7,$D32&lt;=前提条件!$H$7)),1,0)</f>
        <v>1</v>
      </c>
      <c r="L32" s="14" t="n">
        <f aca="false">IF(IF(前提条件!$H$12&lt;=前提条件!$I$12,AND($D32&gt;=前提条件!$H$12,$D32&lt;=前提条件!$I$12),OR($D32&gt;=前提条件!$H$12,$D32&lt;=前提条件!$I$12)),1,0)</f>
        <v>0</v>
      </c>
      <c r="M32" s="14" t="n">
        <f aca="false">IF(IF(前提条件!$H$13&lt;=前提条件!$I$13,AND($D32&gt;=前提条件!$H$13,$D32&lt;=前提条件!$I$13),OR($D32&gt;=前提条件!$H$13,$D32&lt;=前提条件!$I$13)),1,0)</f>
        <v>0</v>
      </c>
      <c r="N32" s="14" t="n">
        <f aca="false">IF(IF(前提条件!$H$14&lt;=前提条件!$I$14,AND($D32&gt;=前提条件!$H$14,$D32&lt;=前提条件!$I$14),OR($D32&gt;=前提条件!$H$14,$D32&lt;=前提条件!$I$14)),1,0)</f>
        <v>0</v>
      </c>
      <c r="O32" s="14" t="n">
        <f aca="false">IF(IF(前提条件!$H$15&lt;=前提条件!$I$15,AND($D32&gt;=前提条件!$H$15,$D32&lt;=前提条件!$I$15),OR($D32&gt;=前提条件!$H$15,$D32&lt;=前提条件!$I$15)),1,0)</f>
        <v>1</v>
      </c>
    </row>
    <row r="33" customFormat="false" ht="15" hidden="false" customHeight="false" outlineLevel="0" collapsed="false">
      <c r="A33" s="48" t="n">
        <v>1</v>
      </c>
      <c r="B33" s="48" t="n">
        <v>30</v>
      </c>
      <c r="C33" s="48" t="str">
        <f aca="false">A33&amp;"/"&amp;B33</f>
        <v>1/30</v>
      </c>
      <c r="D33" s="48" t="n">
        <f aca="false">A33*100+B33</f>
        <v>130</v>
      </c>
      <c r="E33" s="45" t="n">
        <f aca="false">IF(SUM(J33:K33)&gt;0,前提条件!$B$6,前提条件!$B$8)</f>
        <v>6</v>
      </c>
      <c r="F33" s="48" t="str">
        <f aca="false">IFERROR(INDEX(前提条件!$B$12:$B$15,MATCH(1,L33:O33,0)),"未設定")</f>
        <v>標準形</v>
      </c>
      <c r="G33" s="48" t="str">
        <f aca="false">IFERROR(INDEX(前提条件!$C$12:$C$15,MATCH(1,L33:O33,0)),"未設定")</f>
        <v>冬期</v>
      </c>
      <c r="H33" s="44" t="str">
        <f aca="false">"S値+"&amp;E33&amp;"／"&amp;F33&amp;"（"&amp;G33&amp;"）"</f>
        <v>S値+6／標準形（冬期）</v>
      </c>
      <c r="J33" s="14" t="n">
        <f aca="false">IF(IF(前提条件!$G$6&lt;=前提条件!$H$6,AND($D33&gt;=前提条件!$G$6,$D33&lt;=前提条件!$H$6),OR($D33&gt;=前提条件!$G$6,$D33&lt;=前提条件!$H$6)),1,0)</f>
        <v>0</v>
      </c>
      <c r="K33" s="14" t="n">
        <f aca="false">IF(IF(前提条件!$G$7&lt;=前提条件!$H$7,AND($D33&gt;=前提条件!$G$7,$D33&lt;=前提条件!$H$7),OR($D33&gt;=前提条件!$G$7,$D33&lt;=前提条件!$H$7)),1,0)</f>
        <v>1</v>
      </c>
      <c r="L33" s="14" t="n">
        <f aca="false">IF(IF(前提条件!$H$12&lt;=前提条件!$I$12,AND($D33&gt;=前提条件!$H$12,$D33&lt;=前提条件!$I$12),OR($D33&gt;=前提条件!$H$12,$D33&lt;=前提条件!$I$12)),1,0)</f>
        <v>0</v>
      </c>
      <c r="M33" s="14" t="n">
        <f aca="false">IF(IF(前提条件!$H$13&lt;=前提条件!$I$13,AND($D33&gt;=前提条件!$H$13,$D33&lt;=前提条件!$I$13),OR($D33&gt;=前提条件!$H$13,$D33&lt;=前提条件!$I$13)),1,0)</f>
        <v>0</v>
      </c>
      <c r="N33" s="14" t="n">
        <f aca="false">IF(IF(前提条件!$H$14&lt;=前提条件!$I$14,AND($D33&gt;=前提条件!$H$14,$D33&lt;=前提条件!$I$14),OR($D33&gt;=前提条件!$H$14,$D33&lt;=前提条件!$I$14)),1,0)</f>
        <v>0</v>
      </c>
      <c r="O33" s="14" t="n">
        <f aca="false">IF(IF(前提条件!$H$15&lt;=前提条件!$I$15,AND($D33&gt;=前提条件!$H$15,$D33&lt;=前提条件!$I$15),OR($D33&gt;=前提条件!$H$15,$D33&lt;=前提条件!$I$15)),1,0)</f>
        <v>1</v>
      </c>
    </row>
    <row r="34" customFormat="false" ht="15" hidden="false" customHeight="false" outlineLevel="0" collapsed="false">
      <c r="A34" s="48" t="n">
        <v>1</v>
      </c>
      <c r="B34" s="48" t="n">
        <v>31</v>
      </c>
      <c r="C34" s="48" t="str">
        <f aca="false">A34&amp;"/"&amp;B34</f>
        <v>1/31</v>
      </c>
      <c r="D34" s="48" t="n">
        <f aca="false">A34*100+B34</f>
        <v>131</v>
      </c>
      <c r="E34" s="45" t="n">
        <f aca="false">IF(SUM(J34:K34)&gt;0,前提条件!$B$6,前提条件!$B$8)</f>
        <v>6</v>
      </c>
      <c r="F34" s="48" t="str">
        <f aca="false">IFERROR(INDEX(前提条件!$B$12:$B$15,MATCH(1,L34:O34,0)),"未設定")</f>
        <v>標準形</v>
      </c>
      <c r="G34" s="48" t="str">
        <f aca="false">IFERROR(INDEX(前提条件!$C$12:$C$15,MATCH(1,L34:O34,0)),"未設定")</f>
        <v>冬期</v>
      </c>
      <c r="H34" s="44" t="str">
        <f aca="false">"S値+"&amp;E34&amp;"／"&amp;F34&amp;"（"&amp;G34&amp;"）"</f>
        <v>S値+6／標準形（冬期）</v>
      </c>
      <c r="J34" s="14" t="n">
        <f aca="false">IF(IF(前提条件!$G$6&lt;=前提条件!$H$6,AND($D34&gt;=前提条件!$G$6,$D34&lt;=前提条件!$H$6),OR($D34&gt;=前提条件!$G$6,$D34&lt;=前提条件!$H$6)),1,0)</f>
        <v>0</v>
      </c>
      <c r="K34" s="14" t="n">
        <f aca="false">IF(IF(前提条件!$G$7&lt;=前提条件!$H$7,AND($D34&gt;=前提条件!$G$7,$D34&lt;=前提条件!$H$7),OR($D34&gt;=前提条件!$G$7,$D34&lt;=前提条件!$H$7)),1,0)</f>
        <v>1</v>
      </c>
      <c r="L34" s="14" t="n">
        <f aca="false">IF(IF(前提条件!$H$12&lt;=前提条件!$I$12,AND($D34&gt;=前提条件!$H$12,$D34&lt;=前提条件!$I$12),OR($D34&gt;=前提条件!$H$12,$D34&lt;=前提条件!$I$12)),1,0)</f>
        <v>0</v>
      </c>
      <c r="M34" s="14" t="n">
        <f aca="false">IF(IF(前提条件!$H$13&lt;=前提条件!$I$13,AND($D34&gt;=前提条件!$H$13,$D34&lt;=前提条件!$I$13),OR($D34&gt;=前提条件!$H$13,$D34&lt;=前提条件!$I$13)),1,0)</f>
        <v>0</v>
      </c>
      <c r="N34" s="14" t="n">
        <f aca="false">IF(IF(前提条件!$H$14&lt;=前提条件!$I$14,AND($D34&gt;=前提条件!$H$14,$D34&lt;=前提条件!$I$14),OR($D34&gt;=前提条件!$H$14,$D34&lt;=前提条件!$I$14)),1,0)</f>
        <v>0</v>
      </c>
      <c r="O34" s="14" t="n">
        <f aca="false">IF(IF(前提条件!$H$15&lt;=前提条件!$I$15,AND($D34&gt;=前提条件!$H$15,$D34&lt;=前提条件!$I$15),OR($D34&gt;=前提条件!$H$15,$D34&lt;=前提条件!$I$15)),1,0)</f>
        <v>1</v>
      </c>
    </row>
    <row r="35" customFormat="false" ht="15" hidden="false" customHeight="false" outlineLevel="0" collapsed="false">
      <c r="A35" s="48" t="n">
        <v>2</v>
      </c>
      <c r="B35" s="48" t="n">
        <v>1</v>
      </c>
      <c r="C35" s="48" t="str">
        <f aca="false">A35&amp;"/"&amp;B35</f>
        <v>2/1</v>
      </c>
      <c r="D35" s="48" t="n">
        <f aca="false">A35*100+B35</f>
        <v>201</v>
      </c>
      <c r="E35" s="45" t="n">
        <f aca="false">IF(SUM(J35:K35)&gt;0,前提条件!$B$6,前提条件!$B$8)</f>
        <v>6</v>
      </c>
      <c r="F35" s="48" t="str">
        <f aca="false">IFERROR(INDEX(前提条件!$B$12:$B$15,MATCH(1,L35:O35,0)),"未設定")</f>
        <v>標準形</v>
      </c>
      <c r="G35" s="48" t="str">
        <f aca="false">IFERROR(INDEX(前提条件!$C$12:$C$15,MATCH(1,L35:O35,0)),"未設定")</f>
        <v>冬期</v>
      </c>
      <c r="H35" s="44" t="str">
        <f aca="false">"S値+"&amp;E35&amp;"／"&amp;F35&amp;"（"&amp;G35&amp;"）"</f>
        <v>S値+6／標準形（冬期）</v>
      </c>
      <c r="J35" s="14" t="n">
        <f aca="false">IF(IF(前提条件!$G$6&lt;=前提条件!$H$6,AND($D35&gt;=前提条件!$G$6,$D35&lt;=前提条件!$H$6),OR($D35&gt;=前提条件!$G$6,$D35&lt;=前提条件!$H$6)),1,0)</f>
        <v>0</v>
      </c>
      <c r="K35" s="14" t="n">
        <f aca="false">IF(IF(前提条件!$G$7&lt;=前提条件!$H$7,AND($D35&gt;=前提条件!$G$7,$D35&lt;=前提条件!$H$7),OR($D35&gt;=前提条件!$G$7,$D35&lt;=前提条件!$H$7)),1,0)</f>
        <v>1</v>
      </c>
      <c r="L35" s="14" t="n">
        <f aca="false">IF(IF(前提条件!$H$12&lt;=前提条件!$I$12,AND($D35&gt;=前提条件!$H$12,$D35&lt;=前提条件!$I$12),OR($D35&gt;=前提条件!$H$12,$D35&lt;=前提条件!$I$12)),1,0)</f>
        <v>0</v>
      </c>
      <c r="M35" s="14" t="n">
        <f aca="false">IF(IF(前提条件!$H$13&lt;=前提条件!$I$13,AND($D35&gt;=前提条件!$H$13,$D35&lt;=前提条件!$I$13),OR($D35&gt;=前提条件!$H$13,$D35&lt;=前提条件!$I$13)),1,0)</f>
        <v>0</v>
      </c>
      <c r="N35" s="14" t="n">
        <f aca="false">IF(IF(前提条件!$H$14&lt;=前提条件!$I$14,AND($D35&gt;=前提条件!$H$14,$D35&lt;=前提条件!$I$14),OR($D35&gt;=前提条件!$H$14,$D35&lt;=前提条件!$I$14)),1,0)</f>
        <v>0</v>
      </c>
      <c r="O35" s="14" t="n">
        <f aca="false">IF(IF(前提条件!$H$15&lt;=前提条件!$I$15,AND($D35&gt;=前提条件!$H$15,$D35&lt;=前提条件!$I$15),OR($D35&gt;=前提条件!$H$15,$D35&lt;=前提条件!$I$15)),1,0)</f>
        <v>1</v>
      </c>
    </row>
    <row r="36" customFormat="false" ht="15" hidden="false" customHeight="false" outlineLevel="0" collapsed="false">
      <c r="A36" s="48" t="n">
        <v>2</v>
      </c>
      <c r="B36" s="48" t="n">
        <v>2</v>
      </c>
      <c r="C36" s="48" t="str">
        <f aca="false">A36&amp;"/"&amp;B36</f>
        <v>2/2</v>
      </c>
      <c r="D36" s="48" t="n">
        <f aca="false">A36*100+B36</f>
        <v>202</v>
      </c>
      <c r="E36" s="45" t="n">
        <f aca="false">IF(SUM(J36:K36)&gt;0,前提条件!$B$6,前提条件!$B$8)</f>
        <v>6</v>
      </c>
      <c r="F36" s="48" t="str">
        <f aca="false">IFERROR(INDEX(前提条件!$B$12:$B$15,MATCH(1,L36:O36,0)),"未設定")</f>
        <v>標準形</v>
      </c>
      <c r="G36" s="48" t="str">
        <f aca="false">IFERROR(INDEX(前提条件!$C$12:$C$15,MATCH(1,L36:O36,0)),"未設定")</f>
        <v>冬期</v>
      </c>
      <c r="H36" s="44" t="str">
        <f aca="false">"S値+"&amp;E36&amp;"／"&amp;F36&amp;"（"&amp;G36&amp;"）"</f>
        <v>S値+6／標準形（冬期）</v>
      </c>
      <c r="J36" s="14" t="n">
        <f aca="false">IF(IF(前提条件!$G$6&lt;=前提条件!$H$6,AND($D36&gt;=前提条件!$G$6,$D36&lt;=前提条件!$H$6),OR($D36&gt;=前提条件!$G$6,$D36&lt;=前提条件!$H$6)),1,0)</f>
        <v>0</v>
      </c>
      <c r="K36" s="14" t="n">
        <f aca="false">IF(IF(前提条件!$G$7&lt;=前提条件!$H$7,AND($D36&gt;=前提条件!$G$7,$D36&lt;=前提条件!$H$7),OR($D36&gt;=前提条件!$G$7,$D36&lt;=前提条件!$H$7)),1,0)</f>
        <v>1</v>
      </c>
      <c r="L36" s="14" t="n">
        <f aca="false">IF(IF(前提条件!$H$12&lt;=前提条件!$I$12,AND($D36&gt;=前提条件!$H$12,$D36&lt;=前提条件!$I$12),OR($D36&gt;=前提条件!$H$12,$D36&lt;=前提条件!$I$12)),1,0)</f>
        <v>0</v>
      </c>
      <c r="M36" s="14" t="n">
        <f aca="false">IF(IF(前提条件!$H$13&lt;=前提条件!$I$13,AND($D36&gt;=前提条件!$H$13,$D36&lt;=前提条件!$I$13),OR($D36&gt;=前提条件!$H$13,$D36&lt;=前提条件!$I$13)),1,0)</f>
        <v>0</v>
      </c>
      <c r="N36" s="14" t="n">
        <f aca="false">IF(IF(前提条件!$H$14&lt;=前提条件!$I$14,AND($D36&gt;=前提条件!$H$14,$D36&lt;=前提条件!$I$14),OR($D36&gt;=前提条件!$H$14,$D36&lt;=前提条件!$I$14)),1,0)</f>
        <v>0</v>
      </c>
      <c r="O36" s="14" t="n">
        <f aca="false">IF(IF(前提条件!$H$15&lt;=前提条件!$I$15,AND($D36&gt;=前提条件!$H$15,$D36&lt;=前提条件!$I$15),OR($D36&gt;=前提条件!$H$15,$D36&lt;=前提条件!$I$15)),1,0)</f>
        <v>1</v>
      </c>
    </row>
    <row r="37" customFormat="false" ht="15" hidden="false" customHeight="false" outlineLevel="0" collapsed="false">
      <c r="A37" s="48" t="n">
        <v>2</v>
      </c>
      <c r="B37" s="48" t="n">
        <v>3</v>
      </c>
      <c r="C37" s="48" t="str">
        <f aca="false">A37&amp;"/"&amp;B37</f>
        <v>2/3</v>
      </c>
      <c r="D37" s="48" t="n">
        <f aca="false">A37*100+B37</f>
        <v>203</v>
      </c>
      <c r="E37" s="45" t="n">
        <f aca="false">IF(SUM(J37:K37)&gt;0,前提条件!$B$6,前提条件!$B$8)</f>
        <v>6</v>
      </c>
      <c r="F37" s="48" t="str">
        <f aca="false">IFERROR(INDEX(前提条件!$B$12:$B$15,MATCH(1,L37:O37,0)),"未設定")</f>
        <v>標準形</v>
      </c>
      <c r="G37" s="48" t="str">
        <f aca="false">IFERROR(INDEX(前提条件!$C$12:$C$15,MATCH(1,L37:O37,0)),"未設定")</f>
        <v>冬期</v>
      </c>
      <c r="H37" s="44" t="str">
        <f aca="false">"S値+"&amp;E37&amp;"／"&amp;F37&amp;"（"&amp;G37&amp;"）"</f>
        <v>S値+6／標準形（冬期）</v>
      </c>
      <c r="J37" s="14" t="n">
        <f aca="false">IF(IF(前提条件!$G$6&lt;=前提条件!$H$6,AND($D37&gt;=前提条件!$G$6,$D37&lt;=前提条件!$H$6),OR($D37&gt;=前提条件!$G$6,$D37&lt;=前提条件!$H$6)),1,0)</f>
        <v>0</v>
      </c>
      <c r="K37" s="14" t="n">
        <f aca="false">IF(IF(前提条件!$G$7&lt;=前提条件!$H$7,AND($D37&gt;=前提条件!$G$7,$D37&lt;=前提条件!$H$7),OR($D37&gt;=前提条件!$G$7,$D37&lt;=前提条件!$H$7)),1,0)</f>
        <v>1</v>
      </c>
      <c r="L37" s="14" t="n">
        <f aca="false">IF(IF(前提条件!$H$12&lt;=前提条件!$I$12,AND($D37&gt;=前提条件!$H$12,$D37&lt;=前提条件!$I$12),OR($D37&gt;=前提条件!$H$12,$D37&lt;=前提条件!$I$12)),1,0)</f>
        <v>0</v>
      </c>
      <c r="M37" s="14" t="n">
        <f aca="false">IF(IF(前提条件!$H$13&lt;=前提条件!$I$13,AND($D37&gt;=前提条件!$H$13,$D37&lt;=前提条件!$I$13),OR($D37&gt;=前提条件!$H$13,$D37&lt;=前提条件!$I$13)),1,0)</f>
        <v>0</v>
      </c>
      <c r="N37" s="14" t="n">
        <f aca="false">IF(IF(前提条件!$H$14&lt;=前提条件!$I$14,AND($D37&gt;=前提条件!$H$14,$D37&lt;=前提条件!$I$14),OR($D37&gt;=前提条件!$H$14,$D37&lt;=前提条件!$I$14)),1,0)</f>
        <v>0</v>
      </c>
      <c r="O37" s="14" t="n">
        <f aca="false">IF(IF(前提条件!$H$15&lt;=前提条件!$I$15,AND($D37&gt;=前提条件!$H$15,$D37&lt;=前提条件!$I$15),OR($D37&gt;=前提条件!$H$15,$D37&lt;=前提条件!$I$15)),1,0)</f>
        <v>1</v>
      </c>
    </row>
    <row r="38" customFormat="false" ht="15" hidden="false" customHeight="false" outlineLevel="0" collapsed="false">
      <c r="A38" s="48" t="n">
        <v>2</v>
      </c>
      <c r="B38" s="48" t="n">
        <v>4</v>
      </c>
      <c r="C38" s="48" t="str">
        <f aca="false">A38&amp;"/"&amp;B38</f>
        <v>2/4</v>
      </c>
      <c r="D38" s="48" t="n">
        <f aca="false">A38*100+B38</f>
        <v>204</v>
      </c>
      <c r="E38" s="45" t="n">
        <f aca="false">IF(SUM(J38:K38)&gt;0,前提条件!$B$6,前提条件!$B$8)</f>
        <v>6</v>
      </c>
      <c r="F38" s="48" t="str">
        <f aca="false">IFERROR(INDEX(前提条件!$B$12:$B$15,MATCH(1,L38:O38,0)),"未設定")</f>
        <v>標準形</v>
      </c>
      <c r="G38" s="48" t="str">
        <f aca="false">IFERROR(INDEX(前提条件!$C$12:$C$15,MATCH(1,L38:O38,0)),"未設定")</f>
        <v>冬期</v>
      </c>
      <c r="H38" s="44" t="str">
        <f aca="false">"S値+"&amp;E38&amp;"／"&amp;F38&amp;"（"&amp;G38&amp;"）"</f>
        <v>S値+6／標準形（冬期）</v>
      </c>
      <c r="J38" s="14" t="n">
        <f aca="false">IF(IF(前提条件!$G$6&lt;=前提条件!$H$6,AND($D38&gt;=前提条件!$G$6,$D38&lt;=前提条件!$H$6),OR($D38&gt;=前提条件!$G$6,$D38&lt;=前提条件!$H$6)),1,0)</f>
        <v>0</v>
      </c>
      <c r="K38" s="14" t="n">
        <f aca="false">IF(IF(前提条件!$G$7&lt;=前提条件!$H$7,AND($D38&gt;=前提条件!$G$7,$D38&lt;=前提条件!$H$7),OR($D38&gt;=前提条件!$G$7,$D38&lt;=前提条件!$H$7)),1,0)</f>
        <v>1</v>
      </c>
      <c r="L38" s="14" t="n">
        <f aca="false">IF(IF(前提条件!$H$12&lt;=前提条件!$I$12,AND($D38&gt;=前提条件!$H$12,$D38&lt;=前提条件!$I$12),OR($D38&gt;=前提条件!$H$12,$D38&lt;=前提条件!$I$12)),1,0)</f>
        <v>0</v>
      </c>
      <c r="M38" s="14" t="n">
        <f aca="false">IF(IF(前提条件!$H$13&lt;=前提条件!$I$13,AND($D38&gt;=前提条件!$H$13,$D38&lt;=前提条件!$I$13),OR($D38&gt;=前提条件!$H$13,$D38&lt;=前提条件!$I$13)),1,0)</f>
        <v>0</v>
      </c>
      <c r="N38" s="14" t="n">
        <f aca="false">IF(IF(前提条件!$H$14&lt;=前提条件!$I$14,AND($D38&gt;=前提条件!$H$14,$D38&lt;=前提条件!$I$14),OR($D38&gt;=前提条件!$H$14,$D38&lt;=前提条件!$I$14)),1,0)</f>
        <v>0</v>
      </c>
      <c r="O38" s="14" t="n">
        <f aca="false">IF(IF(前提条件!$H$15&lt;=前提条件!$I$15,AND($D38&gt;=前提条件!$H$15,$D38&lt;=前提条件!$I$15),OR($D38&gt;=前提条件!$H$15,$D38&lt;=前提条件!$I$15)),1,0)</f>
        <v>1</v>
      </c>
    </row>
    <row r="39" customFormat="false" ht="15" hidden="false" customHeight="false" outlineLevel="0" collapsed="false">
      <c r="A39" s="48" t="n">
        <v>2</v>
      </c>
      <c r="B39" s="48" t="n">
        <v>5</v>
      </c>
      <c r="C39" s="48" t="str">
        <f aca="false">A39&amp;"/"&amp;B39</f>
        <v>2/5</v>
      </c>
      <c r="D39" s="48" t="n">
        <f aca="false">A39*100+B39</f>
        <v>205</v>
      </c>
      <c r="E39" s="45" t="n">
        <f aca="false">IF(SUM(J39:K39)&gt;0,前提条件!$B$6,前提条件!$B$8)</f>
        <v>6</v>
      </c>
      <c r="F39" s="48" t="str">
        <f aca="false">IFERROR(INDEX(前提条件!$B$12:$B$15,MATCH(1,L39:O39,0)),"未設定")</f>
        <v>標準形</v>
      </c>
      <c r="G39" s="48" t="str">
        <f aca="false">IFERROR(INDEX(前提条件!$C$12:$C$15,MATCH(1,L39:O39,0)),"未設定")</f>
        <v>冬期</v>
      </c>
      <c r="H39" s="44" t="str">
        <f aca="false">"S値+"&amp;E39&amp;"／"&amp;F39&amp;"（"&amp;G39&amp;"）"</f>
        <v>S値+6／標準形（冬期）</v>
      </c>
      <c r="J39" s="14" t="n">
        <f aca="false">IF(IF(前提条件!$G$6&lt;=前提条件!$H$6,AND($D39&gt;=前提条件!$G$6,$D39&lt;=前提条件!$H$6),OR($D39&gt;=前提条件!$G$6,$D39&lt;=前提条件!$H$6)),1,0)</f>
        <v>0</v>
      </c>
      <c r="K39" s="14" t="n">
        <f aca="false">IF(IF(前提条件!$G$7&lt;=前提条件!$H$7,AND($D39&gt;=前提条件!$G$7,$D39&lt;=前提条件!$H$7),OR($D39&gt;=前提条件!$G$7,$D39&lt;=前提条件!$H$7)),1,0)</f>
        <v>1</v>
      </c>
      <c r="L39" s="14" t="n">
        <f aca="false">IF(IF(前提条件!$H$12&lt;=前提条件!$I$12,AND($D39&gt;=前提条件!$H$12,$D39&lt;=前提条件!$I$12),OR($D39&gt;=前提条件!$H$12,$D39&lt;=前提条件!$I$12)),1,0)</f>
        <v>0</v>
      </c>
      <c r="M39" s="14" t="n">
        <f aca="false">IF(IF(前提条件!$H$13&lt;=前提条件!$I$13,AND($D39&gt;=前提条件!$H$13,$D39&lt;=前提条件!$I$13),OR($D39&gt;=前提条件!$H$13,$D39&lt;=前提条件!$I$13)),1,0)</f>
        <v>0</v>
      </c>
      <c r="N39" s="14" t="n">
        <f aca="false">IF(IF(前提条件!$H$14&lt;=前提条件!$I$14,AND($D39&gt;=前提条件!$H$14,$D39&lt;=前提条件!$I$14),OR($D39&gt;=前提条件!$H$14,$D39&lt;=前提条件!$I$14)),1,0)</f>
        <v>0</v>
      </c>
      <c r="O39" s="14" t="n">
        <f aca="false">IF(IF(前提条件!$H$15&lt;=前提条件!$I$15,AND($D39&gt;=前提条件!$H$15,$D39&lt;=前提条件!$I$15),OR($D39&gt;=前提条件!$H$15,$D39&lt;=前提条件!$I$15)),1,0)</f>
        <v>1</v>
      </c>
    </row>
    <row r="40" customFormat="false" ht="15" hidden="false" customHeight="false" outlineLevel="0" collapsed="false">
      <c r="A40" s="48" t="n">
        <v>2</v>
      </c>
      <c r="B40" s="48" t="n">
        <v>6</v>
      </c>
      <c r="C40" s="48" t="str">
        <f aca="false">A40&amp;"/"&amp;B40</f>
        <v>2/6</v>
      </c>
      <c r="D40" s="48" t="n">
        <f aca="false">A40*100+B40</f>
        <v>206</v>
      </c>
      <c r="E40" s="45" t="n">
        <f aca="false">IF(SUM(J40:K40)&gt;0,前提条件!$B$6,前提条件!$B$8)</f>
        <v>6</v>
      </c>
      <c r="F40" s="48" t="str">
        <f aca="false">IFERROR(INDEX(前提条件!$B$12:$B$15,MATCH(1,L40:O40,0)),"未設定")</f>
        <v>標準形</v>
      </c>
      <c r="G40" s="48" t="str">
        <f aca="false">IFERROR(INDEX(前提条件!$C$12:$C$15,MATCH(1,L40:O40,0)),"未設定")</f>
        <v>冬期</v>
      </c>
      <c r="H40" s="44" t="str">
        <f aca="false">"S値+"&amp;E40&amp;"／"&amp;F40&amp;"（"&amp;G40&amp;"）"</f>
        <v>S値+6／標準形（冬期）</v>
      </c>
      <c r="J40" s="14" t="n">
        <f aca="false">IF(IF(前提条件!$G$6&lt;=前提条件!$H$6,AND($D40&gt;=前提条件!$G$6,$D40&lt;=前提条件!$H$6),OR($D40&gt;=前提条件!$G$6,$D40&lt;=前提条件!$H$6)),1,0)</f>
        <v>0</v>
      </c>
      <c r="K40" s="14" t="n">
        <f aca="false">IF(IF(前提条件!$G$7&lt;=前提条件!$H$7,AND($D40&gt;=前提条件!$G$7,$D40&lt;=前提条件!$H$7),OR($D40&gt;=前提条件!$G$7,$D40&lt;=前提条件!$H$7)),1,0)</f>
        <v>1</v>
      </c>
      <c r="L40" s="14" t="n">
        <f aca="false">IF(IF(前提条件!$H$12&lt;=前提条件!$I$12,AND($D40&gt;=前提条件!$H$12,$D40&lt;=前提条件!$I$12),OR($D40&gt;=前提条件!$H$12,$D40&lt;=前提条件!$I$12)),1,0)</f>
        <v>0</v>
      </c>
      <c r="M40" s="14" t="n">
        <f aca="false">IF(IF(前提条件!$H$13&lt;=前提条件!$I$13,AND($D40&gt;=前提条件!$H$13,$D40&lt;=前提条件!$I$13),OR($D40&gt;=前提条件!$H$13,$D40&lt;=前提条件!$I$13)),1,0)</f>
        <v>0</v>
      </c>
      <c r="N40" s="14" t="n">
        <f aca="false">IF(IF(前提条件!$H$14&lt;=前提条件!$I$14,AND($D40&gt;=前提条件!$H$14,$D40&lt;=前提条件!$I$14),OR($D40&gt;=前提条件!$H$14,$D40&lt;=前提条件!$I$14)),1,0)</f>
        <v>0</v>
      </c>
      <c r="O40" s="14" t="n">
        <f aca="false">IF(IF(前提条件!$H$15&lt;=前提条件!$I$15,AND($D40&gt;=前提条件!$H$15,$D40&lt;=前提条件!$I$15),OR($D40&gt;=前提条件!$H$15,$D40&lt;=前提条件!$I$15)),1,0)</f>
        <v>1</v>
      </c>
    </row>
    <row r="41" customFormat="false" ht="15" hidden="false" customHeight="false" outlineLevel="0" collapsed="false">
      <c r="A41" s="48" t="n">
        <v>2</v>
      </c>
      <c r="B41" s="48" t="n">
        <v>7</v>
      </c>
      <c r="C41" s="48" t="str">
        <f aca="false">A41&amp;"/"&amp;B41</f>
        <v>2/7</v>
      </c>
      <c r="D41" s="48" t="n">
        <f aca="false">A41*100+B41</f>
        <v>207</v>
      </c>
      <c r="E41" s="45" t="n">
        <f aca="false">IF(SUM(J41:K41)&gt;0,前提条件!$B$6,前提条件!$B$8)</f>
        <v>6</v>
      </c>
      <c r="F41" s="48" t="str">
        <f aca="false">IFERROR(INDEX(前提条件!$B$12:$B$15,MATCH(1,L41:O41,0)),"未設定")</f>
        <v>標準形</v>
      </c>
      <c r="G41" s="48" t="str">
        <f aca="false">IFERROR(INDEX(前提条件!$C$12:$C$15,MATCH(1,L41:O41,0)),"未設定")</f>
        <v>冬期</v>
      </c>
      <c r="H41" s="44" t="str">
        <f aca="false">"S値+"&amp;E41&amp;"／"&amp;F41&amp;"（"&amp;G41&amp;"）"</f>
        <v>S値+6／標準形（冬期）</v>
      </c>
      <c r="J41" s="14" t="n">
        <f aca="false">IF(IF(前提条件!$G$6&lt;=前提条件!$H$6,AND($D41&gt;=前提条件!$G$6,$D41&lt;=前提条件!$H$6),OR($D41&gt;=前提条件!$G$6,$D41&lt;=前提条件!$H$6)),1,0)</f>
        <v>0</v>
      </c>
      <c r="K41" s="14" t="n">
        <f aca="false">IF(IF(前提条件!$G$7&lt;=前提条件!$H$7,AND($D41&gt;=前提条件!$G$7,$D41&lt;=前提条件!$H$7),OR($D41&gt;=前提条件!$G$7,$D41&lt;=前提条件!$H$7)),1,0)</f>
        <v>1</v>
      </c>
      <c r="L41" s="14" t="n">
        <f aca="false">IF(IF(前提条件!$H$12&lt;=前提条件!$I$12,AND($D41&gt;=前提条件!$H$12,$D41&lt;=前提条件!$I$12),OR($D41&gt;=前提条件!$H$12,$D41&lt;=前提条件!$I$12)),1,0)</f>
        <v>0</v>
      </c>
      <c r="M41" s="14" t="n">
        <f aca="false">IF(IF(前提条件!$H$13&lt;=前提条件!$I$13,AND($D41&gt;=前提条件!$H$13,$D41&lt;=前提条件!$I$13),OR($D41&gt;=前提条件!$H$13,$D41&lt;=前提条件!$I$13)),1,0)</f>
        <v>0</v>
      </c>
      <c r="N41" s="14" t="n">
        <f aca="false">IF(IF(前提条件!$H$14&lt;=前提条件!$I$14,AND($D41&gt;=前提条件!$H$14,$D41&lt;=前提条件!$I$14),OR($D41&gt;=前提条件!$H$14,$D41&lt;=前提条件!$I$14)),1,0)</f>
        <v>0</v>
      </c>
      <c r="O41" s="14" t="n">
        <f aca="false">IF(IF(前提条件!$H$15&lt;=前提条件!$I$15,AND($D41&gt;=前提条件!$H$15,$D41&lt;=前提条件!$I$15),OR($D41&gt;=前提条件!$H$15,$D41&lt;=前提条件!$I$15)),1,0)</f>
        <v>1</v>
      </c>
    </row>
    <row r="42" customFormat="false" ht="15" hidden="false" customHeight="false" outlineLevel="0" collapsed="false">
      <c r="A42" s="48" t="n">
        <v>2</v>
      </c>
      <c r="B42" s="48" t="n">
        <v>8</v>
      </c>
      <c r="C42" s="48" t="str">
        <f aca="false">A42&amp;"/"&amp;B42</f>
        <v>2/8</v>
      </c>
      <c r="D42" s="48" t="n">
        <f aca="false">A42*100+B42</f>
        <v>208</v>
      </c>
      <c r="E42" s="45" t="n">
        <f aca="false">IF(SUM(J42:K42)&gt;0,前提条件!$B$6,前提条件!$B$8)</f>
        <v>6</v>
      </c>
      <c r="F42" s="48" t="str">
        <f aca="false">IFERROR(INDEX(前提条件!$B$12:$B$15,MATCH(1,L42:O42,0)),"未設定")</f>
        <v>標準形</v>
      </c>
      <c r="G42" s="48" t="str">
        <f aca="false">IFERROR(INDEX(前提条件!$C$12:$C$15,MATCH(1,L42:O42,0)),"未設定")</f>
        <v>冬期</v>
      </c>
      <c r="H42" s="44" t="str">
        <f aca="false">"S値+"&amp;E42&amp;"／"&amp;F42&amp;"（"&amp;G42&amp;"）"</f>
        <v>S値+6／標準形（冬期）</v>
      </c>
      <c r="J42" s="14" t="n">
        <f aca="false">IF(IF(前提条件!$G$6&lt;=前提条件!$H$6,AND($D42&gt;=前提条件!$G$6,$D42&lt;=前提条件!$H$6),OR($D42&gt;=前提条件!$G$6,$D42&lt;=前提条件!$H$6)),1,0)</f>
        <v>0</v>
      </c>
      <c r="K42" s="14" t="n">
        <f aca="false">IF(IF(前提条件!$G$7&lt;=前提条件!$H$7,AND($D42&gt;=前提条件!$G$7,$D42&lt;=前提条件!$H$7),OR($D42&gt;=前提条件!$G$7,$D42&lt;=前提条件!$H$7)),1,0)</f>
        <v>1</v>
      </c>
      <c r="L42" s="14" t="n">
        <f aca="false">IF(IF(前提条件!$H$12&lt;=前提条件!$I$12,AND($D42&gt;=前提条件!$H$12,$D42&lt;=前提条件!$I$12),OR($D42&gt;=前提条件!$H$12,$D42&lt;=前提条件!$I$12)),1,0)</f>
        <v>0</v>
      </c>
      <c r="M42" s="14" t="n">
        <f aca="false">IF(IF(前提条件!$H$13&lt;=前提条件!$I$13,AND($D42&gt;=前提条件!$H$13,$D42&lt;=前提条件!$I$13),OR($D42&gt;=前提条件!$H$13,$D42&lt;=前提条件!$I$13)),1,0)</f>
        <v>0</v>
      </c>
      <c r="N42" s="14" t="n">
        <f aca="false">IF(IF(前提条件!$H$14&lt;=前提条件!$I$14,AND($D42&gt;=前提条件!$H$14,$D42&lt;=前提条件!$I$14),OR($D42&gt;=前提条件!$H$14,$D42&lt;=前提条件!$I$14)),1,0)</f>
        <v>0</v>
      </c>
      <c r="O42" s="14" t="n">
        <f aca="false">IF(IF(前提条件!$H$15&lt;=前提条件!$I$15,AND($D42&gt;=前提条件!$H$15,$D42&lt;=前提条件!$I$15),OR($D42&gt;=前提条件!$H$15,$D42&lt;=前提条件!$I$15)),1,0)</f>
        <v>1</v>
      </c>
    </row>
    <row r="43" customFormat="false" ht="15" hidden="false" customHeight="false" outlineLevel="0" collapsed="false">
      <c r="A43" s="48" t="n">
        <v>2</v>
      </c>
      <c r="B43" s="48" t="n">
        <v>9</v>
      </c>
      <c r="C43" s="48" t="str">
        <f aca="false">A43&amp;"/"&amp;B43</f>
        <v>2/9</v>
      </c>
      <c r="D43" s="48" t="n">
        <f aca="false">A43*100+B43</f>
        <v>209</v>
      </c>
      <c r="E43" s="45" t="n">
        <f aca="false">IF(SUM(J43:K43)&gt;0,前提条件!$B$6,前提条件!$B$8)</f>
        <v>6</v>
      </c>
      <c r="F43" s="48" t="str">
        <f aca="false">IFERROR(INDEX(前提条件!$B$12:$B$15,MATCH(1,L43:O43,0)),"未設定")</f>
        <v>標準形</v>
      </c>
      <c r="G43" s="48" t="str">
        <f aca="false">IFERROR(INDEX(前提条件!$C$12:$C$15,MATCH(1,L43:O43,0)),"未設定")</f>
        <v>冬期</v>
      </c>
      <c r="H43" s="44" t="str">
        <f aca="false">"S値+"&amp;E43&amp;"／"&amp;F43&amp;"（"&amp;G43&amp;"）"</f>
        <v>S値+6／標準形（冬期）</v>
      </c>
      <c r="J43" s="14" t="n">
        <f aca="false">IF(IF(前提条件!$G$6&lt;=前提条件!$H$6,AND($D43&gt;=前提条件!$G$6,$D43&lt;=前提条件!$H$6),OR($D43&gt;=前提条件!$G$6,$D43&lt;=前提条件!$H$6)),1,0)</f>
        <v>0</v>
      </c>
      <c r="K43" s="14" t="n">
        <f aca="false">IF(IF(前提条件!$G$7&lt;=前提条件!$H$7,AND($D43&gt;=前提条件!$G$7,$D43&lt;=前提条件!$H$7),OR($D43&gt;=前提条件!$G$7,$D43&lt;=前提条件!$H$7)),1,0)</f>
        <v>1</v>
      </c>
      <c r="L43" s="14" t="n">
        <f aca="false">IF(IF(前提条件!$H$12&lt;=前提条件!$I$12,AND($D43&gt;=前提条件!$H$12,$D43&lt;=前提条件!$I$12),OR($D43&gt;=前提条件!$H$12,$D43&lt;=前提条件!$I$12)),1,0)</f>
        <v>0</v>
      </c>
      <c r="M43" s="14" t="n">
        <f aca="false">IF(IF(前提条件!$H$13&lt;=前提条件!$I$13,AND($D43&gt;=前提条件!$H$13,$D43&lt;=前提条件!$I$13),OR($D43&gt;=前提条件!$H$13,$D43&lt;=前提条件!$I$13)),1,0)</f>
        <v>0</v>
      </c>
      <c r="N43" s="14" t="n">
        <f aca="false">IF(IF(前提条件!$H$14&lt;=前提条件!$I$14,AND($D43&gt;=前提条件!$H$14,$D43&lt;=前提条件!$I$14),OR($D43&gt;=前提条件!$H$14,$D43&lt;=前提条件!$I$14)),1,0)</f>
        <v>0</v>
      </c>
      <c r="O43" s="14" t="n">
        <f aca="false">IF(IF(前提条件!$H$15&lt;=前提条件!$I$15,AND($D43&gt;=前提条件!$H$15,$D43&lt;=前提条件!$I$15),OR($D43&gt;=前提条件!$H$15,$D43&lt;=前提条件!$I$15)),1,0)</f>
        <v>1</v>
      </c>
    </row>
    <row r="44" customFormat="false" ht="15" hidden="false" customHeight="false" outlineLevel="0" collapsed="false">
      <c r="A44" s="48" t="n">
        <v>2</v>
      </c>
      <c r="B44" s="48" t="n">
        <v>10</v>
      </c>
      <c r="C44" s="48" t="str">
        <f aca="false">A44&amp;"/"&amp;B44</f>
        <v>2/10</v>
      </c>
      <c r="D44" s="48" t="n">
        <f aca="false">A44*100+B44</f>
        <v>210</v>
      </c>
      <c r="E44" s="45" t="n">
        <f aca="false">IF(SUM(J44:K44)&gt;0,前提条件!$B$6,前提条件!$B$8)</f>
        <v>6</v>
      </c>
      <c r="F44" s="48" t="str">
        <f aca="false">IFERROR(INDEX(前提条件!$B$12:$B$15,MATCH(1,L44:O44,0)),"未設定")</f>
        <v>標準形</v>
      </c>
      <c r="G44" s="48" t="str">
        <f aca="false">IFERROR(INDEX(前提条件!$C$12:$C$15,MATCH(1,L44:O44,0)),"未設定")</f>
        <v>冬期</v>
      </c>
      <c r="H44" s="44" t="str">
        <f aca="false">"S値+"&amp;E44&amp;"／"&amp;F44&amp;"（"&amp;G44&amp;"）"</f>
        <v>S値+6／標準形（冬期）</v>
      </c>
      <c r="J44" s="14" t="n">
        <f aca="false">IF(IF(前提条件!$G$6&lt;=前提条件!$H$6,AND($D44&gt;=前提条件!$G$6,$D44&lt;=前提条件!$H$6),OR($D44&gt;=前提条件!$G$6,$D44&lt;=前提条件!$H$6)),1,0)</f>
        <v>0</v>
      </c>
      <c r="K44" s="14" t="n">
        <f aca="false">IF(IF(前提条件!$G$7&lt;=前提条件!$H$7,AND($D44&gt;=前提条件!$G$7,$D44&lt;=前提条件!$H$7),OR($D44&gt;=前提条件!$G$7,$D44&lt;=前提条件!$H$7)),1,0)</f>
        <v>1</v>
      </c>
      <c r="L44" s="14" t="n">
        <f aca="false">IF(IF(前提条件!$H$12&lt;=前提条件!$I$12,AND($D44&gt;=前提条件!$H$12,$D44&lt;=前提条件!$I$12),OR($D44&gt;=前提条件!$H$12,$D44&lt;=前提条件!$I$12)),1,0)</f>
        <v>0</v>
      </c>
      <c r="M44" s="14" t="n">
        <f aca="false">IF(IF(前提条件!$H$13&lt;=前提条件!$I$13,AND($D44&gt;=前提条件!$H$13,$D44&lt;=前提条件!$I$13),OR($D44&gt;=前提条件!$H$13,$D44&lt;=前提条件!$I$13)),1,0)</f>
        <v>0</v>
      </c>
      <c r="N44" s="14" t="n">
        <f aca="false">IF(IF(前提条件!$H$14&lt;=前提条件!$I$14,AND($D44&gt;=前提条件!$H$14,$D44&lt;=前提条件!$I$14),OR($D44&gt;=前提条件!$H$14,$D44&lt;=前提条件!$I$14)),1,0)</f>
        <v>0</v>
      </c>
      <c r="O44" s="14" t="n">
        <f aca="false">IF(IF(前提条件!$H$15&lt;=前提条件!$I$15,AND($D44&gt;=前提条件!$H$15,$D44&lt;=前提条件!$I$15),OR($D44&gt;=前提条件!$H$15,$D44&lt;=前提条件!$I$15)),1,0)</f>
        <v>1</v>
      </c>
    </row>
    <row r="45" customFormat="false" ht="15" hidden="false" customHeight="false" outlineLevel="0" collapsed="false">
      <c r="A45" s="48" t="n">
        <v>2</v>
      </c>
      <c r="B45" s="48" t="n">
        <v>11</v>
      </c>
      <c r="C45" s="48" t="str">
        <f aca="false">A45&amp;"/"&amp;B45</f>
        <v>2/11</v>
      </c>
      <c r="D45" s="48" t="n">
        <f aca="false">A45*100+B45</f>
        <v>211</v>
      </c>
      <c r="E45" s="45" t="n">
        <f aca="false">IF(SUM(J45:K45)&gt;0,前提条件!$B$6,前提条件!$B$8)</f>
        <v>6</v>
      </c>
      <c r="F45" s="48" t="str">
        <f aca="false">IFERROR(INDEX(前提条件!$B$12:$B$15,MATCH(1,L45:O45,0)),"未設定")</f>
        <v>標準形</v>
      </c>
      <c r="G45" s="48" t="str">
        <f aca="false">IFERROR(INDEX(前提条件!$C$12:$C$15,MATCH(1,L45:O45,0)),"未設定")</f>
        <v>冬期</v>
      </c>
      <c r="H45" s="44" t="str">
        <f aca="false">"S値+"&amp;E45&amp;"／"&amp;F45&amp;"（"&amp;G45&amp;"）"</f>
        <v>S値+6／標準形（冬期）</v>
      </c>
      <c r="J45" s="14" t="n">
        <f aca="false">IF(IF(前提条件!$G$6&lt;=前提条件!$H$6,AND($D45&gt;=前提条件!$G$6,$D45&lt;=前提条件!$H$6),OR($D45&gt;=前提条件!$G$6,$D45&lt;=前提条件!$H$6)),1,0)</f>
        <v>0</v>
      </c>
      <c r="K45" s="14" t="n">
        <f aca="false">IF(IF(前提条件!$G$7&lt;=前提条件!$H$7,AND($D45&gt;=前提条件!$G$7,$D45&lt;=前提条件!$H$7),OR($D45&gt;=前提条件!$G$7,$D45&lt;=前提条件!$H$7)),1,0)</f>
        <v>1</v>
      </c>
      <c r="L45" s="14" t="n">
        <f aca="false">IF(IF(前提条件!$H$12&lt;=前提条件!$I$12,AND($D45&gt;=前提条件!$H$12,$D45&lt;=前提条件!$I$12),OR($D45&gt;=前提条件!$H$12,$D45&lt;=前提条件!$I$12)),1,0)</f>
        <v>0</v>
      </c>
      <c r="M45" s="14" t="n">
        <f aca="false">IF(IF(前提条件!$H$13&lt;=前提条件!$I$13,AND($D45&gt;=前提条件!$H$13,$D45&lt;=前提条件!$I$13),OR($D45&gt;=前提条件!$H$13,$D45&lt;=前提条件!$I$13)),1,0)</f>
        <v>0</v>
      </c>
      <c r="N45" s="14" t="n">
        <f aca="false">IF(IF(前提条件!$H$14&lt;=前提条件!$I$14,AND($D45&gt;=前提条件!$H$14,$D45&lt;=前提条件!$I$14),OR($D45&gt;=前提条件!$H$14,$D45&lt;=前提条件!$I$14)),1,0)</f>
        <v>0</v>
      </c>
      <c r="O45" s="14" t="n">
        <f aca="false">IF(IF(前提条件!$H$15&lt;=前提条件!$I$15,AND($D45&gt;=前提条件!$H$15,$D45&lt;=前提条件!$I$15),OR($D45&gt;=前提条件!$H$15,$D45&lt;=前提条件!$I$15)),1,0)</f>
        <v>1</v>
      </c>
    </row>
    <row r="46" customFormat="false" ht="15" hidden="false" customHeight="false" outlineLevel="0" collapsed="false">
      <c r="A46" s="48" t="n">
        <v>2</v>
      </c>
      <c r="B46" s="48" t="n">
        <v>12</v>
      </c>
      <c r="C46" s="48" t="str">
        <f aca="false">A46&amp;"/"&amp;B46</f>
        <v>2/12</v>
      </c>
      <c r="D46" s="48" t="n">
        <f aca="false">A46*100+B46</f>
        <v>212</v>
      </c>
      <c r="E46" s="45" t="n">
        <f aca="false">IF(SUM(J46:K46)&gt;0,前提条件!$B$6,前提条件!$B$8)</f>
        <v>6</v>
      </c>
      <c r="F46" s="48" t="str">
        <f aca="false">IFERROR(INDEX(前提条件!$B$12:$B$15,MATCH(1,L46:O46,0)),"未設定")</f>
        <v>標準形</v>
      </c>
      <c r="G46" s="48" t="str">
        <f aca="false">IFERROR(INDEX(前提条件!$C$12:$C$15,MATCH(1,L46:O46,0)),"未設定")</f>
        <v>冬期</v>
      </c>
      <c r="H46" s="44" t="str">
        <f aca="false">"S値+"&amp;E46&amp;"／"&amp;F46&amp;"（"&amp;G46&amp;"）"</f>
        <v>S値+6／標準形（冬期）</v>
      </c>
      <c r="J46" s="14" t="n">
        <f aca="false">IF(IF(前提条件!$G$6&lt;=前提条件!$H$6,AND($D46&gt;=前提条件!$G$6,$D46&lt;=前提条件!$H$6),OR($D46&gt;=前提条件!$G$6,$D46&lt;=前提条件!$H$6)),1,0)</f>
        <v>0</v>
      </c>
      <c r="K46" s="14" t="n">
        <f aca="false">IF(IF(前提条件!$G$7&lt;=前提条件!$H$7,AND($D46&gt;=前提条件!$G$7,$D46&lt;=前提条件!$H$7),OR($D46&gt;=前提条件!$G$7,$D46&lt;=前提条件!$H$7)),1,0)</f>
        <v>1</v>
      </c>
      <c r="L46" s="14" t="n">
        <f aca="false">IF(IF(前提条件!$H$12&lt;=前提条件!$I$12,AND($D46&gt;=前提条件!$H$12,$D46&lt;=前提条件!$I$12),OR($D46&gt;=前提条件!$H$12,$D46&lt;=前提条件!$I$12)),1,0)</f>
        <v>0</v>
      </c>
      <c r="M46" s="14" t="n">
        <f aca="false">IF(IF(前提条件!$H$13&lt;=前提条件!$I$13,AND($D46&gt;=前提条件!$H$13,$D46&lt;=前提条件!$I$13),OR($D46&gt;=前提条件!$H$13,$D46&lt;=前提条件!$I$13)),1,0)</f>
        <v>0</v>
      </c>
      <c r="N46" s="14" t="n">
        <f aca="false">IF(IF(前提条件!$H$14&lt;=前提条件!$I$14,AND($D46&gt;=前提条件!$H$14,$D46&lt;=前提条件!$I$14),OR($D46&gt;=前提条件!$H$14,$D46&lt;=前提条件!$I$14)),1,0)</f>
        <v>0</v>
      </c>
      <c r="O46" s="14" t="n">
        <f aca="false">IF(IF(前提条件!$H$15&lt;=前提条件!$I$15,AND($D46&gt;=前提条件!$H$15,$D46&lt;=前提条件!$I$15),OR($D46&gt;=前提条件!$H$15,$D46&lt;=前提条件!$I$15)),1,0)</f>
        <v>1</v>
      </c>
    </row>
    <row r="47" customFormat="false" ht="15" hidden="false" customHeight="false" outlineLevel="0" collapsed="false">
      <c r="A47" s="48" t="n">
        <v>2</v>
      </c>
      <c r="B47" s="48" t="n">
        <v>13</v>
      </c>
      <c r="C47" s="48" t="str">
        <f aca="false">A47&amp;"/"&amp;B47</f>
        <v>2/13</v>
      </c>
      <c r="D47" s="48" t="n">
        <f aca="false">A47*100+B47</f>
        <v>213</v>
      </c>
      <c r="E47" s="45" t="n">
        <f aca="false">IF(SUM(J47:K47)&gt;0,前提条件!$B$6,前提条件!$B$8)</f>
        <v>6</v>
      </c>
      <c r="F47" s="48" t="str">
        <f aca="false">IFERROR(INDEX(前提条件!$B$12:$B$15,MATCH(1,L47:O47,0)),"未設定")</f>
        <v>標準形</v>
      </c>
      <c r="G47" s="48" t="str">
        <f aca="false">IFERROR(INDEX(前提条件!$C$12:$C$15,MATCH(1,L47:O47,0)),"未設定")</f>
        <v>冬期</v>
      </c>
      <c r="H47" s="44" t="str">
        <f aca="false">"S値+"&amp;E47&amp;"／"&amp;F47&amp;"（"&amp;G47&amp;"）"</f>
        <v>S値+6／標準形（冬期）</v>
      </c>
      <c r="J47" s="14" t="n">
        <f aca="false">IF(IF(前提条件!$G$6&lt;=前提条件!$H$6,AND($D47&gt;=前提条件!$G$6,$D47&lt;=前提条件!$H$6),OR($D47&gt;=前提条件!$G$6,$D47&lt;=前提条件!$H$6)),1,0)</f>
        <v>0</v>
      </c>
      <c r="K47" s="14" t="n">
        <f aca="false">IF(IF(前提条件!$G$7&lt;=前提条件!$H$7,AND($D47&gt;=前提条件!$G$7,$D47&lt;=前提条件!$H$7),OR($D47&gt;=前提条件!$G$7,$D47&lt;=前提条件!$H$7)),1,0)</f>
        <v>1</v>
      </c>
      <c r="L47" s="14" t="n">
        <f aca="false">IF(IF(前提条件!$H$12&lt;=前提条件!$I$12,AND($D47&gt;=前提条件!$H$12,$D47&lt;=前提条件!$I$12),OR($D47&gt;=前提条件!$H$12,$D47&lt;=前提条件!$I$12)),1,0)</f>
        <v>0</v>
      </c>
      <c r="M47" s="14" t="n">
        <f aca="false">IF(IF(前提条件!$H$13&lt;=前提条件!$I$13,AND($D47&gt;=前提条件!$H$13,$D47&lt;=前提条件!$I$13),OR($D47&gt;=前提条件!$H$13,$D47&lt;=前提条件!$I$13)),1,0)</f>
        <v>0</v>
      </c>
      <c r="N47" s="14" t="n">
        <f aca="false">IF(IF(前提条件!$H$14&lt;=前提条件!$I$14,AND($D47&gt;=前提条件!$H$14,$D47&lt;=前提条件!$I$14),OR($D47&gt;=前提条件!$H$14,$D47&lt;=前提条件!$I$14)),1,0)</f>
        <v>0</v>
      </c>
      <c r="O47" s="14" t="n">
        <f aca="false">IF(IF(前提条件!$H$15&lt;=前提条件!$I$15,AND($D47&gt;=前提条件!$H$15,$D47&lt;=前提条件!$I$15),OR($D47&gt;=前提条件!$H$15,$D47&lt;=前提条件!$I$15)),1,0)</f>
        <v>1</v>
      </c>
    </row>
    <row r="48" customFormat="false" ht="15" hidden="false" customHeight="false" outlineLevel="0" collapsed="false">
      <c r="A48" s="48" t="n">
        <v>2</v>
      </c>
      <c r="B48" s="48" t="n">
        <v>14</v>
      </c>
      <c r="C48" s="48" t="str">
        <f aca="false">A48&amp;"/"&amp;B48</f>
        <v>2/14</v>
      </c>
      <c r="D48" s="48" t="n">
        <f aca="false">A48*100+B48</f>
        <v>214</v>
      </c>
      <c r="E48" s="45" t="n">
        <f aca="false">IF(SUM(J48:K48)&gt;0,前提条件!$B$6,前提条件!$B$8)</f>
        <v>6</v>
      </c>
      <c r="F48" s="48" t="str">
        <f aca="false">IFERROR(INDEX(前提条件!$B$12:$B$15,MATCH(1,L48:O48,0)),"未設定")</f>
        <v>標準形</v>
      </c>
      <c r="G48" s="48" t="str">
        <f aca="false">IFERROR(INDEX(前提条件!$C$12:$C$15,MATCH(1,L48:O48,0)),"未設定")</f>
        <v>冬期</v>
      </c>
      <c r="H48" s="44" t="str">
        <f aca="false">"S値+"&amp;E48&amp;"／"&amp;F48&amp;"（"&amp;G48&amp;"）"</f>
        <v>S値+6／標準形（冬期）</v>
      </c>
      <c r="J48" s="14" t="n">
        <f aca="false">IF(IF(前提条件!$G$6&lt;=前提条件!$H$6,AND($D48&gt;=前提条件!$G$6,$D48&lt;=前提条件!$H$6),OR($D48&gt;=前提条件!$G$6,$D48&lt;=前提条件!$H$6)),1,0)</f>
        <v>0</v>
      </c>
      <c r="K48" s="14" t="n">
        <f aca="false">IF(IF(前提条件!$G$7&lt;=前提条件!$H$7,AND($D48&gt;=前提条件!$G$7,$D48&lt;=前提条件!$H$7),OR($D48&gt;=前提条件!$G$7,$D48&lt;=前提条件!$H$7)),1,0)</f>
        <v>1</v>
      </c>
      <c r="L48" s="14" t="n">
        <f aca="false">IF(IF(前提条件!$H$12&lt;=前提条件!$I$12,AND($D48&gt;=前提条件!$H$12,$D48&lt;=前提条件!$I$12),OR($D48&gt;=前提条件!$H$12,$D48&lt;=前提条件!$I$12)),1,0)</f>
        <v>0</v>
      </c>
      <c r="M48" s="14" t="n">
        <f aca="false">IF(IF(前提条件!$H$13&lt;=前提条件!$I$13,AND($D48&gt;=前提条件!$H$13,$D48&lt;=前提条件!$I$13),OR($D48&gt;=前提条件!$H$13,$D48&lt;=前提条件!$I$13)),1,0)</f>
        <v>0</v>
      </c>
      <c r="N48" s="14" t="n">
        <f aca="false">IF(IF(前提条件!$H$14&lt;=前提条件!$I$14,AND($D48&gt;=前提条件!$H$14,$D48&lt;=前提条件!$I$14),OR($D48&gt;=前提条件!$H$14,$D48&lt;=前提条件!$I$14)),1,0)</f>
        <v>0</v>
      </c>
      <c r="O48" s="14" t="n">
        <f aca="false">IF(IF(前提条件!$H$15&lt;=前提条件!$I$15,AND($D48&gt;=前提条件!$H$15,$D48&lt;=前提条件!$I$15),OR($D48&gt;=前提条件!$H$15,$D48&lt;=前提条件!$I$15)),1,0)</f>
        <v>1</v>
      </c>
    </row>
    <row r="49" customFormat="false" ht="15" hidden="false" customHeight="false" outlineLevel="0" collapsed="false">
      <c r="A49" s="48" t="n">
        <v>2</v>
      </c>
      <c r="B49" s="48" t="n">
        <v>15</v>
      </c>
      <c r="C49" s="48" t="str">
        <f aca="false">A49&amp;"/"&amp;B49</f>
        <v>2/15</v>
      </c>
      <c r="D49" s="48" t="n">
        <f aca="false">A49*100+B49</f>
        <v>215</v>
      </c>
      <c r="E49" s="45" t="n">
        <f aca="false">IF(SUM(J49:K49)&gt;0,前提条件!$B$6,前提条件!$B$8)</f>
        <v>6</v>
      </c>
      <c r="F49" s="48" t="str">
        <f aca="false">IFERROR(INDEX(前提条件!$B$12:$B$15,MATCH(1,L49:O49,0)),"未設定")</f>
        <v>標準形</v>
      </c>
      <c r="G49" s="48" t="str">
        <f aca="false">IFERROR(INDEX(前提条件!$C$12:$C$15,MATCH(1,L49:O49,0)),"未設定")</f>
        <v>冬期</v>
      </c>
      <c r="H49" s="44" t="str">
        <f aca="false">"S値+"&amp;E49&amp;"／"&amp;F49&amp;"（"&amp;G49&amp;"）"</f>
        <v>S値+6／標準形（冬期）</v>
      </c>
      <c r="J49" s="14" t="n">
        <f aca="false">IF(IF(前提条件!$G$6&lt;=前提条件!$H$6,AND($D49&gt;=前提条件!$G$6,$D49&lt;=前提条件!$H$6),OR($D49&gt;=前提条件!$G$6,$D49&lt;=前提条件!$H$6)),1,0)</f>
        <v>0</v>
      </c>
      <c r="K49" s="14" t="n">
        <f aca="false">IF(IF(前提条件!$G$7&lt;=前提条件!$H$7,AND($D49&gt;=前提条件!$G$7,$D49&lt;=前提条件!$H$7),OR($D49&gt;=前提条件!$G$7,$D49&lt;=前提条件!$H$7)),1,0)</f>
        <v>1</v>
      </c>
      <c r="L49" s="14" t="n">
        <f aca="false">IF(IF(前提条件!$H$12&lt;=前提条件!$I$12,AND($D49&gt;=前提条件!$H$12,$D49&lt;=前提条件!$I$12),OR($D49&gt;=前提条件!$H$12,$D49&lt;=前提条件!$I$12)),1,0)</f>
        <v>0</v>
      </c>
      <c r="M49" s="14" t="n">
        <f aca="false">IF(IF(前提条件!$H$13&lt;=前提条件!$I$13,AND($D49&gt;=前提条件!$H$13,$D49&lt;=前提条件!$I$13),OR($D49&gt;=前提条件!$H$13,$D49&lt;=前提条件!$I$13)),1,0)</f>
        <v>0</v>
      </c>
      <c r="N49" s="14" t="n">
        <f aca="false">IF(IF(前提条件!$H$14&lt;=前提条件!$I$14,AND($D49&gt;=前提条件!$H$14,$D49&lt;=前提条件!$I$14),OR($D49&gt;=前提条件!$H$14,$D49&lt;=前提条件!$I$14)),1,0)</f>
        <v>0</v>
      </c>
      <c r="O49" s="14" t="n">
        <f aca="false">IF(IF(前提条件!$H$15&lt;=前提条件!$I$15,AND($D49&gt;=前提条件!$H$15,$D49&lt;=前提条件!$I$15),OR($D49&gt;=前提条件!$H$15,$D49&lt;=前提条件!$I$15)),1,0)</f>
        <v>1</v>
      </c>
    </row>
    <row r="50" customFormat="false" ht="15" hidden="false" customHeight="false" outlineLevel="0" collapsed="false">
      <c r="A50" s="48" t="n">
        <v>2</v>
      </c>
      <c r="B50" s="48" t="n">
        <v>16</v>
      </c>
      <c r="C50" s="48" t="str">
        <f aca="false">A50&amp;"/"&amp;B50</f>
        <v>2/16</v>
      </c>
      <c r="D50" s="48" t="n">
        <f aca="false">A50*100+B50</f>
        <v>216</v>
      </c>
      <c r="E50" s="45" t="n">
        <f aca="false">IF(SUM(J50:K50)&gt;0,前提条件!$B$6,前提条件!$B$8)</f>
        <v>6</v>
      </c>
      <c r="F50" s="48" t="str">
        <f aca="false">IFERROR(INDEX(前提条件!$B$12:$B$15,MATCH(1,L50:O50,0)),"未設定")</f>
        <v>標準形</v>
      </c>
      <c r="G50" s="48" t="str">
        <f aca="false">IFERROR(INDEX(前提条件!$C$12:$C$15,MATCH(1,L50:O50,0)),"未設定")</f>
        <v>冬期</v>
      </c>
      <c r="H50" s="44" t="str">
        <f aca="false">"S値+"&amp;E50&amp;"／"&amp;F50&amp;"（"&amp;G50&amp;"）"</f>
        <v>S値+6／標準形（冬期）</v>
      </c>
      <c r="J50" s="14" t="n">
        <f aca="false">IF(IF(前提条件!$G$6&lt;=前提条件!$H$6,AND($D50&gt;=前提条件!$G$6,$D50&lt;=前提条件!$H$6),OR($D50&gt;=前提条件!$G$6,$D50&lt;=前提条件!$H$6)),1,0)</f>
        <v>0</v>
      </c>
      <c r="K50" s="14" t="n">
        <f aca="false">IF(IF(前提条件!$G$7&lt;=前提条件!$H$7,AND($D50&gt;=前提条件!$G$7,$D50&lt;=前提条件!$H$7),OR($D50&gt;=前提条件!$G$7,$D50&lt;=前提条件!$H$7)),1,0)</f>
        <v>1</v>
      </c>
      <c r="L50" s="14" t="n">
        <f aca="false">IF(IF(前提条件!$H$12&lt;=前提条件!$I$12,AND($D50&gt;=前提条件!$H$12,$D50&lt;=前提条件!$I$12),OR($D50&gt;=前提条件!$H$12,$D50&lt;=前提条件!$I$12)),1,0)</f>
        <v>0</v>
      </c>
      <c r="M50" s="14" t="n">
        <f aca="false">IF(IF(前提条件!$H$13&lt;=前提条件!$I$13,AND($D50&gt;=前提条件!$H$13,$D50&lt;=前提条件!$I$13),OR($D50&gt;=前提条件!$H$13,$D50&lt;=前提条件!$I$13)),1,0)</f>
        <v>0</v>
      </c>
      <c r="N50" s="14" t="n">
        <f aca="false">IF(IF(前提条件!$H$14&lt;=前提条件!$I$14,AND($D50&gt;=前提条件!$H$14,$D50&lt;=前提条件!$I$14),OR($D50&gt;=前提条件!$H$14,$D50&lt;=前提条件!$I$14)),1,0)</f>
        <v>0</v>
      </c>
      <c r="O50" s="14" t="n">
        <f aca="false">IF(IF(前提条件!$H$15&lt;=前提条件!$I$15,AND($D50&gt;=前提条件!$H$15,$D50&lt;=前提条件!$I$15),OR($D50&gt;=前提条件!$H$15,$D50&lt;=前提条件!$I$15)),1,0)</f>
        <v>1</v>
      </c>
    </row>
    <row r="51" customFormat="false" ht="15" hidden="false" customHeight="false" outlineLevel="0" collapsed="false">
      <c r="A51" s="48" t="n">
        <v>2</v>
      </c>
      <c r="B51" s="48" t="n">
        <v>17</v>
      </c>
      <c r="C51" s="48" t="str">
        <f aca="false">A51&amp;"/"&amp;B51</f>
        <v>2/17</v>
      </c>
      <c r="D51" s="48" t="n">
        <f aca="false">A51*100+B51</f>
        <v>217</v>
      </c>
      <c r="E51" s="45" t="n">
        <f aca="false">IF(SUM(J51:K51)&gt;0,前提条件!$B$6,前提条件!$B$8)</f>
        <v>6</v>
      </c>
      <c r="F51" s="48" t="str">
        <f aca="false">IFERROR(INDEX(前提条件!$B$12:$B$15,MATCH(1,L51:O51,0)),"未設定")</f>
        <v>標準形</v>
      </c>
      <c r="G51" s="48" t="str">
        <f aca="false">IFERROR(INDEX(前提条件!$C$12:$C$15,MATCH(1,L51:O51,0)),"未設定")</f>
        <v>冬期</v>
      </c>
      <c r="H51" s="44" t="str">
        <f aca="false">"S値+"&amp;E51&amp;"／"&amp;F51&amp;"（"&amp;G51&amp;"）"</f>
        <v>S値+6／標準形（冬期）</v>
      </c>
      <c r="J51" s="14" t="n">
        <f aca="false">IF(IF(前提条件!$G$6&lt;=前提条件!$H$6,AND($D51&gt;=前提条件!$G$6,$D51&lt;=前提条件!$H$6),OR($D51&gt;=前提条件!$G$6,$D51&lt;=前提条件!$H$6)),1,0)</f>
        <v>0</v>
      </c>
      <c r="K51" s="14" t="n">
        <f aca="false">IF(IF(前提条件!$G$7&lt;=前提条件!$H$7,AND($D51&gt;=前提条件!$G$7,$D51&lt;=前提条件!$H$7),OR($D51&gt;=前提条件!$G$7,$D51&lt;=前提条件!$H$7)),1,0)</f>
        <v>1</v>
      </c>
      <c r="L51" s="14" t="n">
        <f aca="false">IF(IF(前提条件!$H$12&lt;=前提条件!$I$12,AND($D51&gt;=前提条件!$H$12,$D51&lt;=前提条件!$I$12),OR($D51&gt;=前提条件!$H$12,$D51&lt;=前提条件!$I$12)),1,0)</f>
        <v>0</v>
      </c>
      <c r="M51" s="14" t="n">
        <f aca="false">IF(IF(前提条件!$H$13&lt;=前提条件!$I$13,AND($D51&gt;=前提条件!$H$13,$D51&lt;=前提条件!$I$13),OR($D51&gt;=前提条件!$H$13,$D51&lt;=前提条件!$I$13)),1,0)</f>
        <v>0</v>
      </c>
      <c r="N51" s="14" t="n">
        <f aca="false">IF(IF(前提条件!$H$14&lt;=前提条件!$I$14,AND($D51&gt;=前提条件!$H$14,$D51&lt;=前提条件!$I$14),OR($D51&gt;=前提条件!$H$14,$D51&lt;=前提条件!$I$14)),1,0)</f>
        <v>0</v>
      </c>
      <c r="O51" s="14" t="n">
        <f aca="false">IF(IF(前提条件!$H$15&lt;=前提条件!$I$15,AND($D51&gt;=前提条件!$H$15,$D51&lt;=前提条件!$I$15),OR($D51&gt;=前提条件!$H$15,$D51&lt;=前提条件!$I$15)),1,0)</f>
        <v>1</v>
      </c>
    </row>
    <row r="52" customFormat="false" ht="15" hidden="false" customHeight="false" outlineLevel="0" collapsed="false">
      <c r="A52" s="48" t="n">
        <v>2</v>
      </c>
      <c r="B52" s="48" t="n">
        <v>18</v>
      </c>
      <c r="C52" s="48" t="str">
        <f aca="false">A52&amp;"/"&amp;B52</f>
        <v>2/18</v>
      </c>
      <c r="D52" s="48" t="n">
        <f aca="false">A52*100+B52</f>
        <v>218</v>
      </c>
      <c r="E52" s="45" t="n">
        <f aca="false">IF(SUM(J52:K52)&gt;0,前提条件!$B$6,前提条件!$B$8)</f>
        <v>6</v>
      </c>
      <c r="F52" s="48" t="str">
        <f aca="false">IFERROR(INDEX(前提条件!$B$12:$B$15,MATCH(1,L52:O52,0)),"未設定")</f>
        <v>標準形</v>
      </c>
      <c r="G52" s="48" t="str">
        <f aca="false">IFERROR(INDEX(前提条件!$C$12:$C$15,MATCH(1,L52:O52,0)),"未設定")</f>
        <v>冬期</v>
      </c>
      <c r="H52" s="44" t="str">
        <f aca="false">"S値+"&amp;E52&amp;"／"&amp;F52&amp;"（"&amp;G52&amp;"）"</f>
        <v>S値+6／標準形（冬期）</v>
      </c>
      <c r="J52" s="14" t="n">
        <f aca="false">IF(IF(前提条件!$G$6&lt;=前提条件!$H$6,AND($D52&gt;=前提条件!$G$6,$D52&lt;=前提条件!$H$6),OR($D52&gt;=前提条件!$G$6,$D52&lt;=前提条件!$H$6)),1,0)</f>
        <v>0</v>
      </c>
      <c r="K52" s="14" t="n">
        <f aca="false">IF(IF(前提条件!$G$7&lt;=前提条件!$H$7,AND($D52&gt;=前提条件!$G$7,$D52&lt;=前提条件!$H$7),OR($D52&gt;=前提条件!$G$7,$D52&lt;=前提条件!$H$7)),1,0)</f>
        <v>1</v>
      </c>
      <c r="L52" s="14" t="n">
        <f aca="false">IF(IF(前提条件!$H$12&lt;=前提条件!$I$12,AND($D52&gt;=前提条件!$H$12,$D52&lt;=前提条件!$I$12),OR($D52&gt;=前提条件!$H$12,$D52&lt;=前提条件!$I$12)),1,0)</f>
        <v>0</v>
      </c>
      <c r="M52" s="14" t="n">
        <f aca="false">IF(IF(前提条件!$H$13&lt;=前提条件!$I$13,AND($D52&gt;=前提条件!$H$13,$D52&lt;=前提条件!$I$13),OR($D52&gt;=前提条件!$H$13,$D52&lt;=前提条件!$I$13)),1,0)</f>
        <v>0</v>
      </c>
      <c r="N52" s="14" t="n">
        <f aca="false">IF(IF(前提条件!$H$14&lt;=前提条件!$I$14,AND($D52&gt;=前提条件!$H$14,$D52&lt;=前提条件!$I$14),OR($D52&gt;=前提条件!$H$14,$D52&lt;=前提条件!$I$14)),1,0)</f>
        <v>0</v>
      </c>
      <c r="O52" s="14" t="n">
        <f aca="false">IF(IF(前提条件!$H$15&lt;=前提条件!$I$15,AND($D52&gt;=前提条件!$H$15,$D52&lt;=前提条件!$I$15),OR($D52&gt;=前提条件!$H$15,$D52&lt;=前提条件!$I$15)),1,0)</f>
        <v>1</v>
      </c>
    </row>
    <row r="53" customFormat="false" ht="15" hidden="false" customHeight="false" outlineLevel="0" collapsed="false">
      <c r="A53" s="48" t="n">
        <v>2</v>
      </c>
      <c r="B53" s="48" t="n">
        <v>19</v>
      </c>
      <c r="C53" s="48" t="str">
        <f aca="false">A53&amp;"/"&amp;B53</f>
        <v>2/19</v>
      </c>
      <c r="D53" s="48" t="n">
        <f aca="false">A53*100+B53</f>
        <v>219</v>
      </c>
      <c r="E53" s="45" t="n">
        <f aca="false">IF(SUM(J53:K53)&gt;0,前提条件!$B$6,前提条件!$B$8)</f>
        <v>6</v>
      </c>
      <c r="F53" s="48" t="str">
        <f aca="false">IFERROR(INDEX(前提条件!$B$12:$B$15,MATCH(1,L53:O53,0)),"未設定")</f>
        <v>標準形</v>
      </c>
      <c r="G53" s="48" t="str">
        <f aca="false">IFERROR(INDEX(前提条件!$C$12:$C$15,MATCH(1,L53:O53,0)),"未設定")</f>
        <v>冬期</v>
      </c>
      <c r="H53" s="44" t="str">
        <f aca="false">"S値+"&amp;E53&amp;"／"&amp;F53&amp;"（"&amp;G53&amp;"）"</f>
        <v>S値+6／標準形（冬期）</v>
      </c>
      <c r="J53" s="14" t="n">
        <f aca="false">IF(IF(前提条件!$G$6&lt;=前提条件!$H$6,AND($D53&gt;=前提条件!$G$6,$D53&lt;=前提条件!$H$6),OR($D53&gt;=前提条件!$G$6,$D53&lt;=前提条件!$H$6)),1,0)</f>
        <v>0</v>
      </c>
      <c r="K53" s="14" t="n">
        <f aca="false">IF(IF(前提条件!$G$7&lt;=前提条件!$H$7,AND($D53&gt;=前提条件!$G$7,$D53&lt;=前提条件!$H$7),OR($D53&gt;=前提条件!$G$7,$D53&lt;=前提条件!$H$7)),1,0)</f>
        <v>1</v>
      </c>
      <c r="L53" s="14" t="n">
        <f aca="false">IF(IF(前提条件!$H$12&lt;=前提条件!$I$12,AND($D53&gt;=前提条件!$H$12,$D53&lt;=前提条件!$I$12),OR($D53&gt;=前提条件!$H$12,$D53&lt;=前提条件!$I$12)),1,0)</f>
        <v>0</v>
      </c>
      <c r="M53" s="14" t="n">
        <f aca="false">IF(IF(前提条件!$H$13&lt;=前提条件!$I$13,AND($D53&gt;=前提条件!$H$13,$D53&lt;=前提条件!$I$13),OR($D53&gt;=前提条件!$H$13,$D53&lt;=前提条件!$I$13)),1,0)</f>
        <v>0</v>
      </c>
      <c r="N53" s="14" t="n">
        <f aca="false">IF(IF(前提条件!$H$14&lt;=前提条件!$I$14,AND($D53&gt;=前提条件!$H$14,$D53&lt;=前提条件!$I$14),OR($D53&gt;=前提条件!$H$14,$D53&lt;=前提条件!$I$14)),1,0)</f>
        <v>0</v>
      </c>
      <c r="O53" s="14" t="n">
        <f aca="false">IF(IF(前提条件!$H$15&lt;=前提条件!$I$15,AND($D53&gt;=前提条件!$H$15,$D53&lt;=前提条件!$I$15),OR($D53&gt;=前提条件!$H$15,$D53&lt;=前提条件!$I$15)),1,0)</f>
        <v>1</v>
      </c>
    </row>
    <row r="54" customFormat="false" ht="15" hidden="false" customHeight="false" outlineLevel="0" collapsed="false">
      <c r="A54" s="48" t="n">
        <v>2</v>
      </c>
      <c r="B54" s="48" t="n">
        <v>20</v>
      </c>
      <c r="C54" s="48" t="str">
        <f aca="false">A54&amp;"/"&amp;B54</f>
        <v>2/20</v>
      </c>
      <c r="D54" s="48" t="n">
        <f aca="false">A54*100+B54</f>
        <v>220</v>
      </c>
      <c r="E54" s="45" t="n">
        <f aca="false">IF(SUM(J54:K54)&gt;0,前提条件!$B$6,前提条件!$B$8)</f>
        <v>6</v>
      </c>
      <c r="F54" s="48" t="str">
        <f aca="false">IFERROR(INDEX(前提条件!$B$12:$B$15,MATCH(1,L54:O54,0)),"未設定")</f>
        <v>標準形</v>
      </c>
      <c r="G54" s="48" t="str">
        <f aca="false">IFERROR(INDEX(前提条件!$C$12:$C$15,MATCH(1,L54:O54,0)),"未設定")</f>
        <v>冬期</v>
      </c>
      <c r="H54" s="44" t="str">
        <f aca="false">"S値+"&amp;E54&amp;"／"&amp;F54&amp;"（"&amp;G54&amp;"）"</f>
        <v>S値+6／標準形（冬期）</v>
      </c>
      <c r="J54" s="14" t="n">
        <f aca="false">IF(IF(前提条件!$G$6&lt;=前提条件!$H$6,AND($D54&gt;=前提条件!$G$6,$D54&lt;=前提条件!$H$6),OR($D54&gt;=前提条件!$G$6,$D54&lt;=前提条件!$H$6)),1,0)</f>
        <v>0</v>
      </c>
      <c r="K54" s="14" t="n">
        <f aca="false">IF(IF(前提条件!$G$7&lt;=前提条件!$H$7,AND($D54&gt;=前提条件!$G$7,$D54&lt;=前提条件!$H$7),OR($D54&gt;=前提条件!$G$7,$D54&lt;=前提条件!$H$7)),1,0)</f>
        <v>1</v>
      </c>
      <c r="L54" s="14" t="n">
        <f aca="false">IF(IF(前提条件!$H$12&lt;=前提条件!$I$12,AND($D54&gt;=前提条件!$H$12,$D54&lt;=前提条件!$I$12),OR($D54&gt;=前提条件!$H$12,$D54&lt;=前提条件!$I$12)),1,0)</f>
        <v>0</v>
      </c>
      <c r="M54" s="14" t="n">
        <f aca="false">IF(IF(前提条件!$H$13&lt;=前提条件!$I$13,AND($D54&gt;=前提条件!$H$13,$D54&lt;=前提条件!$I$13),OR($D54&gt;=前提条件!$H$13,$D54&lt;=前提条件!$I$13)),1,0)</f>
        <v>0</v>
      </c>
      <c r="N54" s="14" t="n">
        <f aca="false">IF(IF(前提条件!$H$14&lt;=前提条件!$I$14,AND($D54&gt;=前提条件!$H$14,$D54&lt;=前提条件!$I$14),OR($D54&gt;=前提条件!$H$14,$D54&lt;=前提条件!$I$14)),1,0)</f>
        <v>0</v>
      </c>
      <c r="O54" s="14" t="n">
        <f aca="false">IF(IF(前提条件!$H$15&lt;=前提条件!$I$15,AND($D54&gt;=前提条件!$H$15,$D54&lt;=前提条件!$I$15),OR($D54&gt;=前提条件!$H$15,$D54&lt;=前提条件!$I$15)),1,0)</f>
        <v>1</v>
      </c>
    </row>
    <row r="55" customFormat="false" ht="15" hidden="false" customHeight="false" outlineLevel="0" collapsed="false">
      <c r="A55" s="48" t="n">
        <v>2</v>
      </c>
      <c r="B55" s="48" t="n">
        <v>21</v>
      </c>
      <c r="C55" s="48" t="str">
        <f aca="false">A55&amp;"/"&amp;B55</f>
        <v>2/21</v>
      </c>
      <c r="D55" s="48" t="n">
        <f aca="false">A55*100+B55</f>
        <v>221</v>
      </c>
      <c r="E55" s="45" t="n">
        <f aca="false">IF(SUM(J55:K55)&gt;0,前提条件!$B$6,前提条件!$B$8)</f>
        <v>3</v>
      </c>
      <c r="F55" s="48" t="str">
        <f aca="false">IFERROR(INDEX(前提条件!$B$12:$B$15,MATCH(1,L55:O55,0)),"未設定")</f>
        <v>標準形</v>
      </c>
      <c r="G55" s="48" t="str">
        <f aca="false">IFERROR(INDEX(前提条件!$C$12:$C$15,MATCH(1,L55:O55,0)),"未設定")</f>
        <v>冬期</v>
      </c>
      <c r="H55" s="44" t="str">
        <f aca="false">"S値+"&amp;E55&amp;"／"&amp;F55&amp;"（"&amp;G55&amp;"）"</f>
        <v>S値+3／標準形（冬期）</v>
      </c>
      <c r="J55" s="14" t="n">
        <f aca="false">IF(IF(前提条件!$G$6&lt;=前提条件!$H$6,AND($D55&gt;=前提条件!$G$6,$D55&lt;=前提条件!$H$6),OR($D55&gt;=前提条件!$G$6,$D55&lt;=前提条件!$H$6)),1,0)</f>
        <v>0</v>
      </c>
      <c r="K55" s="14" t="n">
        <f aca="false">IF(IF(前提条件!$G$7&lt;=前提条件!$H$7,AND($D55&gt;=前提条件!$G$7,$D55&lt;=前提条件!$H$7),OR($D55&gt;=前提条件!$G$7,$D55&lt;=前提条件!$H$7)),1,0)</f>
        <v>0</v>
      </c>
      <c r="L55" s="14" t="n">
        <f aca="false">IF(IF(前提条件!$H$12&lt;=前提条件!$I$12,AND($D55&gt;=前提条件!$H$12,$D55&lt;=前提条件!$I$12),OR($D55&gt;=前提条件!$H$12,$D55&lt;=前提条件!$I$12)),1,0)</f>
        <v>0</v>
      </c>
      <c r="M55" s="14" t="n">
        <f aca="false">IF(IF(前提条件!$H$13&lt;=前提条件!$I$13,AND($D55&gt;=前提条件!$H$13,$D55&lt;=前提条件!$I$13),OR($D55&gt;=前提条件!$H$13,$D55&lt;=前提条件!$I$13)),1,0)</f>
        <v>0</v>
      </c>
      <c r="N55" s="14" t="n">
        <f aca="false">IF(IF(前提条件!$H$14&lt;=前提条件!$I$14,AND($D55&gt;=前提条件!$H$14,$D55&lt;=前提条件!$I$14),OR($D55&gt;=前提条件!$H$14,$D55&lt;=前提条件!$I$14)),1,0)</f>
        <v>0</v>
      </c>
      <c r="O55" s="14" t="n">
        <f aca="false">IF(IF(前提条件!$H$15&lt;=前提条件!$I$15,AND($D55&gt;=前提条件!$H$15,$D55&lt;=前提条件!$I$15),OR($D55&gt;=前提条件!$H$15,$D55&lt;=前提条件!$I$15)),1,0)</f>
        <v>1</v>
      </c>
    </row>
    <row r="56" customFormat="false" ht="15" hidden="false" customHeight="false" outlineLevel="0" collapsed="false">
      <c r="A56" s="48" t="n">
        <v>2</v>
      </c>
      <c r="B56" s="48" t="n">
        <v>22</v>
      </c>
      <c r="C56" s="48" t="str">
        <f aca="false">A56&amp;"/"&amp;B56</f>
        <v>2/22</v>
      </c>
      <c r="D56" s="48" t="n">
        <f aca="false">A56*100+B56</f>
        <v>222</v>
      </c>
      <c r="E56" s="45" t="n">
        <f aca="false">IF(SUM(J56:K56)&gt;0,前提条件!$B$6,前提条件!$B$8)</f>
        <v>3</v>
      </c>
      <c r="F56" s="48" t="str">
        <f aca="false">IFERROR(INDEX(前提条件!$B$12:$B$15,MATCH(1,L56:O56,0)),"未設定")</f>
        <v>標準形</v>
      </c>
      <c r="G56" s="48" t="str">
        <f aca="false">IFERROR(INDEX(前提条件!$C$12:$C$15,MATCH(1,L56:O56,0)),"未設定")</f>
        <v>冬期</v>
      </c>
      <c r="H56" s="44" t="str">
        <f aca="false">"S値+"&amp;E56&amp;"／"&amp;F56&amp;"（"&amp;G56&amp;"）"</f>
        <v>S値+3／標準形（冬期）</v>
      </c>
      <c r="J56" s="14" t="n">
        <f aca="false">IF(IF(前提条件!$G$6&lt;=前提条件!$H$6,AND($D56&gt;=前提条件!$G$6,$D56&lt;=前提条件!$H$6),OR($D56&gt;=前提条件!$G$6,$D56&lt;=前提条件!$H$6)),1,0)</f>
        <v>0</v>
      </c>
      <c r="K56" s="14" t="n">
        <f aca="false">IF(IF(前提条件!$G$7&lt;=前提条件!$H$7,AND($D56&gt;=前提条件!$G$7,$D56&lt;=前提条件!$H$7),OR($D56&gt;=前提条件!$G$7,$D56&lt;=前提条件!$H$7)),1,0)</f>
        <v>0</v>
      </c>
      <c r="L56" s="14" t="n">
        <f aca="false">IF(IF(前提条件!$H$12&lt;=前提条件!$I$12,AND($D56&gt;=前提条件!$H$12,$D56&lt;=前提条件!$I$12),OR($D56&gt;=前提条件!$H$12,$D56&lt;=前提条件!$I$12)),1,0)</f>
        <v>0</v>
      </c>
      <c r="M56" s="14" t="n">
        <f aca="false">IF(IF(前提条件!$H$13&lt;=前提条件!$I$13,AND($D56&gt;=前提条件!$H$13,$D56&lt;=前提条件!$I$13),OR($D56&gt;=前提条件!$H$13,$D56&lt;=前提条件!$I$13)),1,0)</f>
        <v>0</v>
      </c>
      <c r="N56" s="14" t="n">
        <f aca="false">IF(IF(前提条件!$H$14&lt;=前提条件!$I$14,AND($D56&gt;=前提条件!$H$14,$D56&lt;=前提条件!$I$14),OR($D56&gt;=前提条件!$H$14,$D56&lt;=前提条件!$I$14)),1,0)</f>
        <v>0</v>
      </c>
      <c r="O56" s="14" t="n">
        <f aca="false">IF(IF(前提条件!$H$15&lt;=前提条件!$I$15,AND($D56&gt;=前提条件!$H$15,$D56&lt;=前提条件!$I$15),OR($D56&gt;=前提条件!$H$15,$D56&lt;=前提条件!$I$15)),1,0)</f>
        <v>1</v>
      </c>
    </row>
    <row r="57" customFormat="false" ht="15" hidden="false" customHeight="false" outlineLevel="0" collapsed="false">
      <c r="A57" s="48" t="n">
        <v>2</v>
      </c>
      <c r="B57" s="48" t="n">
        <v>23</v>
      </c>
      <c r="C57" s="48" t="str">
        <f aca="false">A57&amp;"/"&amp;B57</f>
        <v>2/23</v>
      </c>
      <c r="D57" s="48" t="n">
        <f aca="false">A57*100+B57</f>
        <v>223</v>
      </c>
      <c r="E57" s="45" t="n">
        <f aca="false">IF(SUM(J57:K57)&gt;0,前提条件!$B$6,前提条件!$B$8)</f>
        <v>3</v>
      </c>
      <c r="F57" s="48" t="str">
        <f aca="false">IFERROR(INDEX(前提条件!$B$12:$B$15,MATCH(1,L57:O57,0)),"未設定")</f>
        <v>標準形</v>
      </c>
      <c r="G57" s="48" t="str">
        <f aca="false">IFERROR(INDEX(前提条件!$C$12:$C$15,MATCH(1,L57:O57,0)),"未設定")</f>
        <v>冬期</v>
      </c>
      <c r="H57" s="44" t="str">
        <f aca="false">"S値+"&amp;E57&amp;"／"&amp;F57&amp;"（"&amp;G57&amp;"）"</f>
        <v>S値+3／標準形（冬期）</v>
      </c>
      <c r="J57" s="14" t="n">
        <f aca="false">IF(IF(前提条件!$G$6&lt;=前提条件!$H$6,AND($D57&gt;=前提条件!$G$6,$D57&lt;=前提条件!$H$6),OR($D57&gt;=前提条件!$G$6,$D57&lt;=前提条件!$H$6)),1,0)</f>
        <v>0</v>
      </c>
      <c r="K57" s="14" t="n">
        <f aca="false">IF(IF(前提条件!$G$7&lt;=前提条件!$H$7,AND($D57&gt;=前提条件!$G$7,$D57&lt;=前提条件!$H$7),OR($D57&gt;=前提条件!$G$7,$D57&lt;=前提条件!$H$7)),1,0)</f>
        <v>0</v>
      </c>
      <c r="L57" s="14" t="n">
        <f aca="false">IF(IF(前提条件!$H$12&lt;=前提条件!$I$12,AND($D57&gt;=前提条件!$H$12,$D57&lt;=前提条件!$I$12),OR($D57&gt;=前提条件!$H$12,$D57&lt;=前提条件!$I$12)),1,0)</f>
        <v>0</v>
      </c>
      <c r="M57" s="14" t="n">
        <f aca="false">IF(IF(前提条件!$H$13&lt;=前提条件!$I$13,AND($D57&gt;=前提条件!$H$13,$D57&lt;=前提条件!$I$13),OR($D57&gt;=前提条件!$H$13,$D57&lt;=前提条件!$I$13)),1,0)</f>
        <v>0</v>
      </c>
      <c r="N57" s="14" t="n">
        <f aca="false">IF(IF(前提条件!$H$14&lt;=前提条件!$I$14,AND($D57&gt;=前提条件!$H$14,$D57&lt;=前提条件!$I$14),OR($D57&gt;=前提条件!$H$14,$D57&lt;=前提条件!$I$14)),1,0)</f>
        <v>0</v>
      </c>
      <c r="O57" s="14" t="n">
        <f aca="false">IF(IF(前提条件!$H$15&lt;=前提条件!$I$15,AND($D57&gt;=前提条件!$H$15,$D57&lt;=前提条件!$I$15),OR($D57&gt;=前提条件!$H$15,$D57&lt;=前提条件!$I$15)),1,0)</f>
        <v>1</v>
      </c>
    </row>
    <row r="58" customFormat="false" ht="15" hidden="false" customHeight="false" outlineLevel="0" collapsed="false">
      <c r="A58" s="48" t="n">
        <v>2</v>
      </c>
      <c r="B58" s="48" t="n">
        <v>24</v>
      </c>
      <c r="C58" s="48" t="str">
        <f aca="false">A58&amp;"/"&amp;B58</f>
        <v>2/24</v>
      </c>
      <c r="D58" s="48" t="n">
        <f aca="false">A58*100+B58</f>
        <v>224</v>
      </c>
      <c r="E58" s="45" t="n">
        <f aca="false">IF(SUM(J58:K58)&gt;0,前提条件!$B$6,前提条件!$B$8)</f>
        <v>3</v>
      </c>
      <c r="F58" s="48" t="str">
        <f aca="false">IFERROR(INDEX(前提条件!$B$12:$B$15,MATCH(1,L58:O58,0)),"未設定")</f>
        <v>標準形</v>
      </c>
      <c r="G58" s="48" t="str">
        <f aca="false">IFERROR(INDEX(前提条件!$C$12:$C$15,MATCH(1,L58:O58,0)),"未設定")</f>
        <v>冬期</v>
      </c>
      <c r="H58" s="44" t="str">
        <f aca="false">"S値+"&amp;E58&amp;"／"&amp;F58&amp;"（"&amp;G58&amp;"）"</f>
        <v>S値+3／標準形（冬期）</v>
      </c>
      <c r="J58" s="14" t="n">
        <f aca="false">IF(IF(前提条件!$G$6&lt;=前提条件!$H$6,AND($D58&gt;=前提条件!$G$6,$D58&lt;=前提条件!$H$6),OR($D58&gt;=前提条件!$G$6,$D58&lt;=前提条件!$H$6)),1,0)</f>
        <v>0</v>
      </c>
      <c r="K58" s="14" t="n">
        <f aca="false">IF(IF(前提条件!$G$7&lt;=前提条件!$H$7,AND($D58&gt;=前提条件!$G$7,$D58&lt;=前提条件!$H$7),OR($D58&gt;=前提条件!$G$7,$D58&lt;=前提条件!$H$7)),1,0)</f>
        <v>0</v>
      </c>
      <c r="L58" s="14" t="n">
        <f aca="false">IF(IF(前提条件!$H$12&lt;=前提条件!$I$12,AND($D58&gt;=前提条件!$H$12,$D58&lt;=前提条件!$I$12),OR($D58&gt;=前提条件!$H$12,$D58&lt;=前提条件!$I$12)),1,0)</f>
        <v>0</v>
      </c>
      <c r="M58" s="14" t="n">
        <f aca="false">IF(IF(前提条件!$H$13&lt;=前提条件!$I$13,AND($D58&gt;=前提条件!$H$13,$D58&lt;=前提条件!$I$13),OR($D58&gt;=前提条件!$H$13,$D58&lt;=前提条件!$I$13)),1,0)</f>
        <v>0</v>
      </c>
      <c r="N58" s="14" t="n">
        <f aca="false">IF(IF(前提条件!$H$14&lt;=前提条件!$I$14,AND($D58&gt;=前提条件!$H$14,$D58&lt;=前提条件!$I$14),OR($D58&gt;=前提条件!$H$14,$D58&lt;=前提条件!$I$14)),1,0)</f>
        <v>0</v>
      </c>
      <c r="O58" s="14" t="n">
        <f aca="false">IF(IF(前提条件!$H$15&lt;=前提条件!$I$15,AND($D58&gt;=前提条件!$H$15,$D58&lt;=前提条件!$I$15),OR($D58&gt;=前提条件!$H$15,$D58&lt;=前提条件!$I$15)),1,0)</f>
        <v>1</v>
      </c>
    </row>
    <row r="59" customFormat="false" ht="15" hidden="false" customHeight="false" outlineLevel="0" collapsed="false">
      <c r="A59" s="48" t="n">
        <v>2</v>
      </c>
      <c r="B59" s="48" t="n">
        <v>25</v>
      </c>
      <c r="C59" s="48" t="str">
        <f aca="false">A59&amp;"/"&amp;B59</f>
        <v>2/25</v>
      </c>
      <c r="D59" s="48" t="n">
        <f aca="false">A59*100+B59</f>
        <v>225</v>
      </c>
      <c r="E59" s="45" t="n">
        <f aca="false">IF(SUM(J59:K59)&gt;0,前提条件!$B$6,前提条件!$B$8)</f>
        <v>3</v>
      </c>
      <c r="F59" s="48" t="str">
        <f aca="false">IFERROR(INDEX(前提条件!$B$12:$B$15,MATCH(1,L59:O59,0)),"未設定")</f>
        <v>標準形</v>
      </c>
      <c r="G59" s="48" t="str">
        <f aca="false">IFERROR(INDEX(前提条件!$C$12:$C$15,MATCH(1,L59:O59,0)),"未設定")</f>
        <v>冬期</v>
      </c>
      <c r="H59" s="44" t="str">
        <f aca="false">"S値+"&amp;E59&amp;"／"&amp;F59&amp;"（"&amp;G59&amp;"）"</f>
        <v>S値+3／標準形（冬期）</v>
      </c>
      <c r="J59" s="14" t="n">
        <f aca="false">IF(IF(前提条件!$G$6&lt;=前提条件!$H$6,AND($D59&gt;=前提条件!$G$6,$D59&lt;=前提条件!$H$6),OR($D59&gt;=前提条件!$G$6,$D59&lt;=前提条件!$H$6)),1,0)</f>
        <v>0</v>
      </c>
      <c r="K59" s="14" t="n">
        <f aca="false">IF(IF(前提条件!$G$7&lt;=前提条件!$H$7,AND($D59&gt;=前提条件!$G$7,$D59&lt;=前提条件!$H$7),OR($D59&gt;=前提条件!$G$7,$D59&lt;=前提条件!$H$7)),1,0)</f>
        <v>0</v>
      </c>
      <c r="L59" s="14" t="n">
        <f aca="false">IF(IF(前提条件!$H$12&lt;=前提条件!$I$12,AND($D59&gt;=前提条件!$H$12,$D59&lt;=前提条件!$I$12),OR($D59&gt;=前提条件!$H$12,$D59&lt;=前提条件!$I$12)),1,0)</f>
        <v>0</v>
      </c>
      <c r="M59" s="14" t="n">
        <f aca="false">IF(IF(前提条件!$H$13&lt;=前提条件!$I$13,AND($D59&gt;=前提条件!$H$13,$D59&lt;=前提条件!$I$13),OR($D59&gt;=前提条件!$H$13,$D59&lt;=前提条件!$I$13)),1,0)</f>
        <v>0</v>
      </c>
      <c r="N59" s="14" t="n">
        <f aca="false">IF(IF(前提条件!$H$14&lt;=前提条件!$I$14,AND($D59&gt;=前提条件!$H$14,$D59&lt;=前提条件!$I$14),OR($D59&gt;=前提条件!$H$14,$D59&lt;=前提条件!$I$14)),1,0)</f>
        <v>0</v>
      </c>
      <c r="O59" s="14" t="n">
        <f aca="false">IF(IF(前提条件!$H$15&lt;=前提条件!$I$15,AND($D59&gt;=前提条件!$H$15,$D59&lt;=前提条件!$I$15),OR($D59&gt;=前提条件!$H$15,$D59&lt;=前提条件!$I$15)),1,0)</f>
        <v>1</v>
      </c>
    </row>
    <row r="60" customFormat="false" ht="15" hidden="false" customHeight="false" outlineLevel="0" collapsed="false">
      <c r="A60" s="48" t="n">
        <v>2</v>
      </c>
      <c r="B60" s="48" t="n">
        <v>26</v>
      </c>
      <c r="C60" s="48" t="str">
        <f aca="false">A60&amp;"/"&amp;B60</f>
        <v>2/26</v>
      </c>
      <c r="D60" s="48" t="n">
        <f aca="false">A60*100+B60</f>
        <v>226</v>
      </c>
      <c r="E60" s="45" t="n">
        <f aca="false">IF(SUM(J60:K60)&gt;0,前提条件!$B$6,前提条件!$B$8)</f>
        <v>3</v>
      </c>
      <c r="F60" s="48" t="str">
        <f aca="false">IFERROR(INDEX(前提条件!$B$12:$B$15,MATCH(1,L60:O60,0)),"未設定")</f>
        <v>標準形</v>
      </c>
      <c r="G60" s="48" t="str">
        <f aca="false">IFERROR(INDEX(前提条件!$C$12:$C$15,MATCH(1,L60:O60,0)),"未設定")</f>
        <v>冬期</v>
      </c>
      <c r="H60" s="44" t="str">
        <f aca="false">"S値+"&amp;E60&amp;"／"&amp;F60&amp;"（"&amp;G60&amp;"）"</f>
        <v>S値+3／標準形（冬期）</v>
      </c>
      <c r="J60" s="14" t="n">
        <f aca="false">IF(IF(前提条件!$G$6&lt;=前提条件!$H$6,AND($D60&gt;=前提条件!$G$6,$D60&lt;=前提条件!$H$6),OR($D60&gt;=前提条件!$G$6,$D60&lt;=前提条件!$H$6)),1,0)</f>
        <v>0</v>
      </c>
      <c r="K60" s="14" t="n">
        <f aca="false">IF(IF(前提条件!$G$7&lt;=前提条件!$H$7,AND($D60&gt;=前提条件!$G$7,$D60&lt;=前提条件!$H$7),OR($D60&gt;=前提条件!$G$7,$D60&lt;=前提条件!$H$7)),1,0)</f>
        <v>0</v>
      </c>
      <c r="L60" s="14" t="n">
        <f aca="false">IF(IF(前提条件!$H$12&lt;=前提条件!$I$12,AND($D60&gt;=前提条件!$H$12,$D60&lt;=前提条件!$I$12),OR($D60&gt;=前提条件!$H$12,$D60&lt;=前提条件!$I$12)),1,0)</f>
        <v>0</v>
      </c>
      <c r="M60" s="14" t="n">
        <f aca="false">IF(IF(前提条件!$H$13&lt;=前提条件!$I$13,AND($D60&gt;=前提条件!$H$13,$D60&lt;=前提条件!$I$13),OR($D60&gt;=前提条件!$H$13,$D60&lt;=前提条件!$I$13)),1,0)</f>
        <v>0</v>
      </c>
      <c r="N60" s="14" t="n">
        <f aca="false">IF(IF(前提条件!$H$14&lt;=前提条件!$I$14,AND($D60&gt;=前提条件!$H$14,$D60&lt;=前提条件!$I$14),OR($D60&gt;=前提条件!$H$14,$D60&lt;=前提条件!$I$14)),1,0)</f>
        <v>0</v>
      </c>
      <c r="O60" s="14" t="n">
        <f aca="false">IF(IF(前提条件!$H$15&lt;=前提条件!$I$15,AND($D60&gt;=前提条件!$H$15,$D60&lt;=前提条件!$I$15),OR($D60&gt;=前提条件!$H$15,$D60&lt;=前提条件!$I$15)),1,0)</f>
        <v>1</v>
      </c>
    </row>
    <row r="61" customFormat="false" ht="15" hidden="false" customHeight="false" outlineLevel="0" collapsed="false">
      <c r="A61" s="48" t="n">
        <v>2</v>
      </c>
      <c r="B61" s="48" t="n">
        <v>27</v>
      </c>
      <c r="C61" s="48" t="str">
        <f aca="false">A61&amp;"/"&amp;B61</f>
        <v>2/27</v>
      </c>
      <c r="D61" s="48" t="n">
        <f aca="false">A61*100+B61</f>
        <v>227</v>
      </c>
      <c r="E61" s="45" t="n">
        <f aca="false">IF(SUM(J61:K61)&gt;0,前提条件!$B$6,前提条件!$B$8)</f>
        <v>3</v>
      </c>
      <c r="F61" s="48" t="str">
        <f aca="false">IFERROR(INDEX(前提条件!$B$12:$B$15,MATCH(1,L61:O61,0)),"未設定")</f>
        <v>標準形</v>
      </c>
      <c r="G61" s="48" t="str">
        <f aca="false">IFERROR(INDEX(前提条件!$C$12:$C$15,MATCH(1,L61:O61,0)),"未設定")</f>
        <v>冬期</v>
      </c>
      <c r="H61" s="44" t="str">
        <f aca="false">"S値+"&amp;E61&amp;"／"&amp;F61&amp;"（"&amp;G61&amp;"）"</f>
        <v>S値+3／標準形（冬期）</v>
      </c>
      <c r="J61" s="14" t="n">
        <f aca="false">IF(IF(前提条件!$G$6&lt;=前提条件!$H$6,AND($D61&gt;=前提条件!$G$6,$D61&lt;=前提条件!$H$6),OR($D61&gt;=前提条件!$G$6,$D61&lt;=前提条件!$H$6)),1,0)</f>
        <v>0</v>
      </c>
      <c r="K61" s="14" t="n">
        <f aca="false">IF(IF(前提条件!$G$7&lt;=前提条件!$H$7,AND($D61&gt;=前提条件!$G$7,$D61&lt;=前提条件!$H$7),OR($D61&gt;=前提条件!$G$7,$D61&lt;=前提条件!$H$7)),1,0)</f>
        <v>0</v>
      </c>
      <c r="L61" s="14" t="n">
        <f aca="false">IF(IF(前提条件!$H$12&lt;=前提条件!$I$12,AND($D61&gt;=前提条件!$H$12,$D61&lt;=前提条件!$I$12),OR($D61&gt;=前提条件!$H$12,$D61&lt;=前提条件!$I$12)),1,0)</f>
        <v>0</v>
      </c>
      <c r="M61" s="14" t="n">
        <f aca="false">IF(IF(前提条件!$H$13&lt;=前提条件!$I$13,AND($D61&gt;=前提条件!$H$13,$D61&lt;=前提条件!$I$13),OR($D61&gt;=前提条件!$H$13,$D61&lt;=前提条件!$I$13)),1,0)</f>
        <v>0</v>
      </c>
      <c r="N61" s="14" t="n">
        <f aca="false">IF(IF(前提条件!$H$14&lt;=前提条件!$I$14,AND($D61&gt;=前提条件!$H$14,$D61&lt;=前提条件!$I$14),OR($D61&gt;=前提条件!$H$14,$D61&lt;=前提条件!$I$14)),1,0)</f>
        <v>0</v>
      </c>
      <c r="O61" s="14" t="n">
        <f aca="false">IF(IF(前提条件!$H$15&lt;=前提条件!$I$15,AND($D61&gt;=前提条件!$H$15,$D61&lt;=前提条件!$I$15),OR($D61&gt;=前提条件!$H$15,$D61&lt;=前提条件!$I$15)),1,0)</f>
        <v>1</v>
      </c>
    </row>
    <row r="62" customFormat="false" ht="15" hidden="false" customHeight="false" outlineLevel="0" collapsed="false">
      <c r="A62" s="48" t="n">
        <v>2</v>
      </c>
      <c r="B62" s="48" t="n">
        <v>28</v>
      </c>
      <c r="C62" s="48" t="str">
        <f aca="false">A62&amp;"/"&amp;B62</f>
        <v>2/28</v>
      </c>
      <c r="D62" s="48" t="n">
        <f aca="false">A62*100+B62</f>
        <v>228</v>
      </c>
      <c r="E62" s="45" t="n">
        <f aca="false">IF(SUM(J62:K62)&gt;0,前提条件!$B$6,前提条件!$B$8)</f>
        <v>3</v>
      </c>
      <c r="F62" s="48" t="str">
        <f aca="false">IFERROR(INDEX(前提条件!$B$12:$B$15,MATCH(1,L62:O62,0)),"未設定")</f>
        <v>標準形</v>
      </c>
      <c r="G62" s="48" t="str">
        <f aca="false">IFERROR(INDEX(前提条件!$C$12:$C$15,MATCH(1,L62:O62,0)),"未設定")</f>
        <v>冬期</v>
      </c>
      <c r="H62" s="44" t="str">
        <f aca="false">"S値+"&amp;E62&amp;"／"&amp;F62&amp;"（"&amp;G62&amp;"）"</f>
        <v>S値+3／標準形（冬期）</v>
      </c>
      <c r="J62" s="14" t="n">
        <f aca="false">IF(IF(前提条件!$G$6&lt;=前提条件!$H$6,AND($D62&gt;=前提条件!$G$6,$D62&lt;=前提条件!$H$6),OR($D62&gt;=前提条件!$G$6,$D62&lt;=前提条件!$H$6)),1,0)</f>
        <v>0</v>
      </c>
      <c r="K62" s="14" t="n">
        <f aca="false">IF(IF(前提条件!$G$7&lt;=前提条件!$H$7,AND($D62&gt;=前提条件!$G$7,$D62&lt;=前提条件!$H$7),OR($D62&gt;=前提条件!$G$7,$D62&lt;=前提条件!$H$7)),1,0)</f>
        <v>0</v>
      </c>
      <c r="L62" s="14" t="n">
        <f aca="false">IF(IF(前提条件!$H$12&lt;=前提条件!$I$12,AND($D62&gt;=前提条件!$H$12,$D62&lt;=前提条件!$I$12),OR($D62&gt;=前提条件!$H$12,$D62&lt;=前提条件!$I$12)),1,0)</f>
        <v>0</v>
      </c>
      <c r="M62" s="14" t="n">
        <f aca="false">IF(IF(前提条件!$H$13&lt;=前提条件!$I$13,AND($D62&gt;=前提条件!$H$13,$D62&lt;=前提条件!$I$13),OR($D62&gt;=前提条件!$H$13,$D62&lt;=前提条件!$I$13)),1,0)</f>
        <v>0</v>
      </c>
      <c r="N62" s="14" t="n">
        <f aca="false">IF(IF(前提条件!$H$14&lt;=前提条件!$I$14,AND($D62&gt;=前提条件!$H$14,$D62&lt;=前提条件!$I$14),OR($D62&gt;=前提条件!$H$14,$D62&lt;=前提条件!$I$14)),1,0)</f>
        <v>0</v>
      </c>
      <c r="O62" s="14" t="n">
        <f aca="false">IF(IF(前提条件!$H$15&lt;=前提条件!$I$15,AND($D62&gt;=前提条件!$H$15,$D62&lt;=前提条件!$I$15),OR($D62&gt;=前提条件!$H$15,$D62&lt;=前提条件!$I$15)),1,0)</f>
        <v>1</v>
      </c>
    </row>
    <row r="63" customFormat="false" ht="15" hidden="false" customHeight="false" outlineLevel="0" collapsed="false">
      <c r="A63" s="48" t="n">
        <v>3</v>
      </c>
      <c r="B63" s="48" t="n">
        <v>1</v>
      </c>
      <c r="C63" s="48" t="str">
        <f aca="false">A63&amp;"/"&amp;B63</f>
        <v>3/1</v>
      </c>
      <c r="D63" s="48" t="n">
        <f aca="false">A63*100+B63</f>
        <v>301</v>
      </c>
      <c r="E63" s="45" t="n">
        <f aca="false">IF(SUM(J63:K63)&gt;0,前提条件!$B$6,前提条件!$B$8)</f>
        <v>3</v>
      </c>
      <c r="F63" s="48" t="str">
        <f aca="false">IFERROR(INDEX(前提条件!$B$12:$B$15,MATCH(1,L63:O63,0)),"未設定")</f>
        <v>標準形</v>
      </c>
      <c r="G63" s="48" t="str">
        <f aca="false">IFERROR(INDEX(前提条件!$C$12:$C$15,MATCH(1,L63:O63,0)),"未設定")</f>
        <v>冬期</v>
      </c>
      <c r="H63" s="44" t="str">
        <f aca="false">"S値+"&amp;E63&amp;"／"&amp;F63&amp;"（"&amp;G63&amp;"）"</f>
        <v>S値+3／標準形（冬期）</v>
      </c>
      <c r="J63" s="14" t="n">
        <f aca="false">IF(IF(前提条件!$G$6&lt;=前提条件!$H$6,AND($D63&gt;=前提条件!$G$6,$D63&lt;=前提条件!$H$6),OR($D63&gt;=前提条件!$G$6,$D63&lt;=前提条件!$H$6)),1,0)</f>
        <v>0</v>
      </c>
      <c r="K63" s="14" t="n">
        <f aca="false">IF(IF(前提条件!$G$7&lt;=前提条件!$H$7,AND($D63&gt;=前提条件!$G$7,$D63&lt;=前提条件!$H$7),OR($D63&gt;=前提条件!$G$7,$D63&lt;=前提条件!$H$7)),1,0)</f>
        <v>0</v>
      </c>
      <c r="L63" s="14" t="n">
        <f aca="false">IF(IF(前提条件!$H$12&lt;=前提条件!$I$12,AND($D63&gt;=前提条件!$H$12,$D63&lt;=前提条件!$I$12),OR($D63&gt;=前提条件!$H$12,$D63&lt;=前提条件!$I$12)),1,0)</f>
        <v>0</v>
      </c>
      <c r="M63" s="14" t="n">
        <f aca="false">IF(IF(前提条件!$H$13&lt;=前提条件!$I$13,AND($D63&gt;=前提条件!$H$13,$D63&lt;=前提条件!$I$13),OR($D63&gt;=前提条件!$H$13,$D63&lt;=前提条件!$I$13)),1,0)</f>
        <v>0</v>
      </c>
      <c r="N63" s="14" t="n">
        <f aca="false">IF(IF(前提条件!$H$14&lt;=前提条件!$I$14,AND($D63&gt;=前提条件!$H$14,$D63&lt;=前提条件!$I$14),OR($D63&gt;=前提条件!$H$14,$D63&lt;=前提条件!$I$14)),1,0)</f>
        <v>0</v>
      </c>
      <c r="O63" s="14" t="n">
        <f aca="false">IF(IF(前提条件!$H$15&lt;=前提条件!$I$15,AND($D63&gt;=前提条件!$H$15,$D63&lt;=前提条件!$I$15),OR($D63&gt;=前提条件!$H$15,$D63&lt;=前提条件!$I$15)),1,0)</f>
        <v>1</v>
      </c>
    </row>
    <row r="64" customFormat="false" ht="15" hidden="false" customHeight="false" outlineLevel="0" collapsed="false">
      <c r="A64" s="48" t="n">
        <v>3</v>
      </c>
      <c r="B64" s="48" t="n">
        <v>2</v>
      </c>
      <c r="C64" s="48" t="str">
        <f aca="false">A64&amp;"/"&amp;B64</f>
        <v>3/2</v>
      </c>
      <c r="D64" s="48" t="n">
        <f aca="false">A64*100+B64</f>
        <v>302</v>
      </c>
      <c r="E64" s="45" t="n">
        <f aca="false">IF(SUM(J64:K64)&gt;0,前提条件!$B$6,前提条件!$B$8)</f>
        <v>3</v>
      </c>
      <c r="F64" s="48" t="str">
        <f aca="false">IFERROR(INDEX(前提条件!$B$12:$B$15,MATCH(1,L64:O64,0)),"未設定")</f>
        <v>標準形</v>
      </c>
      <c r="G64" s="48" t="str">
        <f aca="false">IFERROR(INDEX(前提条件!$C$12:$C$15,MATCH(1,L64:O64,0)),"未設定")</f>
        <v>冬期</v>
      </c>
      <c r="H64" s="44" t="str">
        <f aca="false">"S値+"&amp;E64&amp;"／"&amp;F64&amp;"（"&amp;G64&amp;"）"</f>
        <v>S値+3／標準形（冬期）</v>
      </c>
      <c r="J64" s="14" t="n">
        <f aca="false">IF(IF(前提条件!$G$6&lt;=前提条件!$H$6,AND($D64&gt;=前提条件!$G$6,$D64&lt;=前提条件!$H$6),OR($D64&gt;=前提条件!$G$6,$D64&lt;=前提条件!$H$6)),1,0)</f>
        <v>0</v>
      </c>
      <c r="K64" s="14" t="n">
        <f aca="false">IF(IF(前提条件!$G$7&lt;=前提条件!$H$7,AND($D64&gt;=前提条件!$G$7,$D64&lt;=前提条件!$H$7),OR($D64&gt;=前提条件!$G$7,$D64&lt;=前提条件!$H$7)),1,0)</f>
        <v>0</v>
      </c>
      <c r="L64" s="14" t="n">
        <f aca="false">IF(IF(前提条件!$H$12&lt;=前提条件!$I$12,AND($D64&gt;=前提条件!$H$12,$D64&lt;=前提条件!$I$12),OR($D64&gt;=前提条件!$H$12,$D64&lt;=前提条件!$I$12)),1,0)</f>
        <v>0</v>
      </c>
      <c r="M64" s="14" t="n">
        <f aca="false">IF(IF(前提条件!$H$13&lt;=前提条件!$I$13,AND($D64&gt;=前提条件!$H$13,$D64&lt;=前提条件!$I$13),OR($D64&gt;=前提条件!$H$13,$D64&lt;=前提条件!$I$13)),1,0)</f>
        <v>0</v>
      </c>
      <c r="N64" s="14" t="n">
        <f aca="false">IF(IF(前提条件!$H$14&lt;=前提条件!$I$14,AND($D64&gt;=前提条件!$H$14,$D64&lt;=前提条件!$I$14),OR($D64&gt;=前提条件!$H$14,$D64&lt;=前提条件!$I$14)),1,0)</f>
        <v>0</v>
      </c>
      <c r="O64" s="14" t="n">
        <f aca="false">IF(IF(前提条件!$H$15&lt;=前提条件!$I$15,AND($D64&gt;=前提条件!$H$15,$D64&lt;=前提条件!$I$15),OR($D64&gt;=前提条件!$H$15,$D64&lt;=前提条件!$I$15)),1,0)</f>
        <v>1</v>
      </c>
    </row>
    <row r="65" customFormat="false" ht="15" hidden="false" customHeight="false" outlineLevel="0" collapsed="false">
      <c r="A65" s="48" t="n">
        <v>3</v>
      </c>
      <c r="B65" s="48" t="n">
        <v>3</v>
      </c>
      <c r="C65" s="48" t="str">
        <f aca="false">A65&amp;"/"&amp;B65</f>
        <v>3/3</v>
      </c>
      <c r="D65" s="48" t="n">
        <f aca="false">A65*100+B65</f>
        <v>303</v>
      </c>
      <c r="E65" s="45" t="n">
        <f aca="false">IF(SUM(J65:K65)&gt;0,前提条件!$B$6,前提条件!$B$8)</f>
        <v>3</v>
      </c>
      <c r="F65" s="48" t="str">
        <f aca="false">IFERROR(INDEX(前提条件!$B$12:$B$15,MATCH(1,L65:O65,0)),"未設定")</f>
        <v>標準形</v>
      </c>
      <c r="G65" s="48" t="str">
        <f aca="false">IFERROR(INDEX(前提条件!$C$12:$C$15,MATCH(1,L65:O65,0)),"未設定")</f>
        <v>冬期</v>
      </c>
      <c r="H65" s="44" t="str">
        <f aca="false">"S値+"&amp;E65&amp;"／"&amp;F65&amp;"（"&amp;G65&amp;"）"</f>
        <v>S値+3／標準形（冬期）</v>
      </c>
      <c r="J65" s="14" t="n">
        <f aca="false">IF(IF(前提条件!$G$6&lt;=前提条件!$H$6,AND($D65&gt;=前提条件!$G$6,$D65&lt;=前提条件!$H$6),OR($D65&gt;=前提条件!$G$6,$D65&lt;=前提条件!$H$6)),1,0)</f>
        <v>0</v>
      </c>
      <c r="K65" s="14" t="n">
        <f aca="false">IF(IF(前提条件!$G$7&lt;=前提条件!$H$7,AND($D65&gt;=前提条件!$G$7,$D65&lt;=前提条件!$H$7),OR($D65&gt;=前提条件!$G$7,$D65&lt;=前提条件!$H$7)),1,0)</f>
        <v>0</v>
      </c>
      <c r="L65" s="14" t="n">
        <f aca="false">IF(IF(前提条件!$H$12&lt;=前提条件!$I$12,AND($D65&gt;=前提条件!$H$12,$D65&lt;=前提条件!$I$12),OR($D65&gt;=前提条件!$H$12,$D65&lt;=前提条件!$I$12)),1,0)</f>
        <v>0</v>
      </c>
      <c r="M65" s="14" t="n">
        <f aca="false">IF(IF(前提条件!$H$13&lt;=前提条件!$I$13,AND($D65&gt;=前提条件!$H$13,$D65&lt;=前提条件!$I$13),OR($D65&gt;=前提条件!$H$13,$D65&lt;=前提条件!$I$13)),1,0)</f>
        <v>0</v>
      </c>
      <c r="N65" s="14" t="n">
        <f aca="false">IF(IF(前提条件!$H$14&lt;=前提条件!$I$14,AND($D65&gt;=前提条件!$H$14,$D65&lt;=前提条件!$I$14),OR($D65&gt;=前提条件!$H$14,$D65&lt;=前提条件!$I$14)),1,0)</f>
        <v>0</v>
      </c>
      <c r="O65" s="14" t="n">
        <f aca="false">IF(IF(前提条件!$H$15&lt;=前提条件!$I$15,AND($D65&gt;=前提条件!$H$15,$D65&lt;=前提条件!$I$15),OR($D65&gt;=前提条件!$H$15,$D65&lt;=前提条件!$I$15)),1,0)</f>
        <v>1</v>
      </c>
    </row>
    <row r="66" customFormat="false" ht="15" hidden="false" customHeight="false" outlineLevel="0" collapsed="false">
      <c r="A66" s="48" t="n">
        <v>3</v>
      </c>
      <c r="B66" s="48" t="n">
        <v>4</v>
      </c>
      <c r="C66" s="48" t="str">
        <f aca="false">A66&amp;"/"&amp;B66</f>
        <v>3/4</v>
      </c>
      <c r="D66" s="48" t="n">
        <f aca="false">A66*100+B66</f>
        <v>304</v>
      </c>
      <c r="E66" s="45" t="n">
        <f aca="false">IF(SUM(J66:K66)&gt;0,前提条件!$B$6,前提条件!$B$8)</f>
        <v>3</v>
      </c>
      <c r="F66" s="48" t="str">
        <f aca="false">IFERROR(INDEX(前提条件!$B$12:$B$15,MATCH(1,L66:O66,0)),"未設定")</f>
        <v>標準形</v>
      </c>
      <c r="G66" s="48" t="str">
        <f aca="false">IFERROR(INDEX(前提条件!$C$12:$C$15,MATCH(1,L66:O66,0)),"未設定")</f>
        <v>冬期</v>
      </c>
      <c r="H66" s="44" t="str">
        <f aca="false">"S値+"&amp;E66&amp;"／"&amp;F66&amp;"（"&amp;G66&amp;"）"</f>
        <v>S値+3／標準形（冬期）</v>
      </c>
      <c r="J66" s="14" t="n">
        <f aca="false">IF(IF(前提条件!$G$6&lt;=前提条件!$H$6,AND($D66&gt;=前提条件!$G$6,$D66&lt;=前提条件!$H$6),OR($D66&gt;=前提条件!$G$6,$D66&lt;=前提条件!$H$6)),1,0)</f>
        <v>0</v>
      </c>
      <c r="K66" s="14" t="n">
        <f aca="false">IF(IF(前提条件!$G$7&lt;=前提条件!$H$7,AND($D66&gt;=前提条件!$G$7,$D66&lt;=前提条件!$H$7),OR($D66&gt;=前提条件!$G$7,$D66&lt;=前提条件!$H$7)),1,0)</f>
        <v>0</v>
      </c>
      <c r="L66" s="14" t="n">
        <f aca="false">IF(IF(前提条件!$H$12&lt;=前提条件!$I$12,AND($D66&gt;=前提条件!$H$12,$D66&lt;=前提条件!$I$12),OR($D66&gt;=前提条件!$H$12,$D66&lt;=前提条件!$I$12)),1,0)</f>
        <v>0</v>
      </c>
      <c r="M66" s="14" t="n">
        <f aca="false">IF(IF(前提条件!$H$13&lt;=前提条件!$I$13,AND($D66&gt;=前提条件!$H$13,$D66&lt;=前提条件!$I$13),OR($D66&gt;=前提条件!$H$13,$D66&lt;=前提条件!$I$13)),1,0)</f>
        <v>0</v>
      </c>
      <c r="N66" s="14" t="n">
        <f aca="false">IF(IF(前提条件!$H$14&lt;=前提条件!$I$14,AND($D66&gt;=前提条件!$H$14,$D66&lt;=前提条件!$I$14),OR($D66&gt;=前提条件!$H$14,$D66&lt;=前提条件!$I$14)),1,0)</f>
        <v>0</v>
      </c>
      <c r="O66" s="14" t="n">
        <f aca="false">IF(IF(前提条件!$H$15&lt;=前提条件!$I$15,AND($D66&gt;=前提条件!$H$15,$D66&lt;=前提条件!$I$15),OR($D66&gt;=前提条件!$H$15,$D66&lt;=前提条件!$I$15)),1,0)</f>
        <v>1</v>
      </c>
    </row>
    <row r="67" customFormat="false" ht="15" hidden="false" customHeight="false" outlineLevel="0" collapsed="false">
      <c r="A67" s="48" t="n">
        <v>3</v>
      </c>
      <c r="B67" s="48" t="n">
        <v>5</v>
      </c>
      <c r="C67" s="48" t="str">
        <f aca="false">A67&amp;"/"&amp;B67</f>
        <v>3/5</v>
      </c>
      <c r="D67" s="48" t="n">
        <f aca="false">A67*100+B67</f>
        <v>305</v>
      </c>
      <c r="E67" s="45" t="n">
        <f aca="false">IF(SUM(J67:K67)&gt;0,前提条件!$B$6,前提条件!$B$8)</f>
        <v>3</v>
      </c>
      <c r="F67" s="48" t="str">
        <f aca="false">IFERROR(INDEX(前提条件!$B$12:$B$15,MATCH(1,L67:O67,0)),"未設定")</f>
        <v>標準形</v>
      </c>
      <c r="G67" s="48" t="str">
        <f aca="false">IFERROR(INDEX(前提条件!$C$12:$C$15,MATCH(1,L67:O67,0)),"未設定")</f>
        <v>冬期</v>
      </c>
      <c r="H67" s="44" t="str">
        <f aca="false">"S値+"&amp;E67&amp;"／"&amp;F67&amp;"（"&amp;G67&amp;"）"</f>
        <v>S値+3／標準形（冬期）</v>
      </c>
      <c r="J67" s="14" t="n">
        <f aca="false">IF(IF(前提条件!$G$6&lt;=前提条件!$H$6,AND($D67&gt;=前提条件!$G$6,$D67&lt;=前提条件!$H$6),OR($D67&gt;=前提条件!$G$6,$D67&lt;=前提条件!$H$6)),1,0)</f>
        <v>0</v>
      </c>
      <c r="K67" s="14" t="n">
        <f aca="false">IF(IF(前提条件!$G$7&lt;=前提条件!$H$7,AND($D67&gt;=前提条件!$G$7,$D67&lt;=前提条件!$H$7),OR($D67&gt;=前提条件!$G$7,$D67&lt;=前提条件!$H$7)),1,0)</f>
        <v>0</v>
      </c>
      <c r="L67" s="14" t="n">
        <f aca="false">IF(IF(前提条件!$H$12&lt;=前提条件!$I$12,AND($D67&gt;=前提条件!$H$12,$D67&lt;=前提条件!$I$12),OR($D67&gt;=前提条件!$H$12,$D67&lt;=前提条件!$I$12)),1,0)</f>
        <v>0</v>
      </c>
      <c r="M67" s="14" t="n">
        <f aca="false">IF(IF(前提条件!$H$13&lt;=前提条件!$I$13,AND($D67&gt;=前提条件!$H$13,$D67&lt;=前提条件!$I$13),OR($D67&gt;=前提条件!$H$13,$D67&lt;=前提条件!$I$13)),1,0)</f>
        <v>0</v>
      </c>
      <c r="N67" s="14" t="n">
        <f aca="false">IF(IF(前提条件!$H$14&lt;=前提条件!$I$14,AND($D67&gt;=前提条件!$H$14,$D67&lt;=前提条件!$I$14),OR($D67&gt;=前提条件!$H$14,$D67&lt;=前提条件!$I$14)),1,0)</f>
        <v>0</v>
      </c>
      <c r="O67" s="14" t="n">
        <f aca="false">IF(IF(前提条件!$H$15&lt;=前提条件!$I$15,AND($D67&gt;=前提条件!$H$15,$D67&lt;=前提条件!$I$15),OR($D67&gt;=前提条件!$H$15,$D67&lt;=前提条件!$I$15)),1,0)</f>
        <v>1</v>
      </c>
    </row>
    <row r="68" customFormat="false" ht="15" hidden="false" customHeight="false" outlineLevel="0" collapsed="false">
      <c r="A68" s="48" t="n">
        <v>3</v>
      </c>
      <c r="B68" s="48" t="n">
        <v>6</v>
      </c>
      <c r="C68" s="48" t="str">
        <f aca="false">A68&amp;"/"&amp;B68</f>
        <v>3/6</v>
      </c>
      <c r="D68" s="48" t="n">
        <f aca="false">A68*100+B68</f>
        <v>306</v>
      </c>
      <c r="E68" s="45" t="n">
        <f aca="false">IF(SUM(J68:K68)&gt;0,前提条件!$B$6,前提条件!$B$8)</f>
        <v>3</v>
      </c>
      <c r="F68" s="48" t="str">
        <f aca="false">IFERROR(INDEX(前提条件!$B$12:$B$15,MATCH(1,L68:O68,0)),"未設定")</f>
        <v>標準形</v>
      </c>
      <c r="G68" s="48" t="str">
        <f aca="false">IFERROR(INDEX(前提条件!$C$12:$C$15,MATCH(1,L68:O68,0)),"未設定")</f>
        <v>冬期</v>
      </c>
      <c r="H68" s="44" t="str">
        <f aca="false">"S値+"&amp;E68&amp;"／"&amp;F68&amp;"（"&amp;G68&amp;"）"</f>
        <v>S値+3／標準形（冬期）</v>
      </c>
      <c r="J68" s="14" t="n">
        <f aca="false">IF(IF(前提条件!$G$6&lt;=前提条件!$H$6,AND($D68&gt;=前提条件!$G$6,$D68&lt;=前提条件!$H$6),OR($D68&gt;=前提条件!$G$6,$D68&lt;=前提条件!$H$6)),1,0)</f>
        <v>0</v>
      </c>
      <c r="K68" s="14" t="n">
        <f aca="false">IF(IF(前提条件!$G$7&lt;=前提条件!$H$7,AND($D68&gt;=前提条件!$G$7,$D68&lt;=前提条件!$H$7),OR($D68&gt;=前提条件!$G$7,$D68&lt;=前提条件!$H$7)),1,0)</f>
        <v>0</v>
      </c>
      <c r="L68" s="14" t="n">
        <f aca="false">IF(IF(前提条件!$H$12&lt;=前提条件!$I$12,AND($D68&gt;=前提条件!$H$12,$D68&lt;=前提条件!$I$12),OR($D68&gt;=前提条件!$H$12,$D68&lt;=前提条件!$I$12)),1,0)</f>
        <v>0</v>
      </c>
      <c r="M68" s="14" t="n">
        <f aca="false">IF(IF(前提条件!$H$13&lt;=前提条件!$I$13,AND($D68&gt;=前提条件!$H$13,$D68&lt;=前提条件!$I$13),OR($D68&gt;=前提条件!$H$13,$D68&lt;=前提条件!$I$13)),1,0)</f>
        <v>0</v>
      </c>
      <c r="N68" s="14" t="n">
        <f aca="false">IF(IF(前提条件!$H$14&lt;=前提条件!$I$14,AND($D68&gt;=前提条件!$H$14,$D68&lt;=前提条件!$I$14),OR($D68&gt;=前提条件!$H$14,$D68&lt;=前提条件!$I$14)),1,0)</f>
        <v>0</v>
      </c>
      <c r="O68" s="14" t="n">
        <f aca="false">IF(IF(前提条件!$H$15&lt;=前提条件!$I$15,AND($D68&gt;=前提条件!$H$15,$D68&lt;=前提条件!$I$15),OR($D68&gt;=前提条件!$H$15,$D68&lt;=前提条件!$I$15)),1,0)</f>
        <v>1</v>
      </c>
    </row>
    <row r="69" customFormat="false" ht="15" hidden="false" customHeight="false" outlineLevel="0" collapsed="false">
      <c r="A69" s="48" t="n">
        <v>3</v>
      </c>
      <c r="B69" s="48" t="n">
        <v>7</v>
      </c>
      <c r="C69" s="48" t="str">
        <f aca="false">A69&amp;"/"&amp;B69</f>
        <v>3/7</v>
      </c>
      <c r="D69" s="48" t="n">
        <f aca="false">A69*100+B69</f>
        <v>307</v>
      </c>
      <c r="E69" s="45" t="n">
        <f aca="false">IF(SUM(J69:K69)&gt;0,前提条件!$B$6,前提条件!$B$8)</f>
        <v>3</v>
      </c>
      <c r="F69" s="48" t="str">
        <f aca="false">IFERROR(INDEX(前提条件!$B$12:$B$15,MATCH(1,L69:O69,0)),"未設定")</f>
        <v>標準形</v>
      </c>
      <c r="G69" s="48" t="str">
        <f aca="false">IFERROR(INDEX(前提条件!$C$12:$C$15,MATCH(1,L69:O69,0)),"未設定")</f>
        <v>冬期</v>
      </c>
      <c r="H69" s="44" t="str">
        <f aca="false">"S値+"&amp;E69&amp;"／"&amp;F69&amp;"（"&amp;G69&amp;"）"</f>
        <v>S値+3／標準形（冬期）</v>
      </c>
      <c r="J69" s="14" t="n">
        <f aca="false">IF(IF(前提条件!$G$6&lt;=前提条件!$H$6,AND($D69&gt;=前提条件!$G$6,$D69&lt;=前提条件!$H$6),OR($D69&gt;=前提条件!$G$6,$D69&lt;=前提条件!$H$6)),1,0)</f>
        <v>0</v>
      </c>
      <c r="K69" s="14" t="n">
        <f aca="false">IF(IF(前提条件!$G$7&lt;=前提条件!$H$7,AND($D69&gt;=前提条件!$G$7,$D69&lt;=前提条件!$H$7),OR($D69&gt;=前提条件!$G$7,$D69&lt;=前提条件!$H$7)),1,0)</f>
        <v>0</v>
      </c>
      <c r="L69" s="14" t="n">
        <f aca="false">IF(IF(前提条件!$H$12&lt;=前提条件!$I$12,AND($D69&gt;=前提条件!$H$12,$D69&lt;=前提条件!$I$12),OR($D69&gt;=前提条件!$H$12,$D69&lt;=前提条件!$I$12)),1,0)</f>
        <v>0</v>
      </c>
      <c r="M69" s="14" t="n">
        <f aca="false">IF(IF(前提条件!$H$13&lt;=前提条件!$I$13,AND($D69&gt;=前提条件!$H$13,$D69&lt;=前提条件!$I$13),OR($D69&gt;=前提条件!$H$13,$D69&lt;=前提条件!$I$13)),1,0)</f>
        <v>0</v>
      </c>
      <c r="N69" s="14" t="n">
        <f aca="false">IF(IF(前提条件!$H$14&lt;=前提条件!$I$14,AND($D69&gt;=前提条件!$H$14,$D69&lt;=前提条件!$I$14),OR($D69&gt;=前提条件!$H$14,$D69&lt;=前提条件!$I$14)),1,0)</f>
        <v>0</v>
      </c>
      <c r="O69" s="14" t="n">
        <f aca="false">IF(IF(前提条件!$H$15&lt;=前提条件!$I$15,AND($D69&gt;=前提条件!$H$15,$D69&lt;=前提条件!$I$15),OR($D69&gt;=前提条件!$H$15,$D69&lt;=前提条件!$I$15)),1,0)</f>
        <v>1</v>
      </c>
    </row>
    <row r="70" customFormat="false" ht="15" hidden="false" customHeight="false" outlineLevel="0" collapsed="false">
      <c r="A70" s="48" t="n">
        <v>3</v>
      </c>
      <c r="B70" s="48" t="n">
        <v>8</v>
      </c>
      <c r="C70" s="48" t="str">
        <f aca="false">A70&amp;"/"&amp;B70</f>
        <v>3/8</v>
      </c>
      <c r="D70" s="48" t="n">
        <f aca="false">A70*100+B70</f>
        <v>308</v>
      </c>
      <c r="E70" s="45" t="n">
        <f aca="false">IF(SUM(J70:K70)&gt;0,前提条件!$B$6,前提条件!$B$8)</f>
        <v>3</v>
      </c>
      <c r="F70" s="48" t="str">
        <f aca="false">IFERROR(INDEX(前提条件!$B$12:$B$15,MATCH(1,L70:O70,0)),"未設定")</f>
        <v>標準形</v>
      </c>
      <c r="G70" s="48" t="str">
        <f aca="false">IFERROR(INDEX(前提条件!$C$12:$C$15,MATCH(1,L70:O70,0)),"未設定")</f>
        <v>標準期</v>
      </c>
      <c r="H70" s="44" t="str">
        <f aca="false">"S値+"&amp;E70&amp;"／"&amp;F70&amp;"（"&amp;G70&amp;"）"</f>
        <v>S値+3／標準形（標準期）</v>
      </c>
      <c r="J70" s="14" t="n">
        <f aca="false">IF(IF(前提条件!$G$6&lt;=前提条件!$H$6,AND($D70&gt;=前提条件!$G$6,$D70&lt;=前提条件!$H$6),OR($D70&gt;=前提条件!$G$6,$D70&lt;=前提条件!$H$6)),1,0)</f>
        <v>0</v>
      </c>
      <c r="K70" s="14" t="n">
        <f aca="false">IF(IF(前提条件!$G$7&lt;=前提条件!$H$7,AND($D70&gt;=前提条件!$G$7,$D70&lt;=前提条件!$H$7),OR($D70&gt;=前提条件!$G$7,$D70&lt;=前提条件!$H$7)),1,0)</f>
        <v>0</v>
      </c>
      <c r="L70" s="14" t="n">
        <f aca="false">IF(IF(前提条件!$H$12&lt;=前提条件!$I$12,AND($D70&gt;=前提条件!$H$12,$D70&lt;=前提条件!$I$12),OR($D70&gt;=前提条件!$H$12,$D70&lt;=前提条件!$I$12)),1,0)</f>
        <v>1</v>
      </c>
      <c r="M70" s="14" t="n">
        <f aca="false">IF(IF(前提条件!$H$13&lt;=前提条件!$I$13,AND($D70&gt;=前提条件!$H$13,$D70&lt;=前提条件!$I$13),OR($D70&gt;=前提条件!$H$13,$D70&lt;=前提条件!$I$13)),1,0)</f>
        <v>0</v>
      </c>
      <c r="N70" s="14" t="n">
        <f aca="false">IF(IF(前提条件!$H$14&lt;=前提条件!$I$14,AND($D70&gt;=前提条件!$H$14,$D70&lt;=前提条件!$I$14),OR($D70&gt;=前提条件!$H$14,$D70&lt;=前提条件!$I$14)),1,0)</f>
        <v>0</v>
      </c>
      <c r="O70" s="14" t="n">
        <f aca="false">IF(IF(前提条件!$H$15&lt;=前提条件!$I$15,AND($D70&gt;=前提条件!$H$15,$D70&lt;=前提条件!$I$15),OR($D70&gt;=前提条件!$H$15,$D70&lt;=前提条件!$I$15)),1,0)</f>
        <v>0</v>
      </c>
    </row>
    <row r="71" customFormat="false" ht="15" hidden="false" customHeight="false" outlineLevel="0" collapsed="false">
      <c r="A71" s="48" t="n">
        <v>3</v>
      </c>
      <c r="B71" s="48" t="n">
        <v>9</v>
      </c>
      <c r="C71" s="48" t="str">
        <f aca="false">A71&amp;"/"&amp;B71</f>
        <v>3/9</v>
      </c>
      <c r="D71" s="48" t="n">
        <f aca="false">A71*100+B71</f>
        <v>309</v>
      </c>
      <c r="E71" s="45" t="n">
        <f aca="false">IF(SUM(J71:K71)&gt;0,前提条件!$B$6,前提条件!$B$8)</f>
        <v>3</v>
      </c>
      <c r="F71" s="48" t="str">
        <f aca="false">IFERROR(INDEX(前提条件!$B$12:$B$15,MATCH(1,L71:O71,0)),"未設定")</f>
        <v>標準形</v>
      </c>
      <c r="G71" s="48" t="str">
        <f aca="false">IFERROR(INDEX(前提条件!$C$12:$C$15,MATCH(1,L71:O71,0)),"未設定")</f>
        <v>標準期</v>
      </c>
      <c r="H71" s="44" t="str">
        <f aca="false">"S値+"&amp;E71&amp;"／"&amp;F71&amp;"（"&amp;G71&amp;"）"</f>
        <v>S値+3／標準形（標準期）</v>
      </c>
      <c r="J71" s="14" t="n">
        <f aca="false">IF(IF(前提条件!$G$6&lt;=前提条件!$H$6,AND($D71&gt;=前提条件!$G$6,$D71&lt;=前提条件!$H$6),OR($D71&gt;=前提条件!$G$6,$D71&lt;=前提条件!$H$6)),1,0)</f>
        <v>0</v>
      </c>
      <c r="K71" s="14" t="n">
        <f aca="false">IF(IF(前提条件!$G$7&lt;=前提条件!$H$7,AND($D71&gt;=前提条件!$G$7,$D71&lt;=前提条件!$H$7),OR($D71&gt;=前提条件!$G$7,$D71&lt;=前提条件!$H$7)),1,0)</f>
        <v>0</v>
      </c>
      <c r="L71" s="14" t="n">
        <f aca="false">IF(IF(前提条件!$H$12&lt;=前提条件!$I$12,AND($D71&gt;=前提条件!$H$12,$D71&lt;=前提条件!$I$12),OR($D71&gt;=前提条件!$H$12,$D71&lt;=前提条件!$I$12)),1,0)</f>
        <v>1</v>
      </c>
      <c r="M71" s="14" t="n">
        <f aca="false">IF(IF(前提条件!$H$13&lt;=前提条件!$I$13,AND($D71&gt;=前提条件!$H$13,$D71&lt;=前提条件!$I$13),OR($D71&gt;=前提条件!$H$13,$D71&lt;=前提条件!$I$13)),1,0)</f>
        <v>0</v>
      </c>
      <c r="N71" s="14" t="n">
        <f aca="false">IF(IF(前提条件!$H$14&lt;=前提条件!$I$14,AND($D71&gt;=前提条件!$H$14,$D71&lt;=前提条件!$I$14),OR($D71&gt;=前提条件!$H$14,$D71&lt;=前提条件!$I$14)),1,0)</f>
        <v>0</v>
      </c>
      <c r="O71" s="14" t="n">
        <f aca="false">IF(IF(前提条件!$H$15&lt;=前提条件!$I$15,AND($D71&gt;=前提条件!$H$15,$D71&lt;=前提条件!$I$15),OR($D71&gt;=前提条件!$H$15,$D71&lt;=前提条件!$I$15)),1,0)</f>
        <v>0</v>
      </c>
    </row>
    <row r="72" customFormat="false" ht="15" hidden="false" customHeight="false" outlineLevel="0" collapsed="false">
      <c r="A72" s="48" t="n">
        <v>3</v>
      </c>
      <c r="B72" s="48" t="n">
        <v>10</v>
      </c>
      <c r="C72" s="48" t="str">
        <f aca="false">A72&amp;"/"&amp;B72</f>
        <v>3/10</v>
      </c>
      <c r="D72" s="48" t="n">
        <f aca="false">A72*100+B72</f>
        <v>310</v>
      </c>
      <c r="E72" s="45" t="n">
        <f aca="false">IF(SUM(J72:K72)&gt;0,前提条件!$B$6,前提条件!$B$8)</f>
        <v>3</v>
      </c>
      <c r="F72" s="48" t="str">
        <f aca="false">IFERROR(INDEX(前提条件!$B$12:$B$15,MATCH(1,L72:O72,0)),"未設定")</f>
        <v>標準形</v>
      </c>
      <c r="G72" s="48" t="str">
        <f aca="false">IFERROR(INDEX(前提条件!$C$12:$C$15,MATCH(1,L72:O72,0)),"未設定")</f>
        <v>標準期</v>
      </c>
      <c r="H72" s="44" t="str">
        <f aca="false">"S値+"&amp;E72&amp;"／"&amp;F72&amp;"（"&amp;G72&amp;"）"</f>
        <v>S値+3／標準形（標準期）</v>
      </c>
      <c r="J72" s="14" t="n">
        <f aca="false">IF(IF(前提条件!$G$6&lt;=前提条件!$H$6,AND($D72&gt;=前提条件!$G$6,$D72&lt;=前提条件!$H$6),OR($D72&gt;=前提条件!$G$6,$D72&lt;=前提条件!$H$6)),1,0)</f>
        <v>0</v>
      </c>
      <c r="K72" s="14" t="n">
        <f aca="false">IF(IF(前提条件!$G$7&lt;=前提条件!$H$7,AND($D72&gt;=前提条件!$G$7,$D72&lt;=前提条件!$H$7),OR($D72&gt;=前提条件!$G$7,$D72&lt;=前提条件!$H$7)),1,0)</f>
        <v>0</v>
      </c>
      <c r="L72" s="14" t="n">
        <f aca="false">IF(IF(前提条件!$H$12&lt;=前提条件!$I$12,AND($D72&gt;=前提条件!$H$12,$D72&lt;=前提条件!$I$12),OR($D72&gt;=前提条件!$H$12,$D72&lt;=前提条件!$I$12)),1,0)</f>
        <v>1</v>
      </c>
      <c r="M72" s="14" t="n">
        <f aca="false">IF(IF(前提条件!$H$13&lt;=前提条件!$I$13,AND($D72&gt;=前提条件!$H$13,$D72&lt;=前提条件!$I$13),OR($D72&gt;=前提条件!$H$13,$D72&lt;=前提条件!$I$13)),1,0)</f>
        <v>0</v>
      </c>
      <c r="N72" s="14" t="n">
        <f aca="false">IF(IF(前提条件!$H$14&lt;=前提条件!$I$14,AND($D72&gt;=前提条件!$H$14,$D72&lt;=前提条件!$I$14),OR($D72&gt;=前提条件!$H$14,$D72&lt;=前提条件!$I$14)),1,0)</f>
        <v>0</v>
      </c>
      <c r="O72" s="14" t="n">
        <f aca="false">IF(IF(前提条件!$H$15&lt;=前提条件!$I$15,AND($D72&gt;=前提条件!$H$15,$D72&lt;=前提条件!$I$15),OR($D72&gt;=前提条件!$H$15,$D72&lt;=前提条件!$I$15)),1,0)</f>
        <v>0</v>
      </c>
    </row>
    <row r="73" customFormat="false" ht="15" hidden="false" customHeight="false" outlineLevel="0" collapsed="false">
      <c r="A73" s="48" t="n">
        <v>3</v>
      </c>
      <c r="B73" s="48" t="n">
        <v>11</v>
      </c>
      <c r="C73" s="48" t="str">
        <f aca="false">A73&amp;"/"&amp;B73</f>
        <v>3/11</v>
      </c>
      <c r="D73" s="48" t="n">
        <f aca="false">A73*100+B73</f>
        <v>311</v>
      </c>
      <c r="E73" s="45" t="n">
        <f aca="false">IF(SUM(J73:K73)&gt;0,前提条件!$B$6,前提条件!$B$8)</f>
        <v>3</v>
      </c>
      <c r="F73" s="48" t="str">
        <f aca="false">IFERROR(INDEX(前提条件!$B$12:$B$15,MATCH(1,L73:O73,0)),"未設定")</f>
        <v>標準形</v>
      </c>
      <c r="G73" s="48" t="str">
        <f aca="false">IFERROR(INDEX(前提条件!$C$12:$C$15,MATCH(1,L73:O73,0)),"未設定")</f>
        <v>標準期</v>
      </c>
      <c r="H73" s="44" t="str">
        <f aca="false">"S値+"&amp;E73&amp;"／"&amp;F73&amp;"（"&amp;G73&amp;"）"</f>
        <v>S値+3／標準形（標準期）</v>
      </c>
      <c r="J73" s="14" t="n">
        <f aca="false">IF(IF(前提条件!$G$6&lt;=前提条件!$H$6,AND($D73&gt;=前提条件!$G$6,$D73&lt;=前提条件!$H$6),OR($D73&gt;=前提条件!$G$6,$D73&lt;=前提条件!$H$6)),1,0)</f>
        <v>0</v>
      </c>
      <c r="K73" s="14" t="n">
        <f aca="false">IF(IF(前提条件!$G$7&lt;=前提条件!$H$7,AND($D73&gt;=前提条件!$G$7,$D73&lt;=前提条件!$H$7),OR($D73&gt;=前提条件!$G$7,$D73&lt;=前提条件!$H$7)),1,0)</f>
        <v>0</v>
      </c>
      <c r="L73" s="14" t="n">
        <f aca="false">IF(IF(前提条件!$H$12&lt;=前提条件!$I$12,AND($D73&gt;=前提条件!$H$12,$D73&lt;=前提条件!$I$12),OR($D73&gt;=前提条件!$H$12,$D73&lt;=前提条件!$I$12)),1,0)</f>
        <v>1</v>
      </c>
      <c r="M73" s="14" t="n">
        <f aca="false">IF(IF(前提条件!$H$13&lt;=前提条件!$I$13,AND($D73&gt;=前提条件!$H$13,$D73&lt;=前提条件!$I$13),OR($D73&gt;=前提条件!$H$13,$D73&lt;=前提条件!$I$13)),1,0)</f>
        <v>0</v>
      </c>
      <c r="N73" s="14" t="n">
        <f aca="false">IF(IF(前提条件!$H$14&lt;=前提条件!$I$14,AND($D73&gt;=前提条件!$H$14,$D73&lt;=前提条件!$I$14),OR($D73&gt;=前提条件!$H$14,$D73&lt;=前提条件!$I$14)),1,0)</f>
        <v>0</v>
      </c>
      <c r="O73" s="14" t="n">
        <f aca="false">IF(IF(前提条件!$H$15&lt;=前提条件!$I$15,AND($D73&gt;=前提条件!$H$15,$D73&lt;=前提条件!$I$15),OR($D73&gt;=前提条件!$H$15,$D73&lt;=前提条件!$I$15)),1,0)</f>
        <v>0</v>
      </c>
    </row>
    <row r="74" customFormat="false" ht="15" hidden="false" customHeight="false" outlineLevel="0" collapsed="false">
      <c r="A74" s="48" t="n">
        <v>3</v>
      </c>
      <c r="B74" s="48" t="n">
        <v>12</v>
      </c>
      <c r="C74" s="48" t="str">
        <f aca="false">A74&amp;"/"&amp;B74</f>
        <v>3/12</v>
      </c>
      <c r="D74" s="48" t="n">
        <f aca="false">A74*100+B74</f>
        <v>312</v>
      </c>
      <c r="E74" s="45" t="n">
        <f aca="false">IF(SUM(J74:K74)&gt;0,前提条件!$B$6,前提条件!$B$8)</f>
        <v>3</v>
      </c>
      <c r="F74" s="48" t="str">
        <f aca="false">IFERROR(INDEX(前提条件!$B$12:$B$15,MATCH(1,L74:O74,0)),"未設定")</f>
        <v>標準形</v>
      </c>
      <c r="G74" s="48" t="str">
        <f aca="false">IFERROR(INDEX(前提条件!$C$12:$C$15,MATCH(1,L74:O74,0)),"未設定")</f>
        <v>標準期</v>
      </c>
      <c r="H74" s="44" t="str">
        <f aca="false">"S値+"&amp;E74&amp;"／"&amp;F74&amp;"（"&amp;G74&amp;"）"</f>
        <v>S値+3／標準形（標準期）</v>
      </c>
      <c r="J74" s="14" t="n">
        <f aca="false">IF(IF(前提条件!$G$6&lt;=前提条件!$H$6,AND($D74&gt;=前提条件!$G$6,$D74&lt;=前提条件!$H$6),OR($D74&gt;=前提条件!$G$6,$D74&lt;=前提条件!$H$6)),1,0)</f>
        <v>0</v>
      </c>
      <c r="K74" s="14" t="n">
        <f aca="false">IF(IF(前提条件!$G$7&lt;=前提条件!$H$7,AND($D74&gt;=前提条件!$G$7,$D74&lt;=前提条件!$H$7),OR($D74&gt;=前提条件!$G$7,$D74&lt;=前提条件!$H$7)),1,0)</f>
        <v>0</v>
      </c>
      <c r="L74" s="14" t="n">
        <f aca="false">IF(IF(前提条件!$H$12&lt;=前提条件!$I$12,AND($D74&gt;=前提条件!$H$12,$D74&lt;=前提条件!$I$12),OR($D74&gt;=前提条件!$H$12,$D74&lt;=前提条件!$I$12)),1,0)</f>
        <v>1</v>
      </c>
      <c r="M74" s="14" t="n">
        <f aca="false">IF(IF(前提条件!$H$13&lt;=前提条件!$I$13,AND($D74&gt;=前提条件!$H$13,$D74&lt;=前提条件!$I$13),OR($D74&gt;=前提条件!$H$13,$D74&lt;=前提条件!$I$13)),1,0)</f>
        <v>0</v>
      </c>
      <c r="N74" s="14" t="n">
        <f aca="false">IF(IF(前提条件!$H$14&lt;=前提条件!$I$14,AND($D74&gt;=前提条件!$H$14,$D74&lt;=前提条件!$I$14),OR($D74&gt;=前提条件!$H$14,$D74&lt;=前提条件!$I$14)),1,0)</f>
        <v>0</v>
      </c>
      <c r="O74" s="14" t="n">
        <f aca="false">IF(IF(前提条件!$H$15&lt;=前提条件!$I$15,AND($D74&gt;=前提条件!$H$15,$D74&lt;=前提条件!$I$15),OR($D74&gt;=前提条件!$H$15,$D74&lt;=前提条件!$I$15)),1,0)</f>
        <v>0</v>
      </c>
    </row>
    <row r="75" customFormat="false" ht="15" hidden="false" customHeight="false" outlineLevel="0" collapsed="false">
      <c r="A75" s="48" t="n">
        <v>3</v>
      </c>
      <c r="B75" s="48" t="n">
        <v>13</v>
      </c>
      <c r="C75" s="48" t="str">
        <f aca="false">A75&amp;"/"&amp;B75</f>
        <v>3/13</v>
      </c>
      <c r="D75" s="48" t="n">
        <f aca="false">A75*100+B75</f>
        <v>313</v>
      </c>
      <c r="E75" s="45" t="n">
        <f aca="false">IF(SUM(J75:K75)&gt;0,前提条件!$B$6,前提条件!$B$8)</f>
        <v>3</v>
      </c>
      <c r="F75" s="48" t="str">
        <f aca="false">IFERROR(INDEX(前提条件!$B$12:$B$15,MATCH(1,L75:O75,0)),"未設定")</f>
        <v>標準形</v>
      </c>
      <c r="G75" s="48" t="str">
        <f aca="false">IFERROR(INDEX(前提条件!$C$12:$C$15,MATCH(1,L75:O75,0)),"未設定")</f>
        <v>標準期</v>
      </c>
      <c r="H75" s="44" t="str">
        <f aca="false">"S値+"&amp;E75&amp;"／"&amp;F75&amp;"（"&amp;G75&amp;"）"</f>
        <v>S値+3／標準形（標準期）</v>
      </c>
      <c r="J75" s="14" t="n">
        <f aca="false">IF(IF(前提条件!$G$6&lt;=前提条件!$H$6,AND($D75&gt;=前提条件!$G$6,$D75&lt;=前提条件!$H$6),OR($D75&gt;=前提条件!$G$6,$D75&lt;=前提条件!$H$6)),1,0)</f>
        <v>0</v>
      </c>
      <c r="K75" s="14" t="n">
        <f aca="false">IF(IF(前提条件!$G$7&lt;=前提条件!$H$7,AND($D75&gt;=前提条件!$G$7,$D75&lt;=前提条件!$H$7),OR($D75&gt;=前提条件!$G$7,$D75&lt;=前提条件!$H$7)),1,0)</f>
        <v>0</v>
      </c>
      <c r="L75" s="14" t="n">
        <f aca="false">IF(IF(前提条件!$H$12&lt;=前提条件!$I$12,AND($D75&gt;=前提条件!$H$12,$D75&lt;=前提条件!$I$12),OR($D75&gt;=前提条件!$H$12,$D75&lt;=前提条件!$I$12)),1,0)</f>
        <v>1</v>
      </c>
      <c r="M75" s="14" t="n">
        <f aca="false">IF(IF(前提条件!$H$13&lt;=前提条件!$I$13,AND($D75&gt;=前提条件!$H$13,$D75&lt;=前提条件!$I$13),OR($D75&gt;=前提条件!$H$13,$D75&lt;=前提条件!$I$13)),1,0)</f>
        <v>0</v>
      </c>
      <c r="N75" s="14" t="n">
        <f aca="false">IF(IF(前提条件!$H$14&lt;=前提条件!$I$14,AND($D75&gt;=前提条件!$H$14,$D75&lt;=前提条件!$I$14),OR($D75&gt;=前提条件!$H$14,$D75&lt;=前提条件!$I$14)),1,0)</f>
        <v>0</v>
      </c>
      <c r="O75" s="14" t="n">
        <f aca="false">IF(IF(前提条件!$H$15&lt;=前提条件!$I$15,AND($D75&gt;=前提条件!$H$15,$D75&lt;=前提条件!$I$15),OR($D75&gt;=前提条件!$H$15,$D75&lt;=前提条件!$I$15)),1,0)</f>
        <v>0</v>
      </c>
    </row>
    <row r="76" customFormat="false" ht="15" hidden="false" customHeight="false" outlineLevel="0" collapsed="false">
      <c r="A76" s="48" t="n">
        <v>3</v>
      </c>
      <c r="B76" s="48" t="n">
        <v>14</v>
      </c>
      <c r="C76" s="48" t="str">
        <f aca="false">A76&amp;"/"&amp;B76</f>
        <v>3/14</v>
      </c>
      <c r="D76" s="48" t="n">
        <f aca="false">A76*100+B76</f>
        <v>314</v>
      </c>
      <c r="E76" s="45" t="n">
        <f aca="false">IF(SUM(J76:K76)&gt;0,前提条件!$B$6,前提条件!$B$8)</f>
        <v>3</v>
      </c>
      <c r="F76" s="48" t="str">
        <f aca="false">IFERROR(INDEX(前提条件!$B$12:$B$15,MATCH(1,L76:O76,0)),"未設定")</f>
        <v>標準形</v>
      </c>
      <c r="G76" s="48" t="str">
        <f aca="false">IFERROR(INDEX(前提条件!$C$12:$C$15,MATCH(1,L76:O76,0)),"未設定")</f>
        <v>標準期</v>
      </c>
      <c r="H76" s="44" t="str">
        <f aca="false">"S値+"&amp;E76&amp;"／"&amp;F76&amp;"（"&amp;G76&amp;"）"</f>
        <v>S値+3／標準形（標準期）</v>
      </c>
      <c r="J76" s="14" t="n">
        <f aca="false">IF(IF(前提条件!$G$6&lt;=前提条件!$H$6,AND($D76&gt;=前提条件!$G$6,$D76&lt;=前提条件!$H$6),OR($D76&gt;=前提条件!$G$6,$D76&lt;=前提条件!$H$6)),1,0)</f>
        <v>0</v>
      </c>
      <c r="K76" s="14" t="n">
        <f aca="false">IF(IF(前提条件!$G$7&lt;=前提条件!$H$7,AND($D76&gt;=前提条件!$G$7,$D76&lt;=前提条件!$H$7),OR($D76&gt;=前提条件!$G$7,$D76&lt;=前提条件!$H$7)),1,0)</f>
        <v>0</v>
      </c>
      <c r="L76" s="14" t="n">
        <f aca="false">IF(IF(前提条件!$H$12&lt;=前提条件!$I$12,AND($D76&gt;=前提条件!$H$12,$D76&lt;=前提条件!$I$12),OR($D76&gt;=前提条件!$H$12,$D76&lt;=前提条件!$I$12)),1,0)</f>
        <v>1</v>
      </c>
      <c r="M76" s="14" t="n">
        <f aca="false">IF(IF(前提条件!$H$13&lt;=前提条件!$I$13,AND($D76&gt;=前提条件!$H$13,$D76&lt;=前提条件!$I$13),OR($D76&gt;=前提条件!$H$13,$D76&lt;=前提条件!$I$13)),1,0)</f>
        <v>0</v>
      </c>
      <c r="N76" s="14" t="n">
        <f aca="false">IF(IF(前提条件!$H$14&lt;=前提条件!$I$14,AND($D76&gt;=前提条件!$H$14,$D76&lt;=前提条件!$I$14),OR($D76&gt;=前提条件!$H$14,$D76&lt;=前提条件!$I$14)),1,0)</f>
        <v>0</v>
      </c>
      <c r="O76" s="14" t="n">
        <f aca="false">IF(IF(前提条件!$H$15&lt;=前提条件!$I$15,AND($D76&gt;=前提条件!$H$15,$D76&lt;=前提条件!$I$15),OR($D76&gt;=前提条件!$H$15,$D76&lt;=前提条件!$I$15)),1,0)</f>
        <v>0</v>
      </c>
    </row>
    <row r="77" customFormat="false" ht="15" hidden="false" customHeight="false" outlineLevel="0" collapsed="false">
      <c r="A77" s="48" t="n">
        <v>3</v>
      </c>
      <c r="B77" s="48" t="n">
        <v>15</v>
      </c>
      <c r="C77" s="48" t="str">
        <f aca="false">A77&amp;"/"&amp;B77</f>
        <v>3/15</v>
      </c>
      <c r="D77" s="48" t="n">
        <f aca="false">A77*100+B77</f>
        <v>315</v>
      </c>
      <c r="E77" s="45" t="n">
        <f aca="false">IF(SUM(J77:K77)&gt;0,前提条件!$B$6,前提条件!$B$8)</f>
        <v>3</v>
      </c>
      <c r="F77" s="48" t="str">
        <f aca="false">IFERROR(INDEX(前提条件!$B$12:$B$15,MATCH(1,L77:O77,0)),"未設定")</f>
        <v>標準形</v>
      </c>
      <c r="G77" s="48" t="str">
        <f aca="false">IFERROR(INDEX(前提条件!$C$12:$C$15,MATCH(1,L77:O77,0)),"未設定")</f>
        <v>標準期</v>
      </c>
      <c r="H77" s="44" t="str">
        <f aca="false">"S値+"&amp;E77&amp;"／"&amp;F77&amp;"（"&amp;G77&amp;"）"</f>
        <v>S値+3／標準形（標準期）</v>
      </c>
      <c r="J77" s="14" t="n">
        <f aca="false">IF(IF(前提条件!$G$6&lt;=前提条件!$H$6,AND($D77&gt;=前提条件!$G$6,$D77&lt;=前提条件!$H$6),OR($D77&gt;=前提条件!$G$6,$D77&lt;=前提条件!$H$6)),1,0)</f>
        <v>0</v>
      </c>
      <c r="K77" s="14" t="n">
        <f aca="false">IF(IF(前提条件!$G$7&lt;=前提条件!$H$7,AND($D77&gt;=前提条件!$G$7,$D77&lt;=前提条件!$H$7),OR($D77&gt;=前提条件!$G$7,$D77&lt;=前提条件!$H$7)),1,0)</f>
        <v>0</v>
      </c>
      <c r="L77" s="14" t="n">
        <f aca="false">IF(IF(前提条件!$H$12&lt;=前提条件!$I$12,AND($D77&gt;=前提条件!$H$12,$D77&lt;=前提条件!$I$12),OR($D77&gt;=前提条件!$H$12,$D77&lt;=前提条件!$I$12)),1,0)</f>
        <v>1</v>
      </c>
      <c r="M77" s="14" t="n">
        <f aca="false">IF(IF(前提条件!$H$13&lt;=前提条件!$I$13,AND($D77&gt;=前提条件!$H$13,$D77&lt;=前提条件!$I$13),OR($D77&gt;=前提条件!$H$13,$D77&lt;=前提条件!$I$13)),1,0)</f>
        <v>0</v>
      </c>
      <c r="N77" s="14" t="n">
        <f aca="false">IF(IF(前提条件!$H$14&lt;=前提条件!$I$14,AND($D77&gt;=前提条件!$H$14,$D77&lt;=前提条件!$I$14),OR($D77&gt;=前提条件!$H$14,$D77&lt;=前提条件!$I$14)),1,0)</f>
        <v>0</v>
      </c>
      <c r="O77" s="14" t="n">
        <f aca="false">IF(IF(前提条件!$H$15&lt;=前提条件!$I$15,AND($D77&gt;=前提条件!$H$15,$D77&lt;=前提条件!$I$15),OR($D77&gt;=前提条件!$H$15,$D77&lt;=前提条件!$I$15)),1,0)</f>
        <v>0</v>
      </c>
    </row>
    <row r="78" customFormat="false" ht="15" hidden="false" customHeight="false" outlineLevel="0" collapsed="false">
      <c r="A78" s="48" t="n">
        <v>3</v>
      </c>
      <c r="B78" s="48" t="n">
        <v>16</v>
      </c>
      <c r="C78" s="48" t="str">
        <f aca="false">A78&amp;"/"&amp;B78</f>
        <v>3/16</v>
      </c>
      <c r="D78" s="48" t="n">
        <f aca="false">A78*100+B78</f>
        <v>316</v>
      </c>
      <c r="E78" s="45" t="n">
        <f aca="false">IF(SUM(J78:K78)&gt;0,前提条件!$B$6,前提条件!$B$8)</f>
        <v>3</v>
      </c>
      <c r="F78" s="48" t="str">
        <f aca="false">IFERROR(INDEX(前提条件!$B$12:$B$15,MATCH(1,L78:O78,0)),"未設定")</f>
        <v>標準形</v>
      </c>
      <c r="G78" s="48" t="str">
        <f aca="false">IFERROR(INDEX(前提条件!$C$12:$C$15,MATCH(1,L78:O78,0)),"未設定")</f>
        <v>標準期</v>
      </c>
      <c r="H78" s="44" t="str">
        <f aca="false">"S値+"&amp;E78&amp;"／"&amp;F78&amp;"（"&amp;G78&amp;"）"</f>
        <v>S値+3／標準形（標準期）</v>
      </c>
      <c r="J78" s="14" t="n">
        <f aca="false">IF(IF(前提条件!$G$6&lt;=前提条件!$H$6,AND($D78&gt;=前提条件!$G$6,$D78&lt;=前提条件!$H$6),OR($D78&gt;=前提条件!$G$6,$D78&lt;=前提条件!$H$6)),1,0)</f>
        <v>0</v>
      </c>
      <c r="K78" s="14" t="n">
        <f aca="false">IF(IF(前提条件!$G$7&lt;=前提条件!$H$7,AND($D78&gt;=前提条件!$G$7,$D78&lt;=前提条件!$H$7),OR($D78&gt;=前提条件!$G$7,$D78&lt;=前提条件!$H$7)),1,0)</f>
        <v>0</v>
      </c>
      <c r="L78" s="14" t="n">
        <f aca="false">IF(IF(前提条件!$H$12&lt;=前提条件!$I$12,AND($D78&gt;=前提条件!$H$12,$D78&lt;=前提条件!$I$12),OR($D78&gt;=前提条件!$H$12,$D78&lt;=前提条件!$I$12)),1,0)</f>
        <v>1</v>
      </c>
      <c r="M78" s="14" t="n">
        <f aca="false">IF(IF(前提条件!$H$13&lt;=前提条件!$I$13,AND($D78&gt;=前提条件!$H$13,$D78&lt;=前提条件!$I$13),OR($D78&gt;=前提条件!$H$13,$D78&lt;=前提条件!$I$13)),1,0)</f>
        <v>0</v>
      </c>
      <c r="N78" s="14" t="n">
        <f aca="false">IF(IF(前提条件!$H$14&lt;=前提条件!$I$14,AND($D78&gt;=前提条件!$H$14,$D78&lt;=前提条件!$I$14),OR($D78&gt;=前提条件!$H$14,$D78&lt;=前提条件!$I$14)),1,0)</f>
        <v>0</v>
      </c>
      <c r="O78" s="14" t="n">
        <f aca="false">IF(IF(前提条件!$H$15&lt;=前提条件!$I$15,AND($D78&gt;=前提条件!$H$15,$D78&lt;=前提条件!$I$15),OR($D78&gt;=前提条件!$H$15,$D78&lt;=前提条件!$I$15)),1,0)</f>
        <v>0</v>
      </c>
    </row>
    <row r="79" customFormat="false" ht="15" hidden="false" customHeight="false" outlineLevel="0" collapsed="false">
      <c r="A79" s="48" t="n">
        <v>3</v>
      </c>
      <c r="B79" s="48" t="n">
        <v>17</v>
      </c>
      <c r="C79" s="48" t="str">
        <f aca="false">A79&amp;"/"&amp;B79</f>
        <v>3/17</v>
      </c>
      <c r="D79" s="48" t="n">
        <f aca="false">A79*100+B79</f>
        <v>317</v>
      </c>
      <c r="E79" s="45" t="n">
        <f aca="false">IF(SUM(J79:K79)&gt;0,前提条件!$B$6,前提条件!$B$8)</f>
        <v>3</v>
      </c>
      <c r="F79" s="48" t="str">
        <f aca="false">IFERROR(INDEX(前提条件!$B$12:$B$15,MATCH(1,L79:O79,0)),"未設定")</f>
        <v>標準形</v>
      </c>
      <c r="G79" s="48" t="str">
        <f aca="false">IFERROR(INDEX(前提条件!$C$12:$C$15,MATCH(1,L79:O79,0)),"未設定")</f>
        <v>標準期</v>
      </c>
      <c r="H79" s="44" t="str">
        <f aca="false">"S値+"&amp;E79&amp;"／"&amp;F79&amp;"（"&amp;G79&amp;"）"</f>
        <v>S値+3／標準形（標準期）</v>
      </c>
      <c r="J79" s="14" t="n">
        <f aca="false">IF(IF(前提条件!$G$6&lt;=前提条件!$H$6,AND($D79&gt;=前提条件!$G$6,$D79&lt;=前提条件!$H$6),OR($D79&gt;=前提条件!$G$6,$D79&lt;=前提条件!$H$6)),1,0)</f>
        <v>0</v>
      </c>
      <c r="K79" s="14" t="n">
        <f aca="false">IF(IF(前提条件!$G$7&lt;=前提条件!$H$7,AND($D79&gt;=前提条件!$G$7,$D79&lt;=前提条件!$H$7),OR($D79&gt;=前提条件!$G$7,$D79&lt;=前提条件!$H$7)),1,0)</f>
        <v>0</v>
      </c>
      <c r="L79" s="14" t="n">
        <f aca="false">IF(IF(前提条件!$H$12&lt;=前提条件!$I$12,AND($D79&gt;=前提条件!$H$12,$D79&lt;=前提条件!$I$12),OR($D79&gt;=前提条件!$H$12,$D79&lt;=前提条件!$I$12)),1,0)</f>
        <v>1</v>
      </c>
      <c r="M79" s="14" t="n">
        <f aca="false">IF(IF(前提条件!$H$13&lt;=前提条件!$I$13,AND($D79&gt;=前提条件!$H$13,$D79&lt;=前提条件!$I$13),OR($D79&gt;=前提条件!$H$13,$D79&lt;=前提条件!$I$13)),1,0)</f>
        <v>0</v>
      </c>
      <c r="N79" s="14" t="n">
        <f aca="false">IF(IF(前提条件!$H$14&lt;=前提条件!$I$14,AND($D79&gt;=前提条件!$H$14,$D79&lt;=前提条件!$I$14),OR($D79&gt;=前提条件!$H$14,$D79&lt;=前提条件!$I$14)),1,0)</f>
        <v>0</v>
      </c>
      <c r="O79" s="14" t="n">
        <f aca="false">IF(IF(前提条件!$H$15&lt;=前提条件!$I$15,AND($D79&gt;=前提条件!$H$15,$D79&lt;=前提条件!$I$15),OR($D79&gt;=前提条件!$H$15,$D79&lt;=前提条件!$I$15)),1,0)</f>
        <v>0</v>
      </c>
    </row>
    <row r="80" customFormat="false" ht="15" hidden="false" customHeight="false" outlineLevel="0" collapsed="false">
      <c r="A80" s="48" t="n">
        <v>3</v>
      </c>
      <c r="B80" s="48" t="n">
        <v>18</v>
      </c>
      <c r="C80" s="48" t="str">
        <f aca="false">A80&amp;"/"&amp;B80</f>
        <v>3/18</v>
      </c>
      <c r="D80" s="48" t="n">
        <f aca="false">A80*100+B80</f>
        <v>318</v>
      </c>
      <c r="E80" s="45" t="n">
        <f aca="false">IF(SUM(J80:K80)&gt;0,前提条件!$B$6,前提条件!$B$8)</f>
        <v>3</v>
      </c>
      <c r="F80" s="48" t="str">
        <f aca="false">IFERROR(INDEX(前提条件!$B$12:$B$15,MATCH(1,L80:O80,0)),"未設定")</f>
        <v>標準形</v>
      </c>
      <c r="G80" s="48" t="str">
        <f aca="false">IFERROR(INDEX(前提条件!$C$12:$C$15,MATCH(1,L80:O80,0)),"未設定")</f>
        <v>標準期</v>
      </c>
      <c r="H80" s="44" t="str">
        <f aca="false">"S値+"&amp;E80&amp;"／"&amp;F80&amp;"（"&amp;G80&amp;"）"</f>
        <v>S値+3／標準形（標準期）</v>
      </c>
      <c r="J80" s="14" t="n">
        <f aca="false">IF(IF(前提条件!$G$6&lt;=前提条件!$H$6,AND($D80&gt;=前提条件!$G$6,$D80&lt;=前提条件!$H$6),OR($D80&gt;=前提条件!$G$6,$D80&lt;=前提条件!$H$6)),1,0)</f>
        <v>0</v>
      </c>
      <c r="K80" s="14" t="n">
        <f aca="false">IF(IF(前提条件!$G$7&lt;=前提条件!$H$7,AND($D80&gt;=前提条件!$G$7,$D80&lt;=前提条件!$H$7),OR($D80&gt;=前提条件!$G$7,$D80&lt;=前提条件!$H$7)),1,0)</f>
        <v>0</v>
      </c>
      <c r="L80" s="14" t="n">
        <f aca="false">IF(IF(前提条件!$H$12&lt;=前提条件!$I$12,AND($D80&gt;=前提条件!$H$12,$D80&lt;=前提条件!$I$12),OR($D80&gt;=前提条件!$H$12,$D80&lt;=前提条件!$I$12)),1,0)</f>
        <v>1</v>
      </c>
      <c r="M80" s="14" t="n">
        <f aca="false">IF(IF(前提条件!$H$13&lt;=前提条件!$I$13,AND($D80&gt;=前提条件!$H$13,$D80&lt;=前提条件!$I$13),OR($D80&gt;=前提条件!$H$13,$D80&lt;=前提条件!$I$13)),1,0)</f>
        <v>0</v>
      </c>
      <c r="N80" s="14" t="n">
        <f aca="false">IF(IF(前提条件!$H$14&lt;=前提条件!$I$14,AND($D80&gt;=前提条件!$H$14,$D80&lt;=前提条件!$I$14),OR($D80&gt;=前提条件!$H$14,$D80&lt;=前提条件!$I$14)),1,0)</f>
        <v>0</v>
      </c>
      <c r="O80" s="14" t="n">
        <f aca="false">IF(IF(前提条件!$H$15&lt;=前提条件!$I$15,AND($D80&gt;=前提条件!$H$15,$D80&lt;=前提条件!$I$15),OR($D80&gt;=前提条件!$H$15,$D80&lt;=前提条件!$I$15)),1,0)</f>
        <v>0</v>
      </c>
    </row>
    <row r="81" customFormat="false" ht="15" hidden="false" customHeight="false" outlineLevel="0" collapsed="false">
      <c r="A81" s="48" t="n">
        <v>3</v>
      </c>
      <c r="B81" s="48" t="n">
        <v>19</v>
      </c>
      <c r="C81" s="48" t="str">
        <f aca="false">A81&amp;"/"&amp;B81</f>
        <v>3/19</v>
      </c>
      <c r="D81" s="48" t="n">
        <f aca="false">A81*100+B81</f>
        <v>319</v>
      </c>
      <c r="E81" s="45" t="n">
        <f aca="false">IF(SUM(J81:K81)&gt;0,前提条件!$B$6,前提条件!$B$8)</f>
        <v>3</v>
      </c>
      <c r="F81" s="48" t="str">
        <f aca="false">IFERROR(INDEX(前提条件!$B$12:$B$15,MATCH(1,L81:O81,0)),"未設定")</f>
        <v>標準形</v>
      </c>
      <c r="G81" s="48" t="str">
        <f aca="false">IFERROR(INDEX(前提条件!$C$12:$C$15,MATCH(1,L81:O81,0)),"未設定")</f>
        <v>標準期</v>
      </c>
      <c r="H81" s="44" t="str">
        <f aca="false">"S値+"&amp;E81&amp;"／"&amp;F81&amp;"（"&amp;G81&amp;"）"</f>
        <v>S値+3／標準形（標準期）</v>
      </c>
      <c r="J81" s="14" t="n">
        <f aca="false">IF(IF(前提条件!$G$6&lt;=前提条件!$H$6,AND($D81&gt;=前提条件!$G$6,$D81&lt;=前提条件!$H$6),OR($D81&gt;=前提条件!$G$6,$D81&lt;=前提条件!$H$6)),1,0)</f>
        <v>0</v>
      </c>
      <c r="K81" s="14" t="n">
        <f aca="false">IF(IF(前提条件!$G$7&lt;=前提条件!$H$7,AND($D81&gt;=前提条件!$G$7,$D81&lt;=前提条件!$H$7),OR($D81&gt;=前提条件!$G$7,$D81&lt;=前提条件!$H$7)),1,0)</f>
        <v>0</v>
      </c>
      <c r="L81" s="14" t="n">
        <f aca="false">IF(IF(前提条件!$H$12&lt;=前提条件!$I$12,AND($D81&gt;=前提条件!$H$12,$D81&lt;=前提条件!$I$12),OR($D81&gt;=前提条件!$H$12,$D81&lt;=前提条件!$I$12)),1,0)</f>
        <v>1</v>
      </c>
      <c r="M81" s="14" t="n">
        <f aca="false">IF(IF(前提条件!$H$13&lt;=前提条件!$I$13,AND($D81&gt;=前提条件!$H$13,$D81&lt;=前提条件!$I$13),OR($D81&gt;=前提条件!$H$13,$D81&lt;=前提条件!$I$13)),1,0)</f>
        <v>0</v>
      </c>
      <c r="N81" s="14" t="n">
        <f aca="false">IF(IF(前提条件!$H$14&lt;=前提条件!$I$14,AND($D81&gt;=前提条件!$H$14,$D81&lt;=前提条件!$I$14),OR($D81&gt;=前提条件!$H$14,$D81&lt;=前提条件!$I$14)),1,0)</f>
        <v>0</v>
      </c>
      <c r="O81" s="14" t="n">
        <f aca="false">IF(IF(前提条件!$H$15&lt;=前提条件!$I$15,AND($D81&gt;=前提条件!$H$15,$D81&lt;=前提条件!$I$15),OR($D81&gt;=前提条件!$H$15,$D81&lt;=前提条件!$I$15)),1,0)</f>
        <v>0</v>
      </c>
    </row>
    <row r="82" customFormat="false" ht="15" hidden="false" customHeight="false" outlineLevel="0" collapsed="false">
      <c r="A82" s="48" t="n">
        <v>3</v>
      </c>
      <c r="B82" s="48" t="n">
        <v>20</v>
      </c>
      <c r="C82" s="48" t="str">
        <f aca="false">A82&amp;"/"&amp;B82</f>
        <v>3/20</v>
      </c>
      <c r="D82" s="48" t="n">
        <f aca="false">A82*100+B82</f>
        <v>320</v>
      </c>
      <c r="E82" s="45" t="n">
        <f aca="false">IF(SUM(J82:K82)&gt;0,前提条件!$B$6,前提条件!$B$8)</f>
        <v>3</v>
      </c>
      <c r="F82" s="48" t="str">
        <f aca="false">IFERROR(INDEX(前提条件!$B$12:$B$15,MATCH(1,L82:O82,0)),"未設定")</f>
        <v>標準形</v>
      </c>
      <c r="G82" s="48" t="str">
        <f aca="false">IFERROR(INDEX(前提条件!$C$12:$C$15,MATCH(1,L82:O82,0)),"未設定")</f>
        <v>標準期</v>
      </c>
      <c r="H82" s="44" t="str">
        <f aca="false">"S値+"&amp;E82&amp;"／"&amp;F82&amp;"（"&amp;G82&amp;"）"</f>
        <v>S値+3／標準形（標準期）</v>
      </c>
      <c r="J82" s="14" t="n">
        <f aca="false">IF(IF(前提条件!$G$6&lt;=前提条件!$H$6,AND($D82&gt;=前提条件!$G$6,$D82&lt;=前提条件!$H$6),OR($D82&gt;=前提条件!$G$6,$D82&lt;=前提条件!$H$6)),1,0)</f>
        <v>0</v>
      </c>
      <c r="K82" s="14" t="n">
        <f aca="false">IF(IF(前提条件!$G$7&lt;=前提条件!$H$7,AND($D82&gt;=前提条件!$G$7,$D82&lt;=前提条件!$H$7),OR($D82&gt;=前提条件!$G$7,$D82&lt;=前提条件!$H$7)),1,0)</f>
        <v>0</v>
      </c>
      <c r="L82" s="14" t="n">
        <f aca="false">IF(IF(前提条件!$H$12&lt;=前提条件!$I$12,AND($D82&gt;=前提条件!$H$12,$D82&lt;=前提条件!$I$12),OR($D82&gt;=前提条件!$H$12,$D82&lt;=前提条件!$I$12)),1,0)</f>
        <v>1</v>
      </c>
      <c r="M82" s="14" t="n">
        <f aca="false">IF(IF(前提条件!$H$13&lt;=前提条件!$I$13,AND($D82&gt;=前提条件!$H$13,$D82&lt;=前提条件!$I$13),OR($D82&gt;=前提条件!$H$13,$D82&lt;=前提条件!$I$13)),1,0)</f>
        <v>0</v>
      </c>
      <c r="N82" s="14" t="n">
        <f aca="false">IF(IF(前提条件!$H$14&lt;=前提条件!$I$14,AND($D82&gt;=前提条件!$H$14,$D82&lt;=前提条件!$I$14),OR($D82&gt;=前提条件!$H$14,$D82&lt;=前提条件!$I$14)),1,0)</f>
        <v>0</v>
      </c>
      <c r="O82" s="14" t="n">
        <f aca="false">IF(IF(前提条件!$H$15&lt;=前提条件!$I$15,AND($D82&gt;=前提条件!$H$15,$D82&lt;=前提条件!$I$15),OR($D82&gt;=前提条件!$H$15,$D82&lt;=前提条件!$I$15)),1,0)</f>
        <v>0</v>
      </c>
    </row>
    <row r="83" customFormat="false" ht="15" hidden="false" customHeight="false" outlineLevel="0" collapsed="false">
      <c r="A83" s="48" t="n">
        <v>3</v>
      </c>
      <c r="B83" s="48" t="n">
        <v>21</v>
      </c>
      <c r="C83" s="48" t="str">
        <f aca="false">A83&amp;"/"&amp;B83</f>
        <v>3/21</v>
      </c>
      <c r="D83" s="48" t="n">
        <f aca="false">A83*100+B83</f>
        <v>321</v>
      </c>
      <c r="E83" s="45" t="n">
        <f aca="false">IF(SUM(J83:K83)&gt;0,前提条件!$B$6,前提条件!$B$8)</f>
        <v>3</v>
      </c>
      <c r="F83" s="48" t="str">
        <f aca="false">IFERROR(INDEX(前提条件!$B$12:$B$15,MATCH(1,L83:O83,0)),"未設定")</f>
        <v>標準形</v>
      </c>
      <c r="G83" s="48" t="str">
        <f aca="false">IFERROR(INDEX(前提条件!$C$12:$C$15,MATCH(1,L83:O83,0)),"未設定")</f>
        <v>標準期</v>
      </c>
      <c r="H83" s="44" t="str">
        <f aca="false">"S値+"&amp;E83&amp;"／"&amp;F83&amp;"（"&amp;G83&amp;"）"</f>
        <v>S値+3／標準形（標準期）</v>
      </c>
      <c r="J83" s="14" t="n">
        <f aca="false">IF(IF(前提条件!$G$6&lt;=前提条件!$H$6,AND($D83&gt;=前提条件!$G$6,$D83&lt;=前提条件!$H$6),OR($D83&gt;=前提条件!$G$6,$D83&lt;=前提条件!$H$6)),1,0)</f>
        <v>0</v>
      </c>
      <c r="K83" s="14" t="n">
        <f aca="false">IF(IF(前提条件!$G$7&lt;=前提条件!$H$7,AND($D83&gt;=前提条件!$G$7,$D83&lt;=前提条件!$H$7),OR($D83&gt;=前提条件!$G$7,$D83&lt;=前提条件!$H$7)),1,0)</f>
        <v>0</v>
      </c>
      <c r="L83" s="14" t="n">
        <f aca="false">IF(IF(前提条件!$H$12&lt;=前提条件!$I$12,AND($D83&gt;=前提条件!$H$12,$D83&lt;=前提条件!$I$12),OR($D83&gt;=前提条件!$H$12,$D83&lt;=前提条件!$I$12)),1,0)</f>
        <v>1</v>
      </c>
      <c r="M83" s="14" t="n">
        <f aca="false">IF(IF(前提条件!$H$13&lt;=前提条件!$I$13,AND($D83&gt;=前提条件!$H$13,$D83&lt;=前提条件!$I$13),OR($D83&gt;=前提条件!$H$13,$D83&lt;=前提条件!$I$13)),1,0)</f>
        <v>0</v>
      </c>
      <c r="N83" s="14" t="n">
        <f aca="false">IF(IF(前提条件!$H$14&lt;=前提条件!$I$14,AND($D83&gt;=前提条件!$H$14,$D83&lt;=前提条件!$I$14),OR($D83&gt;=前提条件!$H$14,$D83&lt;=前提条件!$I$14)),1,0)</f>
        <v>0</v>
      </c>
      <c r="O83" s="14" t="n">
        <f aca="false">IF(IF(前提条件!$H$15&lt;=前提条件!$I$15,AND($D83&gt;=前提条件!$H$15,$D83&lt;=前提条件!$I$15),OR($D83&gt;=前提条件!$H$15,$D83&lt;=前提条件!$I$15)),1,0)</f>
        <v>0</v>
      </c>
    </row>
    <row r="84" customFormat="false" ht="15" hidden="false" customHeight="false" outlineLevel="0" collapsed="false">
      <c r="A84" s="48" t="n">
        <v>3</v>
      </c>
      <c r="B84" s="48" t="n">
        <v>22</v>
      </c>
      <c r="C84" s="48" t="str">
        <f aca="false">A84&amp;"/"&amp;B84</f>
        <v>3/22</v>
      </c>
      <c r="D84" s="48" t="n">
        <f aca="false">A84*100+B84</f>
        <v>322</v>
      </c>
      <c r="E84" s="45" t="n">
        <f aca="false">IF(SUM(J84:K84)&gt;0,前提条件!$B$6,前提条件!$B$8)</f>
        <v>3</v>
      </c>
      <c r="F84" s="48" t="str">
        <f aca="false">IFERROR(INDEX(前提条件!$B$12:$B$15,MATCH(1,L84:O84,0)),"未設定")</f>
        <v>標準形</v>
      </c>
      <c r="G84" s="48" t="str">
        <f aca="false">IFERROR(INDEX(前提条件!$C$12:$C$15,MATCH(1,L84:O84,0)),"未設定")</f>
        <v>標準期</v>
      </c>
      <c r="H84" s="44" t="str">
        <f aca="false">"S値+"&amp;E84&amp;"／"&amp;F84&amp;"（"&amp;G84&amp;"）"</f>
        <v>S値+3／標準形（標準期）</v>
      </c>
      <c r="J84" s="14" t="n">
        <f aca="false">IF(IF(前提条件!$G$6&lt;=前提条件!$H$6,AND($D84&gt;=前提条件!$G$6,$D84&lt;=前提条件!$H$6),OR($D84&gt;=前提条件!$G$6,$D84&lt;=前提条件!$H$6)),1,0)</f>
        <v>0</v>
      </c>
      <c r="K84" s="14" t="n">
        <f aca="false">IF(IF(前提条件!$G$7&lt;=前提条件!$H$7,AND($D84&gt;=前提条件!$G$7,$D84&lt;=前提条件!$H$7),OR($D84&gt;=前提条件!$G$7,$D84&lt;=前提条件!$H$7)),1,0)</f>
        <v>0</v>
      </c>
      <c r="L84" s="14" t="n">
        <f aca="false">IF(IF(前提条件!$H$12&lt;=前提条件!$I$12,AND($D84&gt;=前提条件!$H$12,$D84&lt;=前提条件!$I$12),OR($D84&gt;=前提条件!$H$12,$D84&lt;=前提条件!$I$12)),1,0)</f>
        <v>1</v>
      </c>
      <c r="M84" s="14" t="n">
        <f aca="false">IF(IF(前提条件!$H$13&lt;=前提条件!$I$13,AND($D84&gt;=前提条件!$H$13,$D84&lt;=前提条件!$I$13),OR($D84&gt;=前提条件!$H$13,$D84&lt;=前提条件!$I$13)),1,0)</f>
        <v>0</v>
      </c>
      <c r="N84" s="14" t="n">
        <f aca="false">IF(IF(前提条件!$H$14&lt;=前提条件!$I$14,AND($D84&gt;=前提条件!$H$14,$D84&lt;=前提条件!$I$14),OR($D84&gt;=前提条件!$H$14,$D84&lt;=前提条件!$I$14)),1,0)</f>
        <v>0</v>
      </c>
      <c r="O84" s="14" t="n">
        <f aca="false">IF(IF(前提条件!$H$15&lt;=前提条件!$I$15,AND($D84&gt;=前提条件!$H$15,$D84&lt;=前提条件!$I$15),OR($D84&gt;=前提条件!$H$15,$D84&lt;=前提条件!$I$15)),1,0)</f>
        <v>0</v>
      </c>
    </row>
    <row r="85" customFormat="false" ht="15" hidden="false" customHeight="false" outlineLevel="0" collapsed="false">
      <c r="A85" s="48" t="n">
        <v>3</v>
      </c>
      <c r="B85" s="48" t="n">
        <v>23</v>
      </c>
      <c r="C85" s="48" t="str">
        <f aca="false">A85&amp;"/"&amp;B85</f>
        <v>3/23</v>
      </c>
      <c r="D85" s="48" t="n">
        <f aca="false">A85*100+B85</f>
        <v>323</v>
      </c>
      <c r="E85" s="45" t="n">
        <f aca="false">IF(SUM(J85:K85)&gt;0,前提条件!$B$6,前提条件!$B$8)</f>
        <v>3</v>
      </c>
      <c r="F85" s="48" t="str">
        <f aca="false">IFERROR(INDEX(前提条件!$B$12:$B$15,MATCH(1,L85:O85,0)),"未設定")</f>
        <v>標準形</v>
      </c>
      <c r="G85" s="48" t="str">
        <f aca="false">IFERROR(INDEX(前提条件!$C$12:$C$15,MATCH(1,L85:O85,0)),"未設定")</f>
        <v>標準期</v>
      </c>
      <c r="H85" s="44" t="str">
        <f aca="false">"S値+"&amp;E85&amp;"／"&amp;F85&amp;"（"&amp;G85&amp;"）"</f>
        <v>S値+3／標準形（標準期）</v>
      </c>
      <c r="J85" s="14" t="n">
        <f aca="false">IF(IF(前提条件!$G$6&lt;=前提条件!$H$6,AND($D85&gt;=前提条件!$G$6,$D85&lt;=前提条件!$H$6),OR($D85&gt;=前提条件!$G$6,$D85&lt;=前提条件!$H$6)),1,0)</f>
        <v>0</v>
      </c>
      <c r="K85" s="14" t="n">
        <f aca="false">IF(IF(前提条件!$G$7&lt;=前提条件!$H$7,AND($D85&gt;=前提条件!$G$7,$D85&lt;=前提条件!$H$7),OR($D85&gt;=前提条件!$G$7,$D85&lt;=前提条件!$H$7)),1,0)</f>
        <v>0</v>
      </c>
      <c r="L85" s="14" t="n">
        <f aca="false">IF(IF(前提条件!$H$12&lt;=前提条件!$I$12,AND($D85&gt;=前提条件!$H$12,$D85&lt;=前提条件!$I$12),OR($D85&gt;=前提条件!$H$12,$D85&lt;=前提条件!$I$12)),1,0)</f>
        <v>1</v>
      </c>
      <c r="M85" s="14" t="n">
        <f aca="false">IF(IF(前提条件!$H$13&lt;=前提条件!$I$13,AND($D85&gt;=前提条件!$H$13,$D85&lt;=前提条件!$I$13),OR($D85&gt;=前提条件!$H$13,$D85&lt;=前提条件!$I$13)),1,0)</f>
        <v>0</v>
      </c>
      <c r="N85" s="14" t="n">
        <f aca="false">IF(IF(前提条件!$H$14&lt;=前提条件!$I$14,AND($D85&gt;=前提条件!$H$14,$D85&lt;=前提条件!$I$14),OR($D85&gt;=前提条件!$H$14,$D85&lt;=前提条件!$I$14)),1,0)</f>
        <v>0</v>
      </c>
      <c r="O85" s="14" t="n">
        <f aca="false">IF(IF(前提条件!$H$15&lt;=前提条件!$I$15,AND($D85&gt;=前提条件!$H$15,$D85&lt;=前提条件!$I$15),OR($D85&gt;=前提条件!$H$15,$D85&lt;=前提条件!$I$15)),1,0)</f>
        <v>0</v>
      </c>
    </row>
    <row r="86" customFormat="false" ht="15" hidden="false" customHeight="false" outlineLevel="0" collapsed="false">
      <c r="A86" s="48" t="n">
        <v>3</v>
      </c>
      <c r="B86" s="48" t="n">
        <v>24</v>
      </c>
      <c r="C86" s="48" t="str">
        <f aca="false">A86&amp;"/"&amp;B86</f>
        <v>3/24</v>
      </c>
      <c r="D86" s="48" t="n">
        <f aca="false">A86*100+B86</f>
        <v>324</v>
      </c>
      <c r="E86" s="45" t="n">
        <f aca="false">IF(SUM(J86:K86)&gt;0,前提条件!$B$6,前提条件!$B$8)</f>
        <v>3</v>
      </c>
      <c r="F86" s="48" t="str">
        <f aca="false">IFERROR(INDEX(前提条件!$B$12:$B$15,MATCH(1,L86:O86,0)),"未設定")</f>
        <v>標準形</v>
      </c>
      <c r="G86" s="48" t="str">
        <f aca="false">IFERROR(INDEX(前提条件!$C$12:$C$15,MATCH(1,L86:O86,0)),"未設定")</f>
        <v>標準期</v>
      </c>
      <c r="H86" s="44" t="str">
        <f aca="false">"S値+"&amp;E86&amp;"／"&amp;F86&amp;"（"&amp;G86&amp;"）"</f>
        <v>S値+3／標準形（標準期）</v>
      </c>
      <c r="J86" s="14" t="n">
        <f aca="false">IF(IF(前提条件!$G$6&lt;=前提条件!$H$6,AND($D86&gt;=前提条件!$G$6,$D86&lt;=前提条件!$H$6),OR($D86&gt;=前提条件!$G$6,$D86&lt;=前提条件!$H$6)),1,0)</f>
        <v>0</v>
      </c>
      <c r="K86" s="14" t="n">
        <f aca="false">IF(IF(前提条件!$G$7&lt;=前提条件!$H$7,AND($D86&gt;=前提条件!$G$7,$D86&lt;=前提条件!$H$7),OR($D86&gt;=前提条件!$G$7,$D86&lt;=前提条件!$H$7)),1,0)</f>
        <v>0</v>
      </c>
      <c r="L86" s="14" t="n">
        <f aca="false">IF(IF(前提条件!$H$12&lt;=前提条件!$I$12,AND($D86&gt;=前提条件!$H$12,$D86&lt;=前提条件!$I$12),OR($D86&gt;=前提条件!$H$12,$D86&lt;=前提条件!$I$12)),1,0)</f>
        <v>1</v>
      </c>
      <c r="M86" s="14" t="n">
        <f aca="false">IF(IF(前提条件!$H$13&lt;=前提条件!$I$13,AND($D86&gt;=前提条件!$H$13,$D86&lt;=前提条件!$I$13),OR($D86&gt;=前提条件!$H$13,$D86&lt;=前提条件!$I$13)),1,0)</f>
        <v>0</v>
      </c>
      <c r="N86" s="14" t="n">
        <f aca="false">IF(IF(前提条件!$H$14&lt;=前提条件!$I$14,AND($D86&gt;=前提条件!$H$14,$D86&lt;=前提条件!$I$14),OR($D86&gt;=前提条件!$H$14,$D86&lt;=前提条件!$I$14)),1,0)</f>
        <v>0</v>
      </c>
      <c r="O86" s="14" t="n">
        <f aca="false">IF(IF(前提条件!$H$15&lt;=前提条件!$I$15,AND($D86&gt;=前提条件!$H$15,$D86&lt;=前提条件!$I$15),OR($D86&gt;=前提条件!$H$15,$D86&lt;=前提条件!$I$15)),1,0)</f>
        <v>0</v>
      </c>
    </row>
    <row r="87" customFormat="false" ht="15" hidden="false" customHeight="false" outlineLevel="0" collapsed="false">
      <c r="A87" s="48" t="n">
        <v>3</v>
      </c>
      <c r="B87" s="48" t="n">
        <v>25</v>
      </c>
      <c r="C87" s="48" t="str">
        <f aca="false">A87&amp;"/"&amp;B87</f>
        <v>3/25</v>
      </c>
      <c r="D87" s="48" t="n">
        <f aca="false">A87*100+B87</f>
        <v>325</v>
      </c>
      <c r="E87" s="45" t="n">
        <f aca="false">IF(SUM(J87:K87)&gt;0,前提条件!$B$6,前提条件!$B$8)</f>
        <v>3</v>
      </c>
      <c r="F87" s="48" t="str">
        <f aca="false">IFERROR(INDEX(前提条件!$B$12:$B$15,MATCH(1,L87:O87,0)),"未設定")</f>
        <v>標準形</v>
      </c>
      <c r="G87" s="48" t="str">
        <f aca="false">IFERROR(INDEX(前提条件!$C$12:$C$15,MATCH(1,L87:O87,0)),"未設定")</f>
        <v>標準期</v>
      </c>
      <c r="H87" s="44" t="str">
        <f aca="false">"S値+"&amp;E87&amp;"／"&amp;F87&amp;"（"&amp;G87&amp;"）"</f>
        <v>S値+3／標準形（標準期）</v>
      </c>
      <c r="J87" s="14" t="n">
        <f aca="false">IF(IF(前提条件!$G$6&lt;=前提条件!$H$6,AND($D87&gt;=前提条件!$G$6,$D87&lt;=前提条件!$H$6),OR($D87&gt;=前提条件!$G$6,$D87&lt;=前提条件!$H$6)),1,0)</f>
        <v>0</v>
      </c>
      <c r="K87" s="14" t="n">
        <f aca="false">IF(IF(前提条件!$G$7&lt;=前提条件!$H$7,AND($D87&gt;=前提条件!$G$7,$D87&lt;=前提条件!$H$7),OR($D87&gt;=前提条件!$G$7,$D87&lt;=前提条件!$H$7)),1,0)</f>
        <v>0</v>
      </c>
      <c r="L87" s="14" t="n">
        <f aca="false">IF(IF(前提条件!$H$12&lt;=前提条件!$I$12,AND($D87&gt;=前提条件!$H$12,$D87&lt;=前提条件!$I$12),OR($D87&gt;=前提条件!$H$12,$D87&lt;=前提条件!$I$12)),1,0)</f>
        <v>1</v>
      </c>
      <c r="M87" s="14" t="n">
        <f aca="false">IF(IF(前提条件!$H$13&lt;=前提条件!$I$13,AND($D87&gt;=前提条件!$H$13,$D87&lt;=前提条件!$I$13),OR($D87&gt;=前提条件!$H$13,$D87&lt;=前提条件!$I$13)),1,0)</f>
        <v>0</v>
      </c>
      <c r="N87" s="14" t="n">
        <f aca="false">IF(IF(前提条件!$H$14&lt;=前提条件!$I$14,AND($D87&gt;=前提条件!$H$14,$D87&lt;=前提条件!$I$14),OR($D87&gt;=前提条件!$H$14,$D87&lt;=前提条件!$I$14)),1,0)</f>
        <v>0</v>
      </c>
      <c r="O87" s="14" t="n">
        <f aca="false">IF(IF(前提条件!$H$15&lt;=前提条件!$I$15,AND($D87&gt;=前提条件!$H$15,$D87&lt;=前提条件!$I$15),OR($D87&gt;=前提条件!$H$15,$D87&lt;=前提条件!$I$15)),1,0)</f>
        <v>0</v>
      </c>
    </row>
    <row r="88" customFormat="false" ht="15" hidden="false" customHeight="false" outlineLevel="0" collapsed="false">
      <c r="A88" s="48" t="n">
        <v>3</v>
      </c>
      <c r="B88" s="48" t="n">
        <v>26</v>
      </c>
      <c r="C88" s="48" t="str">
        <f aca="false">A88&amp;"/"&amp;B88</f>
        <v>3/26</v>
      </c>
      <c r="D88" s="48" t="n">
        <f aca="false">A88*100+B88</f>
        <v>326</v>
      </c>
      <c r="E88" s="45" t="n">
        <f aca="false">IF(SUM(J88:K88)&gt;0,前提条件!$B$6,前提条件!$B$8)</f>
        <v>3</v>
      </c>
      <c r="F88" s="48" t="str">
        <f aca="false">IFERROR(INDEX(前提条件!$B$12:$B$15,MATCH(1,L88:O88,0)),"未設定")</f>
        <v>標準形</v>
      </c>
      <c r="G88" s="48" t="str">
        <f aca="false">IFERROR(INDEX(前提条件!$C$12:$C$15,MATCH(1,L88:O88,0)),"未設定")</f>
        <v>標準期</v>
      </c>
      <c r="H88" s="44" t="str">
        <f aca="false">"S値+"&amp;E88&amp;"／"&amp;F88&amp;"（"&amp;G88&amp;"）"</f>
        <v>S値+3／標準形（標準期）</v>
      </c>
      <c r="J88" s="14" t="n">
        <f aca="false">IF(IF(前提条件!$G$6&lt;=前提条件!$H$6,AND($D88&gt;=前提条件!$G$6,$D88&lt;=前提条件!$H$6),OR($D88&gt;=前提条件!$G$6,$D88&lt;=前提条件!$H$6)),1,0)</f>
        <v>0</v>
      </c>
      <c r="K88" s="14" t="n">
        <f aca="false">IF(IF(前提条件!$G$7&lt;=前提条件!$H$7,AND($D88&gt;=前提条件!$G$7,$D88&lt;=前提条件!$H$7),OR($D88&gt;=前提条件!$G$7,$D88&lt;=前提条件!$H$7)),1,0)</f>
        <v>0</v>
      </c>
      <c r="L88" s="14" t="n">
        <f aca="false">IF(IF(前提条件!$H$12&lt;=前提条件!$I$12,AND($D88&gt;=前提条件!$H$12,$D88&lt;=前提条件!$I$12),OR($D88&gt;=前提条件!$H$12,$D88&lt;=前提条件!$I$12)),1,0)</f>
        <v>1</v>
      </c>
      <c r="M88" s="14" t="n">
        <f aca="false">IF(IF(前提条件!$H$13&lt;=前提条件!$I$13,AND($D88&gt;=前提条件!$H$13,$D88&lt;=前提条件!$I$13),OR($D88&gt;=前提条件!$H$13,$D88&lt;=前提条件!$I$13)),1,0)</f>
        <v>0</v>
      </c>
      <c r="N88" s="14" t="n">
        <f aca="false">IF(IF(前提条件!$H$14&lt;=前提条件!$I$14,AND($D88&gt;=前提条件!$H$14,$D88&lt;=前提条件!$I$14),OR($D88&gt;=前提条件!$H$14,$D88&lt;=前提条件!$I$14)),1,0)</f>
        <v>0</v>
      </c>
      <c r="O88" s="14" t="n">
        <f aca="false">IF(IF(前提条件!$H$15&lt;=前提条件!$I$15,AND($D88&gt;=前提条件!$H$15,$D88&lt;=前提条件!$I$15),OR($D88&gt;=前提条件!$H$15,$D88&lt;=前提条件!$I$15)),1,0)</f>
        <v>0</v>
      </c>
    </row>
    <row r="89" customFormat="false" ht="15" hidden="false" customHeight="false" outlineLevel="0" collapsed="false">
      <c r="A89" s="48" t="n">
        <v>3</v>
      </c>
      <c r="B89" s="48" t="n">
        <v>27</v>
      </c>
      <c r="C89" s="48" t="str">
        <f aca="false">A89&amp;"/"&amp;B89</f>
        <v>3/27</v>
      </c>
      <c r="D89" s="48" t="n">
        <f aca="false">A89*100+B89</f>
        <v>327</v>
      </c>
      <c r="E89" s="45" t="n">
        <f aca="false">IF(SUM(J89:K89)&gt;0,前提条件!$B$6,前提条件!$B$8)</f>
        <v>3</v>
      </c>
      <c r="F89" s="48" t="str">
        <f aca="false">IFERROR(INDEX(前提条件!$B$12:$B$15,MATCH(1,L89:O89,0)),"未設定")</f>
        <v>標準形</v>
      </c>
      <c r="G89" s="48" t="str">
        <f aca="false">IFERROR(INDEX(前提条件!$C$12:$C$15,MATCH(1,L89:O89,0)),"未設定")</f>
        <v>標準期</v>
      </c>
      <c r="H89" s="44" t="str">
        <f aca="false">"S値+"&amp;E89&amp;"／"&amp;F89&amp;"（"&amp;G89&amp;"）"</f>
        <v>S値+3／標準形（標準期）</v>
      </c>
      <c r="J89" s="14" t="n">
        <f aca="false">IF(IF(前提条件!$G$6&lt;=前提条件!$H$6,AND($D89&gt;=前提条件!$G$6,$D89&lt;=前提条件!$H$6),OR($D89&gt;=前提条件!$G$6,$D89&lt;=前提条件!$H$6)),1,0)</f>
        <v>0</v>
      </c>
      <c r="K89" s="14" t="n">
        <f aca="false">IF(IF(前提条件!$G$7&lt;=前提条件!$H$7,AND($D89&gt;=前提条件!$G$7,$D89&lt;=前提条件!$H$7),OR($D89&gt;=前提条件!$G$7,$D89&lt;=前提条件!$H$7)),1,0)</f>
        <v>0</v>
      </c>
      <c r="L89" s="14" t="n">
        <f aca="false">IF(IF(前提条件!$H$12&lt;=前提条件!$I$12,AND($D89&gt;=前提条件!$H$12,$D89&lt;=前提条件!$I$12),OR($D89&gt;=前提条件!$H$12,$D89&lt;=前提条件!$I$12)),1,0)</f>
        <v>1</v>
      </c>
      <c r="M89" s="14" t="n">
        <f aca="false">IF(IF(前提条件!$H$13&lt;=前提条件!$I$13,AND($D89&gt;=前提条件!$H$13,$D89&lt;=前提条件!$I$13),OR($D89&gt;=前提条件!$H$13,$D89&lt;=前提条件!$I$13)),1,0)</f>
        <v>0</v>
      </c>
      <c r="N89" s="14" t="n">
        <f aca="false">IF(IF(前提条件!$H$14&lt;=前提条件!$I$14,AND($D89&gt;=前提条件!$H$14,$D89&lt;=前提条件!$I$14),OR($D89&gt;=前提条件!$H$14,$D89&lt;=前提条件!$I$14)),1,0)</f>
        <v>0</v>
      </c>
      <c r="O89" s="14" t="n">
        <f aca="false">IF(IF(前提条件!$H$15&lt;=前提条件!$I$15,AND($D89&gt;=前提条件!$H$15,$D89&lt;=前提条件!$I$15),OR($D89&gt;=前提条件!$H$15,$D89&lt;=前提条件!$I$15)),1,0)</f>
        <v>0</v>
      </c>
    </row>
    <row r="90" customFormat="false" ht="15" hidden="false" customHeight="false" outlineLevel="0" collapsed="false">
      <c r="A90" s="48" t="n">
        <v>3</v>
      </c>
      <c r="B90" s="48" t="n">
        <v>28</v>
      </c>
      <c r="C90" s="48" t="str">
        <f aca="false">A90&amp;"/"&amp;B90</f>
        <v>3/28</v>
      </c>
      <c r="D90" s="48" t="n">
        <f aca="false">A90*100+B90</f>
        <v>328</v>
      </c>
      <c r="E90" s="45" t="n">
        <f aca="false">IF(SUM(J90:K90)&gt;0,前提条件!$B$6,前提条件!$B$8)</f>
        <v>3</v>
      </c>
      <c r="F90" s="48" t="str">
        <f aca="false">IFERROR(INDEX(前提条件!$B$12:$B$15,MATCH(1,L90:O90,0)),"未設定")</f>
        <v>標準形</v>
      </c>
      <c r="G90" s="48" t="str">
        <f aca="false">IFERROR(INDEX(前提条件!$C$12:$C$15,MATCH(1,L90:O90,0)),"未設定")</f>
        <v>標準期</v>
      </c>
      <c r="H90" s="44" t="str">
        <f aca="false">"S値+"&amp;E90&amp;"／"&amp;F90&amp;"（"&amp;G90&amp;"）"</f>
        <v>S値+3／標準形（標準期）</v>
      </c>
      <c r="J90" s="14" t="n">
        <f aca="false">IF(IF(前提条件!$G$6&lt;=前提条件!$H$6,AND($D90&gt;=前提条件!$G$6,$D90&lt;=前提条件!$H$6),OR($D90&gt;=前提条件!$G$6,$D90&lt;=前提条件!$H$6)),1,0)</f>
        <v>0</v>
      </c>
      <c r="K90" s="14" t="n">
        <f aca="false">IF(IF(前提条件!$G$7&lt;=前提条件!$H$7,AND($D90&gt;=前提条件!$G$7,$D90&lt;=前提条件!$H$7),OR($D90&gt;=前提条件!$G$7,$D90&lt;=前提条件!$H$7)),1,0)</f>
        <v>0</v>
      </c>
      <c r="L90" s="14" t="n">
        <f aca="false">IF(IF(前提条件!$H$12&lt;=前提条件!$I$12,AND($D90&gt;=前提条件!$H$12,$D90&lt;=前提条件!$I$12),OR($D90&gt;=前提条件!$H$12,$D90&lt;=前提条件!$I$12)),1,0)</f>
        <v>1</v>
      </c>
      <c r="M90" s="14" t="n">
        <f aca="false">IF(IF(前提条件!$H$13&lt;=前提条件!$I$13,AND($D90&gt;=前提条件!$H$13,$D90&lt;=前提条件!$I$13),OR($D90&gt;=前提条件!$H$13,$D90&lt;=前提条件!$I$13)),1,0)</f>
        <v>0</v>
      </c>
      <c r="N90" s="14" t="n">
        <f aca="false">IF(IF(前提条件!$H$14&lt;=前提条件!$I$14,AND($D90&gt;=前提条件!$H$14,$D90&lt;=前提条件!$I$14),OR($D90&gt;=前提条件!$H$14,$D90&lt;=前提条件!$I$14)),1,0)</f>
        <v>0</v>
      </c>
      <c r="O90" s="14" t="n">
        <f aca="false">IF(IF(前提条件!$H$15&lt;=前提条件!$I$15,AND($D90&gt;=前提条件!$H$15,$D90&lt;=前提条件!$I$15),OR($D90&gt;=前提条件!$H$15,$D90&lt;=前提条件!$I$15)),1,0)</f>
        <v>0</v>
      </c>
    </row>
    <row r="91" customFormat="false" ht="15" hidden="false" customHeight="false" outlineLevel="0" collapsed="false">
      <c r="A91" s="48" t="n">
        <v>3</v>
      </c>
      <c r="B91" s="48" t="n">
        <v>29</v>
      </c>
      <c r="C91" s="48" t="str">
        <f aca="false">A91&amp;"/"&amp;B91</f>
        <v>3/29</v>
      </c>
      <c r="D91" s="48" t="n">
        <f aca="false">A91*100+B91</f>
        <v>329</v>
      </c>
      <c r="E91" s="45" t="n">
        <f aca="false">IF(SUM(J91:K91)&gt;0,前提条件!$B$6,前提条件!$B$8)</f>
        <v>3</v>
      </c>
      <c r="F91" s="48" t="str">
        <f aca="false">IFERROR(INDEX(前提条件!$B$12:$B$15,MATCH(1,L91:O91,0)),"未設定")</f>
        <v>標準形</v>
      </c>
      <c r="G91" s="48" t="str">
        <f aca="false">IFERROR(INDEX(前提条件!$C$12:$C$15,MATCH(1,L91:O91,0)),"未設定")</f>
        <v>標準期</v>
      </c>
      <c r="H91" s="44" t="str">
        <f aca="false">"S値+"&amp;E91&amp;"／"&amp;F91&amp;"（"&amp;G91&amp;"）"</f>
        <v>S値+3／標準形（標準期）</v>
      </c>
      <c r="J91" s="14" t="n">
        <f aca="false">IF(IF(前提条件!$G$6&lt;=前提条件!$H$6,AND($D91&gt;=前提条件!$G$6,$D91&lt;=前提条件!$H$6),OR($D91&gt;=前提条件!$G$6,$D91&lt;=前提条件!$H$6)),1,0)</f>
        <v>0</v>
      </c>
      <c r="K91" s="14" t="n">
        <f aca="false">IF(IF(前提条件!$G$7&lt;=前提条件!$H$7,AND($D91&gt;=前提条件!$G$7,$D91&lt;=前提条件!$H$7),OR($D91&gt;=前提条件!$G$7,$D91&lt;=前提条件!$H$7)),1,0)</f>
        <v>0</v>
      </c>
      <c r="L91" s="14" t="n">
        <f aca="false">IF(IF(前提条件!$H$12&lt;=前提条件!$I$12,AND($D91&gt;=前提条件!$H$12,$D91&lt;=前提条件!$I$12),OR($D91&gt;=前提条件!$H$12,$D91&lt;=前提条件!$I$12)),1,0)</f>
        <v>1</v>
      </c>
      <c r="M91" s="14" t="n">
        <f aca="false">IF(IF(前提条件!$H$13&lt;=前提条件!$I$13,AND($D91&gt;=前提条件!$H$13,$D91&lt;=前提条件!$I$13),OR($D91&gt;=前提条件!$H$13,$D91&lt;=前提条件!$I$13)),1,0)</f>
        <v>0</v>
      </c>
      <c r="N91" s="14" t="n">
        <f aca="false">IF(IF(前提条件!$H$14&lt;=前提条件!$I$14,AND($D91&gt;=前提条件!$H$14,$D91&lt;=前提条件!$I$14),OR($D91&gt;=前提条件!$H$14,$D91&lt;=前提条件!$I$14)),1,0)</f>
        <v>0</v>
      </c>
      <c r="O91" s="14" t="n">
        <f aca="false">IF(IF(前提条件!$H$15&lt;=前提条件!$I$15,AND($D91&gt;=前提条件!$H$15,$D91&lt;=前提条件!$I$15),OR($D91&gt;=前提条件!$H$15,$D91&lt;=前提条件!$I$15)),1,0)</f>
        <v>0</v>
      </c>
    </row>
    <row r="92" customFormat="false" ht="15" hidden="false" customHeight="false" outlineLevel="0" collapsed="false">
      <c r="A92" s="48" t="n">
        <v>3</v>
      </c>
      <c r="B92" s="48" t="n">
        <v>30</v>
      </c>
      <c r="C92" s="48" t="str">
        <f aca="false">A92&amp;"/"&amp;B92</f>
        <v>3/30</v>
      </c>
      <c r="D92" s="48" t="n">
        <f aca="false">A92*100+B92</f>
        <v>330</v>
      </c>
      <c r="E92" s="45" t="n">
        <f aca="false">IF(SUM(J92:K92)&gt;0,前提条件!$B$6,前提条件!$B$8)</f>
        <v>3</v>
      </c>
      <c r="F92" s="48" t="str">
        <f aca="false">IFERROR(INDEX(前提条件!$B$12:$B$15,MATCH(1,L92:O92,0)),"未設定")</f>
        <v>標準形</v>
      </c>
      <c r="G92" s="48" t="str">
        <f aca="false">IFERROR(INDEX(前提条件!$C$12:$C$15,MATCH(1,L92:O92,0)),"未設定")</f>
        <v>標準期</v>
      </c>
      <c r="H92" s="44" t="str">
        <f aca="false">"S値+"&amp;E92&amp;"／"&amp;F92&amp;"（"&amp;G92&amp;"）"</f>
        <v>S値+3／標準形（標準期）</v>
      </c>
      <c r="J92" s="14" t="n">
        <f aca="false">IF(IF(前提条件!$G$6&lt;=前提条件!$H$6,AND($D92&gt;=前提条件!$G$6,$D92&lt;=前提条件!$H$6),OR($D92&gt;=前提条件!$G$6,$D92&lt;=前提条件!$H$6)),1,0)</f>
        <v>0</v>
      </c>
      <c r="K92" s="14" t="n">
        <f aca="false">IF(IF(前提条件!$G$7&lt;=前提条件!$H$7,AND($D92&gt;=前提条件!$G$7,$D92&lt;=前提条件!$H$7),OR($D92&gt;=前提条件!$G$7,$D92&lt;=前提条件!$H$7)),1,0)</f>
        <v>0</v>
      </c>
      <c r="L92" s="14" t="n">
        <f aca="false">IF(IF(前提条件!$H$12&lt;=前提条件!$I$12,AND($D92&gt;=前提条件!$H$12,$D92&lt;=前提条件!$I$12),OR($D92&gt;=前提条件!$H$12,$D92&lt;=前提条件!$I$12)),1,0)</f>
        <v>1</v>
      </c>
      <c r="M92" s="14" t="n">
        <f aca="false">IF(IF(前提条件!$H$13&lt;=前提条件!$I$13,AND($D92&gt;=前提条件!$H$13,$D92&lt;=前提条件!$I$13),OR($D92&gt;=前提条件!$H$13,$D92&lt;=前提条件!$I$13)),1,0)</f>
        <v>0</v>
      </c>
      <c r="N92" s="14" t="n">
        <f aca="false">IF(IF(前提条件!$H$14&lt;=前提条件!$I$14,AND($D92&gt;=前提条件!$H$14,$D92&lt;=前提条件!$I$14),OR($D92&gt;=前提条件!$H$14,$D92&lt;=前提条件!$I$14)),1,0)</f>
        <v>0</v>
      </c>
      <c r="O92" s="14" t="n">
        <f aca="false">IF(IF(前提条件!$H$15&lt;=前提条件!$I$15,AND($D92&gt;=前提条件!$H$15,$D92&lt;=前提条件!$I$15),OR($D92&gt;=前提条件!$H$15,$D92&lt;=前提条件!$I$15)),1,0)</f>
        <v>0</v>
      </c>
    </row>
    <row r="93" customFormat="false" ht="15" hidden="false" customHeight="false" outlineLevel="0" collapsed="false">
      <c r="A93" s="48" t="n">
        <v>3</v>
      </c>
      <c r="B93" s="48" t="n">
        <v>31</v>
      </c>
      <c r="C93" s="48" t="str">
        <f aca="false">A93&amp;"/"&amp;B93</f>
        <v>3/31</v>
      </c>
      <c r="D93" s="48" t="n">
        <f aca="false">A93*100+B93</f>
        <v>331</v>
      </c>
      <c r="E93" s="45" t="n">
        <f aca="false">IF(SUM(J93:K93)&gt;0,前提条件!$B$6,前提条件!$B$8)</f>
        <v>3</v>
      </c>
      <c r="F93" s="48" t="str">
        <f aca="false">IFERROR(INDEX(前提条件!$B$12:$B$15,MATCH(1,L93:O93,0)),"未設定")</f>
        <v>標準形</v>
      </c>
      <c r="G93" s="48" t="str">
        <f aca="false">IFERROR(INDEX(前提条件!$C$12:$C$15,MATCH(1,L93:O93,0)),"未設定")</f>
        <v>標準期</v>
      </c>
      <c r="H93" s="44" t="str">
        <f aca="false">"S値+"&amp;E93&amp;"／"&amp;F93&amp;"（"&amp;G93&amp;"）"</f>
        <v>S値+3／標準形（標準期）</v>
      </c>
      <c r="J93" s="14" t="n">
        <f aca="false">IF(IF(前提条件!$G$6&lt;=前提条件!$H$6,AND($D93&gt;=前提条件!$G$6,$D93&lt;=前提条件!$H$6),OR($D93&gt;=前提条件!$G$6,$D93&lt;=前提条件!$H$6)),1,0)</f>
        <v>0</v>
      </c>
      <c r="K93" s="14" t="n">
        <f aca="false">IF(IF(前提条件!$G$7&lt;=前提条件!$H$7,AND($D93&gt;=前提条件!$G$7,$D93&lt;=前提条件!$H$7),OR($D93&gt;=前提条件!$G$7,$D93&lt;=前提条件!$H$7)),1,0)</f>
        <v>0</v>
      </c>
      <c r="L93" s="14" t="n">
        <f aca="false">IF(IF(前提条件!$H$12&lt;=前提条件!$I$12,AND($D93&gt;=前提条件!$H$12,$D93&lt;=前提条件!$I$12),OR($D93&gt;=前提条件!$H$12,$D93&lt;=前提条件!$I$12)),1,0)</f>
        <v>1</v>
      </c>
      <c r="M93" s="14" t="n">
        <f aca="false">IF(IF(前提条件!$H$13&lt;=前提条件!$I$13,AND($D93&gt;=前提条件!$H$13,$D93&lt;=前提条件!$I$13),OR($D93&gt;=前提条件!$H$13,$D93&lt;=前提条件!$I$13)),1,0)</f>
        <v>0</v>
      </c>
      <c r="N93" s="14" t="n">
        <f aca="false">IF(IF(前提条件!$H$14&lt;=前提条件!$I$14,AND($D93&gt;=前提条件!$H$14,$D93&lt;=前提条件!$I$14),OR($D93&gt;=前提条件!$H$14,$D93&lt;=前提条件!$I$14)),1,0)</f>
        <v>0</v>
      </c>
      <c r="O93" s="14" t="n">
        <f aca="false">IF(IF(前提条件!$H$15&lt;=前提条件!$I$15,AND($D93&gt;=前提条件!$H$15,$D93&lt;=前提条件!$I$15),OR($D93&gt;=前提条件!$H$15,$D93&lt;=前提条件!$I$15)),1,0)</f>
        <v>0</v>
      </c>
    </row>
    <row r="94" customFormat="false" ht="15" hidden="false" customHeight="false" outlineLevel="0" collapsed="false">
      <c r="A94" s="48" t="n">
        <v>4</v>
      </c>
      <c r="B94" s="48" t="n">
        <v>1</v>
      </c>
      <c r="C94" s="48" t="str">
        <f aca="false">A94&amp;"/"&amp;B94</f>
        <v>4/1</v>
      </c>
      <c r="D94" s="48" t="n">
        <f aca="false">A94*100+B94</f>
        <v>401</v>
      </c>
      <c r="E94" s="45" t="n">
        <f aca="false">IF(SUM(J94:K94)&gt;0,前提条件!$B$6,前提条件!$B$8)</f>
        <v>3</v>
      </c>
      <c r="F94" s="48" t="str">
        <f aca="false">IFERROR(INDEX(前提条件!$B$12:$B$15,MATCH(1,L94:O94,0)),"未設定")</f>
        <v>標準形</v>
      </c>
      <c r="G94" s="48" t="str">
        <f aca="false">IFERROR(INDEX(前提条件!$C$12:$C$15,MATCH(1,L94:O94,0)),"未設定")</f>
        <v>標準期</v>
      </c>
      <c r="H94" s="44" t="str">
        <f aca="false">"S値+"&amp;E94&amp;"／"&amp;F94&amp;"（"&amp;G94&amp;"）"</f>
        <v>S値+3／標準形（標準期）</v>
      </c>
      <c r="J94" s="14" t="n">
        <f aca="false">IF(IF(前提条件!$G$6&lt;=前提条件!$H$6,AND($D94&gt;=前提条件!$G$6,$D94&lt;=前提条件!$H$6),OR($D94&gt;=前提条件!$G$6,$D94&lt;=前提条件!$H$6)),1,0)</f>
        <v>0</v>
      </c>
      <c r="K94" s="14" t="n">
        <f aca="false">IF(IF(前提条件!$G$7&lt;=前提条件!$H$7,AND($D94&gt;=前提条件!$G$7,$D94&lt;=前提条件!$H$7),OR($D94&gt;=前提条件!$G$7,$D94&lt;=前提条件!$H$7)),1,0)</f>
        <v>0</v>
      </c>
      <c r="L94" s="14" t="n">
        <f aca="false">IF(IF(前提条件!$H$12&lt;=前提条件!$I$12,AND($D94&gt;=前提条件!$H$12,$D94&lt;=前提条件!$I$12),OR($D94&gt;=前提条件!$H$12,$D94&lt;=前提条件!$I$12)),1,0)</f>
        <v>1</v>
      </c>
      <c r="M94" s="14" t="n">
        <f aca="false">IF(IF(前提条件!$H$13&lt;=前提条件!$I$13,AND($D94&gt;=前提条件!$H$13,$D94&lt;=前提条件!$I$13),OR($D94&gt;=前提条件!$H$13,$D94&lt;=前提条件!$I$13)),1,0)</f>
        <v>0</v>
      </c>
      <c r="N94" s="14" t="n">
        <f aca="false">IF(IF(前提条件!$H$14&lt;=前提条件!$I$14,AND($D94&gt;=前提条件!$H$14,$D94&lt;=前提条件!$I$14),OR($D94&gt;=前提条件!$H$14,$D94&lt;=前提条件!$I$14)),1,0)</f>
        <v>0</v>
      </c>
      <c r="O94" s="14" t="n">
        <f aca="false">IF(IF(前提条件!$H$15&lt;=前提条件!$I$15,AND($D94&gt;=前提条件!$H$15,$D94&lt;=前提条件!$I$15),OR($D94&gt;=前提条件!$H$15,$D94&lt;=前提条件!$I$15)),1,0)</f>
        <v>0</v>
      </c>
    </row>
    <row r="95" customFormat="false" ht="15" hidden="false" customHeight="false" outlineLevel="0" collapsed="false">
      <c r="A95" s="48" t="n">
        <v>4</v>
      </c>
      <c r="B95" s="48" t="n">
        <v>2</v>
      </c>
      <c r="C95" s="48" t="str">
        <f aca="false">A95&amp;"/"&amp;B95</f>
        <v>4/2</v>
      </c>
      <c r="D95" s="48" t="n">
        <f aca="false">A95*100+B95</f>
        <v>402</v>
      </c>
      <c r="E95" s="45" t="n">
        <f aca="false">IF(SUM(J95:K95)&gt;0,前提条件!$B$6,前提条件!$B$8)</f>
        <v>3</v>
      </c>
      <c r="F95" s="48" t="str">
        <f aca="false">IFERROR(INDEX(前提条件!$B$12:$B$15,MATCH(1,L95:O95,0)),"未設定")</f>
        <v>標準形</v>
      </c>
      <c r="G95" s="48" t="str">
        <f aca="false">IFERROR(INDEX(前提条件!$C$12:$C$15,MATCH(1,L95:O95,0)),"未設定")</f>
        <v>標準期</v>
      </c>
      <c r="H95" s="44" t="str">
        <f aca="false">"S値+"&amp;E95&amp;"／"&amp;F95&amp;"（"&amp;G95&amp;"）"</f>
        <v>S値+3／標準形（標準期）</v>
      </c>
      <c r="J95" s="14" t="n">
        <f aca="false">IF(IF(前提条件!$G$6&lt;=前提条件!$H$6,AND($D95&gt;=前提条件!$G$6,$D95&lt;=前提条件!$H$6),OR($D95&gt;=前提条件!$G$6,$D95&lt;=前提条件!$H$6)),1,0)</f>
        <v>0</v>
      </c>
      <c r="K95" s="14" t="n">
        <f aca="false">IF(IF(前提条件!$G$7&lt;=前提条件!$H$7,AND($D95&gt;=前提条件!$G$7,$D95&lt;=前提条件!$H$7),OR($D95&gt;=前提条件!$G$7,$D95&lt;=前提条件!$H$7)),1,0)</f>
        <v>0</v>
      </c>
      <c r="L95" s="14" t="n">
        <f aca="false">IF(IF(前提条件!$H$12&lt;=前提条件!$I$12,AND($D95&gt;=前提条件!$H$12,$D95&lt;=前提条件!$I$12),OR($D95&gt;=前提条件!$H$12,$D95&lt;=前提条件!$I$12)),1,0)</f>
        <v>1</v>
      </c>
      <c r="M95" s="14" t="n">
        <f aca="false">IF(IF(前提条件!$H$13&lt;=前提条件!$I$13,AND($D95&gt;=前提条件!$H$13,$D95&lt;=前提条件!$I$13),OR($D95&gt;=前提条件!$H$13,$D95&lt;=前提条件!$I$13)),1,0)</f>
        <v>0</v>
      </c>
      <c r="N95" s="14" t="n">
        <f aca="false">IF(IF(前提条件!$H$14&lt;=前提条件!$I$14,AND($D95&gt;=前提条件!$H$14,$D95&lt;=前提条件!$I$14),OR($D95&gt;=前提条件!$H$14,$D95&lt;=前提条件!$I$14)),1,0)</f>
        <v>0</v>
      </c>
      <c r="O95" s="14" t="n">
        <f aca="false">IF(IF(前提条件!$H$15&lt;=前提条件!$I$15,AND($D95&gt;=前提条件!$H$15,$D95&lt;=前提条件!$I$15),OR($D95&gt;=前提条件!$H$15,$D95&lt;=前提条件!$I$15)),1,0)</f>
        <v>0</v>
      </c>
    </row>
    <row r="96" customFormat="false" ht="15" hidden="false" customHeight="false" outlineLevel="0" collapsed="false">
      <c r="A96" s="48" t="n">
        <v>4</v>
      </c>
      <c r="B96" s="48" t="n">
        <v>3</v>
      </c>
      <c r="C96" s="48" t="str">
        <f aca="false">A96&amp;"/"&amp;B96</f>
        <v>4/3</v>
      </c>
      <c r="D96" s="48" t="n">
        <f aca="false">A96*100+B96</f>
        <v>403</v>
      </c>
      <c r="E96" s="45" t="n">
        <f aca="false">IF(SUM(J96:K96)&gt;0,前提条件!$B$6,前提条件!$B$8)</f>
        <v>3</v>
      </c>
      <c r="F96" s="48" t="str">
        <f aca="false">IFERROR(INDEX(前提条件!$B$12:$B$15,MATCH(1,L96:O96,0)),"未設定")</f>
        <v>標準形</v>
      </c>
      <c r="G96" s="48" t="str">
        <f aca="false">IFERROR(INDEX(前提条件!$C$12:$C$15,MATCH(1,L96:O96,0)),"未設定")</f>
        <v>標準期</v>
      </c>
      <c r="H96" s="44" t="str">
        <f aca="false">"S値+"&amp;E96&amp;"／"&amp;F96&amp;"（"&amp;G96&amp;"）"</f>
        <v>S値+3／標準形（標準期）</v>
      </c>
      <c r="J96" s="14" t="n">
        <f aca="false">IF(IF(前提条件!$G$6&lt;=前提条件!$H$6,AND($D96&gt;=前提条件!$G$6,$D96&lt;=前提条件!$H$6),OR($D96&gt;=前提条件!$G$6,$D96&lt;=前提条件!$H$6)),1,0)</f>
        <v>0</v>
      </c>
      <c r="K96" s="14" t="n">
        <f aca="false">IF(IF(前提条件!$G$7&lt;=前提条件!$H$7,AND($D96&gt;=前提条件!$G$7,$D96&lt;=前提条件!$H$7),OR($D96&gt;=前提条件!$G$7,$D96&lt;=前提条件!$H$7)),1,0)</f>
        <v>0</v>
      </c>
      <c r="L96" s="14" t="n">
        <f aca="false">IF(IF(前提条件!$H$12&lt;=前提条件!$I$12,AND($D96&gt;=前提条件!$H$12,$D96&lt;=前提条件!$I$12),OR($D96&gt;=前提条件!$H$12,$D96&lt;=前提条件!$I$12)),1,0)</f>
        <v>1</v>
      </c>
      <c r="M96" s="14" t="n">
        <f aca="false">IF(IF(前提条件!$H$13&lt;=前提条件!$I$13,AND($D96&gt;=前提条件!$H$13,$D96&lt;=前提条件!$I$13),OR($D96&gt;=前提条件!$H$13,$D96&lt;=前提条件!$I$13)),1,0)</f>
        <v>0</v>
      </c>
      <c r="N96" s="14" t="n">
        <f aca="false">IF(IF(前提条件!$H$14&lt;=前提条件!$I$14,AND($D96&gt;=前提条件!$H$14,$D96&lt;=前提条件!$I$14),OR($D96&gt;=前提条件!$H$14,$D96&lt;=前提条件!$I$14)),1,0)</f>
        <v>0</v>
      </c>
      <c r="O96" s="14" t="n">
        <f aca="false">IF(IF(前提条件!$H$15&lt;=前提条件!$I$15,AND($D96&gt;=前提条件!$H$15,$D96&lt;=前提条件!$I$15),OR($D96&gt;=前提条件!$H$15,$D96&lt;=前提条件!$I$15)),1,0)</f>
        <v>0</v>
      </c>
    </row>
    <row r="97" customFormat="false" ht="15" hidden="false" customHeight="false" outlineLevel="0" collapsed="false">
      <c r="A97" s="48" t="n">
        <v>4</v>
      </c>
      <c r="B97" s="48" t="n">
        <v>4</v>
      </c>
      <c r="C97" s="48" t="str">
        <f aca="false">A97&amp;"/"&amp;B97</f>
        <v>4/4</v>
      </c>
      <c r="D97" s="48" t="n">
        <f aca="false">A97*100+B97</f>
        <v>404</v>
      </c>
      <c r="E97" s="45" t="n">
        <f aca="false">IF(SUM(J97:K97)&gt;0,前提条件!$B$6,前提条件!$B$8)</f>
        <v>3</v>
      </c>
      <c r="F97" s="48" t="str">
        <f aca="false">IFERROR(INDEX(前提条件!$B$12:$B$15,MATCH(1,L97:O97,0)),"未設定")</f>
        <v>標準形</v>
      </c>
      <c r="G97" s="48" t="str">
        <f aca="false">IFERROR(INDEX(前提条件!$C$12:$C$15,MATCH(1,L97:O97,0)),"未設定")</f>
        <v>標準期</v>
      </c>
      <c r="H97" s="44" t="str">
        <f aca="false">"S値+"&amp;E97&amp;"／"&amp;F97&amp;"（"&amp;G97&amp;"）"</f>
        <v>S値+3／標準形（標準期）</v>
      </c>
      <c r="J97" s="14" t="n">
        <f aca="false">IF(IF(前提条件!$G$6&lt;=前提条件!$H$6,AND($D97&gt;=前提条件!$G$6,$D97&lt;=前提条件!$H$6),OR($D97&gt;=前提条件!$G$6,$D97&lt;=前提条件!$H$6)),1,0)</f>
        <v>0</v>
      </c>
      <c r="K97" s="14" t="n">
        <f aca="false">IF(IF(前提条件!$G$7&lt;=前提条件!$H$7,AND($D97&gt;=前提条件!$G$7,$D97&lt;=前提条件!$H$7),OR($D97&gt;=前提条件!$G$7,$D97&lt;=前提条件!$H$7)),1,0)</f>
        <v>0</v>
      </c>
      <c r="L97" s="14" t="n">
        <f aca="false">IF(IF(前提条件!$H$12&lt;=前提条件!$I$12,AND($D97&gt;=前提条件!$H$12,$D97&lt;=前提条件!$I$12),OR($D97&gt;=前提条件!$H$12,$D97&lt;=前提条件!$I$12)),1,0)</f>
        <v>1</v>
      </c>
      <c r="M97" s="14" t="n">
        <f aca="false">IF(IF(前提条件!$H$13&lt;=前提条件!$I$13,AND($D97&gt;=前提条件!$H$13,$D97&lt;=前提条件!$I$13),OR($D97&gt;=前提条件!$H$13,$D97&lt;=前提条件!$I$13)),1,0)</f>
        <v>0</v>
      </c>
      <c r="N97" s="14" t="n">
        <f aca="false">IF(IF(前提条件!$H$14&lt;=前提条件!$I$14,AND($D97&gt;=前提条件!$H$14,$D97&lt;=前提条件!$I$14),OR($D97&gt;=前提条件!$H$14,$D97&lt;=前提条件!$I$14)),1,0)</f>
        <v>0</v>
      </c>
      <c r="O97" s="14" t="n">
        <f aca="false">IF(IF(前提条件!$H$15&lt;=前提条件!$I$15,AND($D97&gt;=前提条件!$H$15,$D97&lt;=前提条件!$I$15),OR($D97&gt;=前提条件!$H$15,$D97&lt;=前提条件!$I$15)),1,0)</f>
        <v>0</v>
      </c>
    </row>
    <row r="98" customFormat="false" ht="15" hidden="false" customHeight="false" outlineLevel="0" collapsed="false">
      <c r="A98" s="48" t="n">
        <v>4</v>
      </c>
      <c r="B98" s="48" t="n">
        <v>5</v>
      </c>
      <c r="C98" s="48" t="str">
        <f aca="false">A98&amp;"/"&amp;B98</f>
        <v>4/5</v>
      </c>
      <c r="D98" s="48" t="n">
        <f aca="false">A98*100+B98</f>
        <v>405</v>
      </c>
      <c r="E98" s="45" t="n">
        <f aca="false">IF(SUM(J98:K98)&gt;0,前提条件!$B$6,前提条件!$B$8)</f>
        <v>3</v>
      </c>
      <c r="F98" s="48" t="str">
        <f aca="false">IFERROR(INDEX(前提条件!$B$12:$B$15,MATCH(1,L98:O98,0)),"未設定")</f>
        <v>標準形</v>
      </c>
      <c r="G98" s="48" t="str">
        <f aca="false">IFERROR(INDEX(前提条件!$C$12:$C$15,MATCH(1,L98:O98,0)),"未設定")</f>
        <v>標準期</v>
      </c>
      <c r="H98" s="44" t="str">
        <f aca="false">"S値+"&amp;E98&amp;"／"&amp;F98&amp;"（"&amp;G98&amp;"）"</f>
        <v>S値+3／標準形（標準期）</v>
      </c>
      <c r="J98" s="14" t="n">
        <f aca="false">IF(IF(前提条件!$G$6&lt;=前提条件!$H$6,AND($D98&gt;=前提条件!$G$6,$D98&lt;=前提条件!$H$6),OR($D98&gt;=前提条件!$G$6,$D98&lt;=前提条件!$H$6)),1,0)</f>
        <v>0</v>
      </c>
      <c r="K98" s="14" t="n">
        <f aca="false">IF(IF(前提条件!$G$7&lt;=前提条件!$H$7,AND($D98&gt;=前提条件!$G$7,$D98&lt;=前提条件!$H$7),OR($D98&gt;=前提条件!$G$7,$D98&lt;=前提条件!$H$7)),1,0)</f>
        <v>0</v>
      </c>
      <c r="L98" s="14" t="n">
        <f aca="false">IF(IF(前提条件!$H$12&lt;=前提条件!$I$12,AND($D98&gt;=前提条件!$H$12,$D98&lt;=前提条件!$I$12),OR($D98&gt;=前提条件!$H$12,$D98&lt;=前提条件!$I$12)),1,0)</f>
        <v>1</v>
      </c>
      <c r="M98" s="14" t="n">
        <f aca="false">IF(IF(前提条件!$H$13&lt;=前提条件!$I$13,AND($D98&gt;=前提条件!$H$13,$D98&lt;=前提条件!$I$13),OR($D98&gt;=前提条件!$H$13,$D98&lt;=前提条件!$I$13)),1,0)</f>
        <v>0</v>
      </c>
      <c r="N98" s="14" t="n">
        <f aca="false">IF(IF(前提条件!$H$14&lt;=前提条件!$I$14,AND($D98&gt;=前提条件!$H$14,$D98&lt;=前提条件!$I$14),OR($D98&gt;=前提条件!$H$14,$D98&lt;=前提条件!$I$14)),1,0)</f>
        <v>0</v>
      </c>
      <c r="O98" s="14" t="n">
        <f aca="false">IF(IF(前提条件!$H$15&lt;=前提条件!$I$15,AND($D98&gt;=前提条件!$H$15,$D98&lt;=前提条件!$I$15),OR($D98&gt;=前提条件!$H$15,$D98&lt;=前提条件!$I$15)),1,0)</f>
        <v>0</v>
      </c>
    </row>
    <row r="99" customFormat="false" ht="15" hidden="false" customHeight="false" outlineLevel="0" collapsed="false">
      <c r="A99" s="48" t="n">
        <v>4</v>
      </c>
      <c r="B99" s="48" t="n">
        <v>6</v>
      </c>
      <c r="C99" s="48" t="str">
        <f aca="false">A99&amp;"/"&amp;B99</f>
        <v>4/6</v>
      </c>
      <c r="D99" s="48" t="n">
        <f aca="false">A99*100+B99</f>
        <v>406</v>
      </c>
      <c r="E99" s="45" t="n">
        <f aca="false">IF(SUM(J99:K99)&gt;0,前提条件!$B$6,前提条件!$B$8)</f>
        <v>3</v>
      </c>
      <c r="F99" s="48" t="str">
        <f aca="false">IFERROR(INDEX(前提条件!$B$12:$B$15,MATCH(1,L99:O99,0)),"未設定")</f>
        <v>標準形</v>
      </c>
      <c r="G99" s="48" t="str">
        <f aca="false">IFERROR(INDEX(前提条件!$C$12:$C$15,MATCH(1,L99:O99,0)),"未設定")</f>
        <v>標準期</v>
      </c>
      <c r="H99" s="44" t="str">
        <f aca="false">"S値+"&amp;E99&amp;"／"&amp;F99&amp;"（"&amp;G99&amp;"）"</f>
        <v>S値+3／標準形（標準期）</v>
      </c>
      <c r="J99" s="14" t="n">
        <f aca="false">IF(IF(前提条件!$G$6&lt;=前提条件!$H$6,AND($D99&gt;=前提条件!$G$6,$D99&lt;=前提条件!$H$6),OR($D99&gt;=前提条件!$G$6,$D99&lt;=前提条件!$H$6)),1,0)</f>
        <v>0</v>
      </c>
      <c r="K99" s="14" t="n">
        <f aca="false">IF(IF(前提条件!$G$7&lt;=前提条件!$H$7,AND($D99&gt;=前提条件!$G$7,$D99&lt;=前提条件!$H$7),OR($D99&gt;=前提条件!$G$7,$D99&lt;=前提条件!$H$7)),1,0)</f>
        <v>0</v>
      </c>
      <c r="L99" s="14" t="n">
        <f aca="false">IF(IF(前提条件!$H$12&lt;=前提条件!$I$12,AND($D99&gt;=前提条件!$H$12,$D99&lt;=前提条件!$I$12),OR($D99&gt;=前提条件!$H$12,$D99&lt;=前提条件!$I$12)),1,0)</f>
        <v>1</v>
      </c>
      <c r="M99" s="14" t="n">
        <f aca="false">IF(IF(前提条件!$H$13&lt;=前提条件!$I$13,AND($D99&gt;=前提条件!$H$13,$D99&lt;=前提条件!$I$13),OR($D99&gt;=前提条件!$H$13,$D99&lt;=前提条件!$I$13)),1,0)</f>
        <v>0</v>
      </c>
      <c r="N99" s="14" t="n">
        <f aca="false">IF(IF(前提条件!$H$14&lt;=前提条件!$I$14,AND($D99&gt;=前提条件!$H$14,$D99&lt;=前提条件!$I$14),OR($D99&gt;=前提条件!$H$14,$D99&lt;=前提条件!$I$14)),1,0)</f>
        <v>0</v>
      </c>
      <c r="O99" s="14" t="n">
        <f aca="false">IF(IF(前提条件!$H$15&lt;=前提条件!$I$15,AND($D99&gt;=前提条件!$H$15,$D99&lt;=前提条件!$I$15),OR($D99&gt;=前提条件!$H$15,$D99&lt;=前提条件!$I$15)),1,0)</f>
        <v>0</v>
      </c>
    </row>
    <row r="100" customFormat="false" ht="15" hidden="false" customHeight="false" outlineLevel="0" collapsed="false">
      <c r="A100" s="48" t="n">
        <v>4</v>
      </c>
      <c r="B100" s="48" t="n">
        <v>7</v>
      </c>
      <c r="C100" s="48" t="str">
        <f aca="false">A100&amp;"/"&amp;B100</f>
        <v>4/7</v>
      </c>
      <c r="D100" s="48" t="n">
        <f aca="false">A100*100+B100</f>
        <v>407</v>
      </c>
      <c r="E100" s="45" t="n">
        <f aca="false">IF(SUM(J100:K100)&gt;0,前提条件!$B$6,前提条件!$B$8)</f>
        <v>3</v>
      </c>
      <c r="F100" s="48" t="str">
        <f aca="false">IFERROR(INDEX(前提条件!$B$12:$B$15,MATCH(1,L100:O100,0)),"未設定")</f>
        <v>標準形</v>
      </c>
      <c r="G100" s="48" t="str">
        <f aca="false">IFERROR(INDEX(前提条件!$C$12:$C$15,MATCH(1,L100:O100,0)),"未設定")</f>
        <v>標準期</v>
      </c>
      <c r="H100" s="44" t="str">
        <f aca="false">"S値+"&amp;E100&amp;"／"&amp;F100&amp;"（"&amp;G100&amp;"）"</f>
        <v>S値+3／標準形（標準期）</v>
      </c>
      <c r="J100" s="14" t="n">
        <f aca="false">IF(IF(前提条件!$G$6&lt;=前提条件!$H$6,AND($D100&gt;=前提条件!$G$6,$D100&lt;=前提条件!$H$6),OR($D100&gt;=前提条件!$G$6,$D100&lt;=前提条件!$H$6)),1,0)</f>
        <v>0</v>
      </c>
      <c r="K100" s="14" t="n">
        <f aca="false">IF(IF(前提条件!$G$7&lt;=前提条件!$H$7,AND($D100&gt;=前提条件!$G$7,$D100&lt;=前提条件!$H$7),OR($D100&gt;=前提条件!$G$7,$D100&lt;=前提条件!$H$7)),1,0)</f>
        <v>0</v>
      </c>
      <c r="L100" s="14" t="n">
        <f aca="false">IF(IF(前提条件!$H$12&lt;=前提条件!$I$12,AND($D100&gt;=前提条件!$H$12,$D100&lt;=前提条件!$I$12),OR($D100&gt;=前提条件!$H$12,$D100&lt;=前提条件!$I$12)),1,0)</f>
        <v>1</v>
      </c>
      <c r="M100" s="14" t="n">
        <f aca="false">IF(IF(前提条件!$H$13&lt;=前提条件!$I$13,AND($D100&gt;=前提条件!$H$13,$D100&lt;=前提条件!$I$13),OR($D100&gt;=前提条件!$H$13,$D100&lt;=前提条件!$I$13)),1,0)</f>
        <v>0</v>
      </c>
      <c r="N100" s="14" t="n">
        <f aca="false">IF(IF(前提条件!$H$14&lt;=前提条件!$I$14,AND($D100&gt;=前提条件!$H$14,$D100&lt;=前提条件!$I$14),OR($D100&gt;=前提条件!$H$14,$D100&lt;=前提条件!$I$14)),1,0)</f>
        <v>0</v>
      </c>
      <c r="O100" s="14" t="n">
        <f aca="false">IF(IF(前提条件!$H$15&lt;=前提条件!$I$15,AND($D100&gt;=前提条件!$H$15,$D100&lt;=前提条件!$I$15),OR($D100&gt;=前提条件!$H$15,$D100&lt;=前提条件!$I$15)),1,0)</f>
        <v>0</v>
      </c>
    </row>
    <row r="101" customFormat="false" ht="15" hidden="false" customHeight="false" outlineLevel="0" collapsed="false">
      <c r="A101" s="48" t="n">
        <v>4</v>
      </c>
      <c r="B101" s="48" t="n">
        <v>8</v>
      </c>
      <c r="C101" s="48" t="str">
        <f aca="false">A101&amp;"/"&amp;B101</f>
        <v>4/8</v>
      </c>
      <c r="D101" s="48" t="n">
        <f aca="false">A101*100+B101</f>
        <v>408</v>
      </c>
      <c r="E101" s="45" t="n">
        <f aca="false">IF(SUM(J101:K101)&gt;0,前提条件!$B$6,前提条件!$B$8)</f>
        <v>3</v>
      </c>
      <c r="F101" s="48" t="str">
        <f aca="false">IFERROR(INDEX(前提条件!$B$12:$B$15,MATCH(1,L101:O101,0)),"未設定")</f>
        <v>標準形</v>
      </c>
      <c r="G101" s="48" t="str">
        <f aca="false">IFERROR(INDEX(前提条件!$C$12:$C$15,MATCH(1,L101:O101,0)),"未設定")</f>
        <v>標準期</v>
      </c>
      <c r="H101" s="44" t="str">
        <f aca="false">"S値+"&amp;E101&amp;"／"&amp;F101&amp;"（"&amp;G101&amp;"）"</f>
        <v>S値+3／標準形（標準期）</v>
      </c>
      <c r="J101" s="14" t="n">
        <f aca="false">IF(IF(前提条件!$G$6&lt;=前提条件!$H$6,AND($D101&gt;=前提条件!$G$6,$D101&lt;=前提条件!$H$6),OR($D101&gt;=前提条件!$G$6,$D101&lt;=前提条件!$H$6)),1,0)</f>
        <v>0</v>
      </c>
      <c r="K101" s="14" t="n">
        <f aca="false">IF(IF(前提条件!$G$7&lt;=前提条件!$H$7,AND($D101&gt;=前提条件!$G$7,$D101&lt;=前提条件!$H$7),OR($D101&gt;=前提条件!$G$7,$D101&lt;=前提条件!$H$7)),1,0)</f>
        <v>0</v>
      </c>
      <c r="L101" s="14" t="n">
        <f aca="false">IF(IF(前提条件!$H$12&lt;=前提条件!$I$12,AND($D101&gt;=前提条件!$H$12,$D101&lt;=前提条件!$I$12),OR($D101&gt;=前提条件!$H$12,$D101&lt;=前提条件!$I$12)),1,0)</f>
        <v>1</v>
      </c>
      <c r="M101" s="14" t="n">
        <f aca="false">IF(IF(前提条件!$H$13&lt;=前提条件!$I$13,AND($D101&gt;=前提条件!$H$13,$D101&lt;=前提条件!$I$13),OR($D101&gt;=前提条件!$H$13,$D101&lt;=前提条件!$I$13)),1,0)</f>
        <v>0</v>
      </c>
      <c r="N101" s="14" t="n">
        <f aca="false">IF(IF(前提条件!$H$14&lt;=前提条件!$I$14,AND($D101&gt;=前提条件!$H$14,$D101&lt;=前提条件!$I$14),OR($D101&gt;=前提条件!$H$14,$D101&lt;=前提条件!$I$14)),1,0)</f>
        <v>0</v>
      </c>
      <c r="O101" s="14" t="n">
        <f aca="false">IF(IF(前提条件!$H$15&lt;=前提条件!$I$15,AND($D101&gt;=前提条件!$H$15,$D101&lt;=前提条件!$I$15),OR($D101&gt;=前提条件!$H$15,$D101&lt;=前提条件!$I$15)),1,0)</f>
        <v>0</v>
      </c>
    </row>
    <row r="102" customFormat="false" ht="15" hidden="false" customHeight="false" outlineLevel="0" collapsed="false">
      <c r="A102" s="48" t="n">
        <v>4</v>
      </c>
      <c r="B102" s="48" t="n">
        <v>9</v>
      </c>
      <c r="C102" s="48" t="str">
        <f aca="false">A102&amp;"/"&amp;B102</f>
        <v>4/9</v>
      </c>
      <c r="D102" s="48" t="n">
        <f aca="false">A102*100+B102</f>
        <v>409</v>
      </c>
      <c r="E102" s="45" t="n">
        <f aca="false">IF(SUM(J102:K102)&gt;0,前提条件!$B$6,前提条件!$B$8)</f>
        <v>3</v>
      </c>
      <c r="F102" s="48" t="str">
        <f aca="false">IFERROR(INDEX(前提条件!$B$12:$B$15,MATCH(1,L102:O102,0)),"未設定")</f>
        <v>標準形</v>
      </c>
      <c r="G102" s="48" t="str">
        <f aca="false">IFERROR(INDEX(前提条件!$C$12:$C$15,MATCH(1,L102:O102,0)),"未設定")</f>
        <v>標準期</v>
      </c>
      <c r="H102" s="44" t="str">
        <f aca="false">"S値+"&amp;E102&amp;"／"&amp;F102&amp;"（"&amp;G102&amp;"）"</f>
        <v>S値+3／標準形（標準期）</v>
      </c>
      <c r="J102" s="14" t="n">
        <f aca="false">IF(IF(前提条件!$G$6&lt;=前提条件!$H$6,AND($D102&gt;=前提条件!$G$6,$D102&lt;=前提条件!$H$6),OR($D102&gt;=前提条件!$G$6,$D102&lt;=前提条件!$H$6)),1,0)</f>
        <v>0</v>
      </c>
      <c r="K102" s="14" t="n">
        <f aca="false">IF(IF(前提条件!$G$7&lt;=前提条件!$H$7,AND($D102&gt;=前提条件!$G$7,$D102&lt;=前提条件!$H$7),OR($D102&gt;=前提条件!$G$7,$D102&lt;=前提条件!$H$7)),1,0)</f>
        <v>0</v>
      </c>
      <c r="L102" s="14" t="n">
        <f aca="false">IF(IF(前提条件!$H$12&lt;=前提条件!$I$12,AND($D102&gt;=前提条件!$H$12,$D102&lt;=前提条件!$I$12),OR($D102&gt;=前提条件!$H$12,$D102&lt;=前提条件!$I$12)),1,0)</f>
        <v>1</v>
      </c>
      <c r="M102" s="14" t="n">
        <f aca="false">IF(IF(前提条件!$H$13&lt;=前提条件!$I$13,AND($D102&gt;=前提条件!$H$13,$D102&lt;=前提条件!$I$13),OR($D102&gt;=前提条件!$H$13,$D102&lt;=前提条件!$I$13)),1,0)</f>
        <v>0</v>
      </c>
      <c r="N102" s="14" t="n">
        <f aca="false">IF(IF(前提条件!$H$14&lt;=前提条件!$I$14,AND($D102&gt;=前提条件!$H$14,$D102&lt;=前提条件!$I$14),OR($D102&gt;=前提条件!$H$14,$D102&lt;=前提条件!$I$14)),1,0)</f>
        <v>0</v>
      </c>
      <c r="O102" s="14" t="n">
        <f aca="false">IF(IF(前提条件!$H$15&lt;=前提条件!$I$15,AND($D102&gt;=前提条件!$H$15,$D102&lt;=前提条件!$I$15),OR($D102&gt;=前提条件!$H$15,$D102&lt;=前提条件!$I$15)),1,0)</f>
        <v>0</v>
      </c>
    </row>
    <row r="103" customFormat="false" ht="15" hidden="false" customHeight="false" outlineLevel="0" collapsed="false">
      <c r="A103" s="48" t="n">
        <v>4</v>
      </c>
      <c r="B103" s="48" t="n">
        <v>10</v>
      </c>
      <c r="C103" s="48" t="str">
        <f aca="false">A103&amp;"/"&amp;B103</f>
        <v>4/10</v>
      </c>
      <c r="D103" s="48" t="n">
        <f aca="false">A103*100+B103</f>
        <v>410</v>
      </c>
      <c r="E103" s="45" t="n">
        <f aca="false">IF(SUM(J103:K103)&gt;0,前提条件!$B$6,前提条件!$B$8)</f>
        <v>3</v>
      </c>
      <c r="F103" s="48" t="str">
        <f aca="false">IFERROR(INDEX(前提条件!$B$12:$B$15,MATCH(1,L103:O103,0)),"未設定")</f>
        <v>標準形</v>
      </c>
      <c r="G103" s="48" t="str">
        <f aca="false">IFERROR(INDEX(前提条件!$C$12:$C$15,MATCH(1,L103:O103,0)),"未設定")</f>
        <v>標準期</v>
      </c>
      <c r="H103" s="44" t="str">
        <f aca="false">"S値+"&amp;E103&amp;"／"&amp;F103&amp;"（"&amp;G103&amp;"）"</f>
        <v>S値+3／標準形（標準期）</v>
      </c>
      <c r="J103" s="14" t="n">
        <f aca="false">IF(IF(前提条件!$G$6&lt;=前提条件!$H$6,AND($D103&gt;=前提条件!$G$6,$D103&lt;=前提条件!$H$6),OR($D103&gt;=前提条件!$G$6,$D103&lt;=前提条件!$H$6)),1,0)</f>
        <v>0</v>
      </c>
      <c r="K103" s="14" t="n">
        <f aca="false">IF(IF(前提条件!$G$7&lt;=前提条件!$H$7,AND($D103&gt;=前提条件!$G$7,$D103&lt;=前提条件!$H$7),OR($D103&gt;=前提条件!$G$7,$D103&lt;=前提条件!$H$7)),1,0)</f>
        <v>0</v>
      </c>
      <c r="L103" s="14" t="n">
        <f aca="false">IF(IF(前提条件!$H$12&lt;=前提条件!$I$12,AND($D103&gt;=前提条件!$H$12,$D103&lt;=前提条件!$I$12),OR($D103&gt;=前提条件!$H$12,$D103&lt;=前提条件!$I$12)),1,0)</f>
        <v>1</v>
      </c>
      <c r="M103" s="14" t="n">
        <f aca="false">IF(IF(前提条件!$H$13&lt;=前提条件!$I$13,AND($D103&gt;=前提条件!$H$13,$D103&lt;=前提条件!$I$13),OR($D103&gt;=前提条件!$H$13,$D103&lt;=前提条件!$I$13)),1,0)</f>
        <v>0</v>
      </c>
      <c r="N103" s="14" t="n">
        <f aca="false">IF(IF(前提条件!$H$14&lt;=前提条件!$I$14,AND($D103&gt;=前提条件!$H$14,$D103&lt;=前提条件!$I$14),OR($D103&gt;=前提条件!$H$14,$D103&lt;=前提条件!$I$14)),1,0)</f>
        <v>0</v>
      </c>
      <c r="O103" s="14" t="n">
        <f aca="false">IF(IF(前提条件!$H$15&lt;=前提条件!$I$15,AND($D103&gt;=前提条件!$H$15,$D103&lt;=前提条件!$I$15),OR($D103&gt;=前提条件!$H$15,$D103&lt;=前提条件!$I$15)),1,0)</f>
        <v>0</v>
      </c>
    </row>
    <row r="104" customFormat="false" ht="15" hidden="false" customHeight="false" outlineLevel="0" collapsed="false">
      <c r="A104" s="48" t="n">
        <v>4</v>
      </c>
      <c r="B104" s="48" t="n">
        <v>11</v>
      </c>
      <c r="C104" s="48" t="str">
        <f aca="false">A104&amp;"/"&amp;B104</f>
        <v>4/11</v>
      </c>
      <c r="D104" s="48" t="n">
        <f aca="false">A104*100+B104</f>
        <v>411</v>
      </c>
      <c r="E104" s="45" t="n">
        <f aca="false">IF(SUM(J104:K104)&gt;0,前提条件!$B$6,前提条件!$B$8)</f>
        <v>3</v>
      </c>
      <c r="F104" s="48" t="str">
        <f aca="false">IFERROR(INDEX(前提条件!$B$12:$B$15,MATCH(1,L104:O104,0)),"未設定")</f>
        <v>標準形</v>
      </c>
      <c r="G104" s="48" t="str">
        <f aca="false">IFERROR(INDEX(前提条件!$C$12:$C$15,MATCH(1,L104:O104,0)),"未設定")</f>
        <v>標準期</v>
      </c>
      <c r="H104" s="44" t="str">
        <f aca="false">"S値+"&amp;E104&amp;"／"&amp;F104&amp;"（"&amp;G104&amp;"）"</f>
        <v>S値+3／標準形（標準期）</v>
      </c>
      <c r="J104" s="14" t="n">
        <f aca="false">IF(IF(前提条件!$G$6&lt;=前提条件!$H$6,AND($D104&gt;=前提条件!$G$6,$D104&lt;=前提条件!$H$6),OR($D104&gt;=前提条件!$G$6,$D104&lt;=前提条件!$H$6)),1,0)</f>
        <v>0</v>
      </c>
      <c r="K104" s="14" t="n">
        <f aca="false">IF(IF(前提条件!$G$7&lt;=前提条件!$H$7,AND($D104&gt;=前提条件!$G$7,$D104&lt;=前提条件!$H$7),OR($D104&gt;=前提条件!$G$7,$D104&lt;=前提条件!$H$7)),1,0)</f>
        <v>0</v>
      </c>
      <c r="L104" s="14" t="n">
        <f aca="false">IF(IF(前提条件!$H$12&lt;=前提条件!$I$12,AND($D104&gt;=前提条件!$H$12,$D104&lt;=前提条件!$I$12),OR($D104&gt;=前提条件!$H$12,$D104&lt;=前提条件!$I$12)),1,0)</f>
        <v>1</v>
      </c>
      <c r="M104" s="14" t="n">
        <f aca="false">IF(IF(前提条件!$H$13&lt;=前提条件!$I$13,AND($D104&gt;=前提条件!$H$13,$D104&lt;=前提条件!$I$13),OR($D104&gt;=前提条件!$H$13,$D104&lt;=前提条件!$I$13)),1,0)</f>
        <v>0</v>
      </c>
      <c r="N104" s="14" t="n">
        <f aca="false">IF(IF(前提条件!$H$14&lt;=前提条件!$I$14,AND($D104&gt;=前提条件!$H$14,$D104&lt;=前提条件!$I$14),OR($D104&gt;=前提条件!$H$14,$D104&lt;=前提条件!$I$14)),1,0)</f>
        <v>0</v>
      </c>
      <c r="O104" s="14" t="n">
        <f aca="false">IF(IF(前提条件!$H$15&lt;=前提条件!$I$15,AND($D104&gt;=前提条件!$H$15,$D104&lt;=前提条件!$I$15),OR($D104&gt;=前提条件!$H$15,$D104&lt;=前提条件!$I$15)),1,0)</f>
        <v>0</v>
      </c>
    </row>
    <row r="105" customFormat="false" ht="15" hidden="false" customHeight="false" outlineLevel="0" collapsed="false">
      <c r="A105" s="48" t="n">
        <v>4</v>
      </c>
      <c r="B105" s="48" t="n">
        <v>12</v>
      </c>
      <c r="C105" s="48" t="str">
        <f aca="false">A105&amp;"/"&amp;B105</f>
        <v>4/12</v>
      </c>
      <c r="D105" s="48" t="n">
        <f aca="false">A105*100+B105</f>
        <v>412</v>
      </c>
      <c r="E105" s="45" t="n">
        <f aca="false">IF(SUM(J105:K105)&gt;0,前提条件!$B$6,前提条件!$B$8)</f>
        <v>3</v>
      </c>
      <c r="F105" s="48" t="str">
        <f aca="false">IFERROR(INDEX(前提条件!$B$12:$B$15,MATCH(1,L105:O105,0)),"未設定")</f>
        <v>標準形</v>
      </c>
      <c r="G105" s="48" t="str">
        <f aca="false">IFERROR(INDEX(前提条件!$C$12:$C$15,MATCH(1,L105:O105,0)),"未設定")</f>
        <v>標準期</v>
      </c>
      <c r="H105" s="44" t="str">
        <f aca="false">"S値+"&amp;E105&amp;"／"&amp;F105&amp;"（"&amp;G105&amp;"）"</f>
        <v>S値+3／標準形（標準期）</v>
      </c>
      <c r="J105" s="14" t="n">
        <f aca="false">IF(IF(前提条件!$G$6&lt;=前提条件!$H$6,AND($D105&gt;=前提条件!$G$6,$D105&lt;=前提条件!$H$6),OR($D105&gt;=前提条件!$G$6,$D105&lt;=前提条件!$H$6)),1,0)</f>
        <v>0</v>
      </c>
      <c r="K105" s="14" t="n">
        <f aca="false">IF(IF(前提条件!$G$7&lt;=前提条件!$H$7,AND($D105&gt;=前提条件!$G$7,$D105&lt;=前提条件!$H$7),OR($D105&gt;=前提条件!$G$7,$D105&lt;=前提条件!$H$7)),1,0)</f>
        <v>0</v>
      </c>
      <c r="L105" s="14" t="n">
        <f aca="false">IF(IF(前提条件!$H$12&lt;=前提条件!$I$12,AND($D105&gt;=前提条件!$H$12,$D105&lt;=前提条件!$I$12),OR($D105&gt;=前提条件!$H$12,$D105&lt;=前提条件!$I$12)),1,0)</f>
        <v>1</v>
      </c>
      <c r="M105" s="14" t="n">
        <f aca="false">IF(IF(前提条件!$H$13&lt;=前提条件!$I$13,AND($D105&gt;=前提条件!$H$13,$D105&lt;=前提条件!$I$13),OR($D105&gt;=前提条件!$H$13,$D105&lt;=前提条件!$I$13)),1,0)</f>
        <v>0</v>
      </c>
      <c r="N105" s="14" t="n">
        <f aca="false">IF(IF(前提条件!$H$14&lt;=前提条件!$I$14,AND($D105&gt;=前提条件!$H$14,$D105&lt;=前提条件!$I$14),OR($D105&gt;=前提条件!$H$14,$D105&lt;=前提条件!$I$14)),1,0)</f>
        <v>0</v>
      </c>
      <c r="O105" s="14" t="n">
        <f aca="false">IF(IF(前提条件!$H$15&lt;=前提条件!$I$15,AND($D105&gt;=前提条件!$H$15,$D105&lt;=前提条件!$I$15),OR($D105&gt;=前提条件!$H$15,$D105&lt;=前提条件!$I$15)),1,0)</f>
        <v>0</v>
      </c>
    </row>
    <row r="106" customFormat="false" ht="15" hidden="false" customHeight="false" outlineLevel="0" collapsed="false">
      <c r="A106" s="48" t="n">
        <v>4</v>
      </c>
      <c r="B106" s="48" t="n">
        <v>13</v>
      </c>
      <c r="C106" s="48" t="str">
        <f aca="false">A106&amp;"/"&amp;B106</f>
        <v>4/13</v>
      </c>
      <c r="D106" s="48" t="n">
        <f aca="false">A106*100+B106</f>
        <v>413</v>
      </c>
      <c r="E106" s="45" t="n">
        <f aca="false">IF(SUM(J106:K106)&gt;0,前提条件!$B$6,前提条件!$B$8)</f>
        <v>3</v>
      </c>
      <c r="F106" s="48" t="str">
        <f aca="false">IFERROR(INDEX(前提条件!$B$12:$B$15,MATCH(1,L106:O106,0)),"未設定")</f>
        <v>標準形</v>
      </c>
      <c r="G106" s="48" t="str">
        <f aca="false">IFERROR(INDEX(前提条件!$C$12:$C$15,MATCH(1,L106:O106,0)),"未設定")</f>
        <v>標準期</v>
      </c>
      <c r="H106" s="44" t="str">
        <f aca="false">"S値+"&amp;E106&amp;"／"&amp;F106&amp;"（"&amp;G106&amp;"）"</f>
        <v>S値+3／標準形（標準期）</v>
      </c>
      <c r="J106" s="14" t="n">
        <f aca="false">IF(IF(前提条件!$G$6&lt;=前提条件!$H$6,AND($D106&gt;=前提条件!$G$6,$D106&lt;=前提条件!$H$6),OR($D106&gt;=前提条件!$G$6,$D106&lt;=前提条件!$H$6)),1,0)</f>
        <v>0</v>
      </c>
      <c r="K106" s="14" t="n">
        <f aca="false">IF(IF(前提条件!$G$7&lt;=前提条件!$H$7,AND($D106&gt;=前提条件!$G$7,$D106&lt;=前提条件!$H$7),OR($D106&gt;=前提条件!$G$7,$D106&lt;=前提条件!$H$7)),1,0)</f>
        <v>0</v>
      </c>
      <c r="L106" s="14" t="n">
        <f aca="false">IF(IF(前提条件!$H$12&lt;=前提条件!$I$12,AND($D106&gt;=前提条件!$H$12,$D106&lt;=前提条件!$I$12),OR($D106&gt;=前提条件!$H$12,$D106&lt;=前提条件!$I$12)),1,0)</f>
        <v>1</v>
      </c>
      <c r="M106" s="14" t="n">
        <f aca="false">IF(IF(前提条件!$H$13&lt;=前提条件!$I$13,AND($D106&gt;=前提条件!$H$13,$D106&lt;=前提条件!$I$13),OR($D106&gt;=前提条件!$H$13,$D106&lt;=前提条件!$I$13)),1,0)</f>
        <v>0</v>
      </c>
      <c r="N106" s="14" t="n">
        <f aca="false">IF(IF(前提条件!$H$14&lt;=前提条件!$I$14,AND($D106&gt;=前提条件!$H$14,$D106&lt;=前提条件!$I$14),OR($D106&gt;=前提条件!$H$14,$D106&lt;=前提条件!$I$14)),1,0)</f>
        <v>0</v>
      </c>
      <c r="O106" s="14" t="n">
        <f aca="false">IF(IF(前提条件!$H$15&lt;=前提条件!$I$15,AND($D106&gt;=前提条件!$H$15,$D106&lt;=前提条件!$I$15),OR($D106&gt;=前提条件!$H$15,$D106&lt;=前提条件!$I$15)),1,0)</f>
        <v>0</v>
      </c>
    </row>
    <row r="107" customFormat="false" ht="15" hidden="false" customHeight="false" outlineLevel="0" collapsed="false">
      <c r="A107" s="48" t="n">
        <v>4</v>
      </c>
      <c r="B107" s="48" t="n">
        <v>14</v>
      </c>
      <c r="C107" s="48" t="str">
        <f aca="false">A107&amp;"/"&amp;B107</f>
        <v>4/14</v>
      </c>
      <c r="D107" s="48" t="n">
        <f aca="false">A107*100+B107</f>
        <v>414</v>
      </c>
      <c r="E107" s="45" t="n">
        <f aca="false">IF(SUM(J107:K107)&gt;0,前提条件!$B$6,前提条件!$B$8)</f>
        <v>3</v>
      </c>
      <c r="F107" s="48" t="str">
        <f aca="false">IFERROR(INDEX(前提条件!$B$12:$B$15,MATCH(1,L107:O107,0)),"未設定")</f>
        <v>標準形</v>
      </c>
      <c r="G107" s="48" t="str">
        <f aca="false">IFERROR(INDEX(前提条件!$C$12:$C$15,MATCH(1,L107:O107,0)),"未設定")</f>
        <v>標準期</v>
      </c>
      <c r="H107" s="44" t="str">
        <f aca="false">"S値+"&amp;E107&amp;"／"&amp;F107&amp;"（"&amp;G107&amp;"）"</f>
        <v>S値+3／標準形（標準期）</v>
      </c>
      <c r="J107" s="14" t="n">
        <f aca="false">IF(IF(前提条件!$G$6&lt;=前提条件!$H$6,AND($D107&gt;=前提条件!$G$6,$D107&lt;=前提条件!$H$6),OR($D107&gt;=前提条件!$G$6,$D107&lt;=前提条件!$H$6)),1,0)</f>
        <v>0</v>
      </c>
      <c r="K107" s="14" t="n">
        <f aca="false">IF(IF(前提条件!$G$7&lt;=前提条件!$H$7,AND($D107&gt;=前提条件!$G$7,$D107&lt;=前提条件!$H$7),OR($D107&gt;=前提条件!$G$7,$D107&lt;=前提条件!$H$7)),1,0)</f>
        <v>0</v>
      </c>
      <c r="L107" s="14" t="n">
        <f aca="false">IF(IF(前提条件!$H$12&lt;=前提条件!$I$12,AND($D107&gt;=前提条件!$H$12,$D107&lt;=前提条件!$I$12),OR($D107&gt;=前提条件!$H$12,$D107&lt;=前提条件!$I$12)),1,0)</f>
        <v>1</v>
      </c>
      <c r="M107" s="14" t="n">
        <f aca="false">IF(IF(前提条件!$H$13&lt;=前提条件!$I$13,AND($D107&gt;=前提条件!$H$13,$D107&lt;=前提条件!$I$13),OR($D107&gt;=前提条件!$H$13,$D107&lt;=前提条件!$I$13)),1,0)</f>
        <v>0</v>
      </c>
      <c r="N107" s="14" t="n">
        <f aca="false">IF(IF(前提条件!$H$14&lt;=前提条件!$I$14,AND($D107&gt;=前提条件!$H$14,$D107&lt;=前提条件!$I$14),OR($D107&gt;=前提条件!$H$14,$D107&lt;=前提条件!$I$14)),1,0)</f>
        <v>0</v>
      </c>
      <c r="O107" s="14" t="n">
        <f aca="false">IF(IF(前提条件!$H$15&lt;=前提条件!$I$15,AND($D107&gt;=前提条件!$H$15,$D107&lt;=前提条件!$I$15),OR($D107&gt;=前提条件!$H$15,$D107&lt;=前提条件!$I$15)),1,0)</f>
        <v>0</v>
      </c>
    </row>
    <row r="108" customFormat="false" ht="15" hidden="false" customHeight="false" outlineLevel="0" collapsed="false">
      <c r="A108" s="48" t="n">
        <v>4</v>
      </c>
      <c r="B108" s="48" t="n">
        <v>15</v>
      </c>
      <c r="C108" s="48" t="str">
        <f aca="false">A108&amp;"/"&amp;B108</f>
        <v>4/15</v>
      </c>
      <c r="D108" s="48" t="n">
        <f aca="false">A108*100+B108</f>
        <v>415</v>
      </c>
      <c r="E108" s="45" t="n">
        <f aca="false">IF(SUM(J108:K108)&gt;0,前提条件!$B$6,前提条件!$B$8)</f>
        <v>3</v>
      </c>
      <c r="F108" s="48" t="str">
        <f aca="false">IFERROR(INDEX(前提条件!$B$12:$B$15,MATCH(1,L108:O108,0)),"未設定")</f>
        <v>標準形</v>
      </c>
      <c r="G108" s="48" t="str">
        <f aca="false">IFERROR(INDEX(前提条件!$C$12:$C$15,MATCH(1,L108:O108,0)),"未設定")</f>
        <v>標準期</v>
      </c>
      <c r="H108" s="44" t="str">
        <f aca="false">"S値+"&amp;E108&amp;"／"&amp;F108&amp;"（"&amp;G108&amp;"）"</f>
        <v>S値+3／標準形（標準期）</v>
      </c>
      <c r="J108" s="14" t="n">
        <f aca="false">IF(IF(前提条件!$G$6&lt;=前提条件!$H$6,AND($D108&gt;=前提条件!$G$6,$D108&lt;=前提条件!$H$6),OR($D108&gt;=前提条件!$G$6,$D108&lt;=前提条件!$H$6)),1,0)</f>
        <v>0</v>
      </c>
      <c r="K108" s="14" t="n">
        <f aca="false">IF(IF(前提条件!$G$7&lt;=前提条件!$H$7,AND($D108&gt;=前提条件!$G$7,$D108&lt;=前提条件!$H$7),OR($D108&gt;=前提条件!$G$7,$D108&lt;=前提条件!$H$7)),1,0)</f>
        <v>0</v>
      </c>
      <c r="L108" s="14" t="n">
        <f aca="false">IF(IF(前提条件!$H$12&lt;=前提条件!$I$12,AND($D108&gt;=前提条件!$H$12,$D108&lt;=前提条件!$I$12),OR($D108&gt;=前提条件!$H$12,$D108&lt;=前提条件!$I$12)),1,0)</f>
        <v>1</v>
      </c>
      <c r="M108" s="14" t="n">
        <f aca="false">IF(IF(前提条件!$H$13&lt;=前提条件!$I$13,AND($D108&gt;=前提条件!$H$13,$D108&lt;=前提条件!$I$13),OR($D108&gt;=前提条件!$H$13,$D108&lt;=前提条件!$I$13)),1,0)</f>
        <v>0</v>
      </c>
      <c r="N108" s="14" t="n">
        <f aca="false">IF(IF(前提条件!$H$14&lt;=前提条件!$I$14,AND($D108&gt;=前提条件!$H$14,$D108&lt;=前提条件!$I$14),OR($D108&gt;=前提条件!$H$14,$D108&lt;=前提条件!$I$14)),1,0)</f>
        <v>0</v>
      </c>
      <c r="O108" s="14" t="n">
        <f aca="false">IF(IF(前提条件!$H$15&lt;=前提条件!$I$15,AND($D108&gt;=前提条件!$H$15,$D108&lt;=前提条件!$I$15),OR($D108&gt;=前提条件!$H$15,$D108&lt;=前提条件!$I$15)),1,0)</f>
        <v>0</v>
      </c>
    </row>
    <row r="109" customFormat="false" ht="15" hidden="false" customHeight="false" outlineLevel="0" collapsed="false">
      <c r="A109" s="48" t="n">
        <v>4</v>
      </c>
      <c r="B109" s="48" t="n">
        <v>16</v>
      </c>
      <c r="C109" s="48" t="str">
        <f aca="false">A109&amp;"/"&amp;B109</f>
        <v>4/16</v>
      </c>
      <c r="D109" s="48" t="n">
        <f aca="false">A109*100+B109</f>
        <v>416</v>
      </c>
      <c r="E109" s="45" t="n">
        <f aca="false">IF(SUM(J109:K109)&gt;0,前提条件!$B$6,前提条件!$B$8)</f>
        <v>3</v>
      </c>
      <c r="F109" s="48" t="str">
        <f aca="false">IFERROR(INDEX(前提条件!$B$12:$B$15,MATCH(1,L109:O109,0)),"未設定")</f>
        <v>標準形</v>
      </c>
      <c r="G109" s="48" t="str">
        <f aca="false">IFERROR(INDEX(前提条件!$C$12:$C$15,MATCH(1,L109:O109,0)),"未設定")</f>
        <v>標準期</v>
      </c>
      <c r="H109" s="44" t="str">
        <f aca="false">"S値+"&amp;E109&amp;"／"&amp;F109&amp;"（"&amp;G109&amp;"）"</f>
        <v>S値+3／標準形（標準期）</v>
      </c>
      <c r="J109" s="14" t="n">
        <f aca="false">IF(IF(前提条件!$G$6&lt;=前提条件!$H$6,AND($D109&gt;=前提条件!$G$6,$D109&lt;=前提条件!$H$6),OR($D109&gt;=前提条件!$G$6,$D109&lt;=前提条件!$H$6)),1,0)</f>
        <v>0</v>
      </c>
      <c r="K109" s="14" t="n">
        <f aca="false">IF(IF(前提条件!$G$7&lt;=前提条件!$H$7,AND($D109&gt;=前提条件!$G$7,$D109&lt;=前提条件!$H$7),OR($D109&gt;=前提条件!$G$7,$D109&lt;=前提条件!$H$7)),1,0)</f>
        <v>0</v>
      </c>
      <c r="L109" s="14" t="n">
        <f aca="false">IF(IF(前提条件!$H$12&lt;=前提条件!$I$12,AND($D109&gt;=前提条件!$H$12,$D109&lt;=前提条件!$I$12),OR($D109&gt;=前提条件!$H$12,$D109&lt;=前提条件!$I$12)),1,0)</f>
        <v>1</v>
      </c>
      <c r="M109" s="14" t="n">
        <f aca="false">IF(IF(前提条件!$H$13&lt;=前提条件!$I$13,AND($D109&gt;=前提条件!$H$13,$D109&lt;=前提条件!$I$13),OR($D109&gt;=前提条件!$H$13,$D109&lt;=前提条件!$I$13)),1,0)</f>
        <v>0</v>
      </c>
      <c r="N109" s="14" t="n">
        <f aca="false">IF(IF(前提条件!$H$14&lt;=前提条件!$I$14,AND($D109&gt;=前提条件!$H$14,$D109&lt;=前提条件!$I$14),OR($D109&gt;=前提条件!$H$14,$D109&lt;=前提条件!$I$14)),1,0)</f>
        <v>0</v>
      </c>
      <c r="O109" s="14" t="n">
        <f aca="false">IF(IF(前提条件!$H$15&lt;=前提条件!$I$15,AND($D109&gt;=前提条件!$H$15,$D109&lt;=前提条件!$I$15),OR($D109&gt;=前提条件!$H$15,$D109&lt;=前提条件!$I$15)),1,0)</f>
        <v>0</v>
      </c>
    </row>
    <row r="110" customFormat="false" ht="15" hidden="false" customHeight="false" outlineLevel="0" collapsed="false">
      <c r="A110" s="48" t="n">
        <v>4</v>
      </c>
      <c r="B110" s="48" t="n">
        <v>17</v>
      </c>
      <c r="C110" s="48" t="str">
        <f aca="false">A110&amp;"/"&amp;B110</f>
        <v>4/17</v>
      </c>
      <c r="D110" s="48" t="n">
        <f aca="false">A110*100+B110</f>
        <v>417</v>
      </c>
      <c r="E110" s="45" t="n">
        <f aca="false">IF(SUM(J110:K110)&gt;0,前提条件!$B$6,前提条件!$B$8)</f>
        <v>3</v>
      </c>
      <c r="F110" s="48" t="str">
        <f aca="false">IFERROR(INDEX(前提条件!$B$12:$B$15,MATCH(1,L110:O110,0)),"未設定")</f>
        <v>標準形</v>
      </c>
      <c r="G110" s="48" t="str">
        <f aca="false">IFERROR(INDEX(前提条件!$C$12:$C$15,MATCH(1,L110:O110,0)),"未設定")</f>
        <v>標準期</v>
      </c>
      <c r="H110" s="44" t="str">
        <f aca="false">"S値+"&amp;E110&amp;"／"&amp;F110&amp;"（"&amp;G110&amp;"）"</f>
        <v>S値+3／標準形（標準期）</v>
      </c>
      <c r="J110" s="14" t="n">
        <f aca="false">IF(IF(前提条件!$G$6&lt;=前提条件!$H$6,AND($D110&gt;=前提条件!$G$6,$D110&lt;=前提条件!$H$6),OR($D110&gt;=前提条件!$G$6,$D110&lt;=前提条件!$H$6)),1,0)</f>
        <v>0</v>
      </c>
      <c r="K110" s="14" t="n">
        <f aca="false">IF(IF(前提条件!$G$7&lt;=前提条件!$H$7,AND($D110&gt;=前提条件!$G$7,$D110&lt;=前提条件!$H$7),OR($D110&gt;=前提条件!$G$7,$D110&lt;=前提条件!$H$7)),1,0)</f>
        <v>0</v>
      </c>
      <c r="L110" s="14" t="n">
        <f aca="false">IF(IF(前提条件!$H$12&lt;=前提条件!$I$12,AND($D110&gt;=前提条件!$H$12,$D110&lt;=前提条件!$I$12),OR($D110&gt;=前提条件!$H$12,$D110&lt;=前提条件!$I$12)),1,0)</f>
        <v>1</v>
      </c>
      <c r="M110" s="14" t="n">
        <f aca="false">IF(IF(前提条件!$H$13&lt;=前提条件!$I$13,AND($D110&gt;=前提条件!$H$13,$D110&lt;=前提条件!$I$13),OR($D110&gt;=前提条件!$H$13,$D110&lt;=前提条件!$I$13)),1,0)</f>
        <v>0</v>
      </c>
      <c r="N110" s="14" t="n">
        <f aca="false">IF(IF(前提条件!$H$14&lt;=前提条件!$I$14,AND($D110&gt;=前提条件!$H$14,$D110&lt;=前提条件!$I$14),OR($D110&gt;=前提条件!$H$14,$D110&lt;=前提条件!$I$14)),1,0)</f>
        <v>0</v>
      </c>
      <c r="O110" s="14" t="n">
        <f aca="false">IF(IF(前提条件!$H$15&lt;=前提条件!$I$15,AND($D110&gt;=前提条件!$H$15,$D110&lt;=前提条件!$I$15),OR($D110&gt;=前提条件!$H$15,$D110&lt;=前提条件!$I$15)),1,0)</f>
        <v>0</v>
      </c>
    </row>
    <row r="111" customFormat="false" ht="15" hidden="false" customHeight="false" outlineLevel="0" collapsed="false">
      <c r="A111" s="48" t="n">
        <v>4</v>
      </c>
      <c r="B111" s="48" t="n">
        <v>18</v>
      </c>
      <c r="C111" s="48" t="str">
        <f aca="false">A111&amp;"/"&amp;B111</f>
        <v>4/18</v>
      </c>
      <c r="D111" s="48" t="n">
        <f aca="false">A111*100+B111</f>
        <v>418</v>
      </c>
      <c r="E111" s="45" t="n">
        <f aca="false">IF(SUM(J111:K111)&gt;0,前提条件!$B$6,前提条件!$B$8)</f>
        <v>3</v>
      </c>
      <c r="F111" s="48" t="str">
        <f aca="false">IFERROR(INDEX(前提条件!$B$12:$B$15,MATCH(1,L111:O111,0)),"未設定")</f>
        <v>標準形</v>
      </c>
      <c r="G111" s="48" t="str">
        <f aca="false">IFERROR(INDEX(前提条件!$C$12:$C$15,MATCH(1,L111:O111,0)),"未設定")</f>
        <v>標準期</v>
      </c>
      <c r="H111" s="44" t="str">
        <f aca="false">"S値+"&amp;E111&amp;"／"&amp;F111&amp;"（"&amp;G111&amp;"）"</f>
        <v>S値+3／標準形（標準期）</v>
      </c>
      <c r="J111" s="14" t="n">
        <f aca="false">IF(IF(前提条件!$G$6&lt;=前提条件!$H$6,AND($D111&gt;=前提条件!$G$6,$D111&lt;=前提条件!$H$6),OR($D111&gt;=前提条件!$G$6,$D111&lt;=前提条件!$H$6)),1,0)</f>
        <v>0</v>
      </c>
      <c r="K111" s="14" t="n">
        <f aca="false">IF(IF(前提条件!$G$7&lt;=前提条件!$H$7,AND($D111&gt;=前提条件!$G$7,$D111&lt;=前提条件!$H$7),OR($D111&gt;=前提条件!$G$7,$D111&lt;=前提条件!$H$7)),1,0)</f>
        <v>0</v>
      </c>
      <c r="L111" s="14" t="n">
        <f aca="false">IF(IF(前提条件!$H$12&lt;=前提条件!$I$12,AND($D111&gt;=前提条件!$H$12,$D111&lt;=前提条件!$I$12),OR($D111&gt;=前提条件!$H$12,$D111&lt;=前提条件!$I$12)),1,0)</f>
        <v>1</v>
      </c>
      <c r="M111" s="14" t="n">
        <f aca="false">IF(IF(前提条件!$H$13&lt;=前提条件!$I$13,AND($D111&gt;=前提条件!$H$13,$D111&lt;=前提条件!$I$13),OR($D111&gt;=前提条件!$H$13,$D111&lt;=前提条件!$I$13)),1,0)</f>
        <v>0</v>
      </c>
      <c r="N111" s="14" t="n">
        <f aca="false">IF(IF(前提条件!$H$14&lt;=前提条件!$I$14,AND($D111&gt;=前提条件!$H$14,$D111&lt;=前提条件!$I$14),OR($D111&gt;=前提条件!$H$14,$D111&lt;=前提条件!$I$14)),1,0)</f>
        <v>0</v>
      </c>
      <c r="O111" s="14" t="n">
        <f aca="false">IF(IF(前提条件!$H$15&lt;=前提条件!$I$15,AND($D111&gt;=前提条件!$H$15,$D111&lt;=前提条件!$I$15),OR($D111&gt;=前提条件!$H$15,$D111&lt;=前提条件!$I$15)),1,0)</f>
        <v>0</v>
      </c>
    </row>
    <row r="112" customFormat="false" ht="15" hidden="false" customHeight="false" outlineLevel="0" collapsed="false">
      <c r="A112" s="48" t="n">
        <v>4</v>
      </c>
      <c r="B112" s="48" t="n">
        <v>19</v>
      </c>
      <c r="C112" s="48" t="str">
        <f aca="false">A112&amp;"/"&amp;B112</f>
        <v>4/19</v>
      </c>
      <c r="D112" s="48" t="n">
        <f aca="false">A112*100+B112</f>
        <v>419</v>
      </c>
      <c r="E112" s="45" t="n">
        <f aca="false">IF(SUM(J112:K112)&gt;0,前提条件!$B$6,前提条件!$B$8)</f>
        <v>3</v>
      </c>
      <c r="F112" s="48" t="str">
        <f aca="false">IFERROR(INDEX(前提条件!$B$12:$B$15,MATCH(1,L112:O112,0)),"未設定")</f>
        <v>標準形</v>
      </c>
      <c r="G112" s="48" t="str">
        <f aca="false">IFERROR(INDEX(前提条件!$C$12:$C$15,MATCH(1,L112:O112,0)),"未設定")</f>
        <v>標準期</v>
      </c>
      <c r="H112" s="44" t="str">
        <f aca="false">"S値+"&amp;E112&amp;"／"&amp;F112&amp;"（"&amp;G112&amp;"）"</f>
        <v>S値+3／標準形（標準期）</v>
      </c>
      <c r="J112" s="14" t="n">
        <f aca="false">IF(IF(前提条件!$G$6&lt;=前提条件!$H$6,AND($D112&gt;=前提条件!$G$6,$D112&lt;=前提条件!$H$6),OR($D112&gt;=前提条件!$G$6,$D112&lt;=前提条件!$H$6)),1,0)</f>
        <v>0</v>
      </c>
      <c r="K112" s="14" t="n">
        <f aca="false">IF(IF(前提条件!$G$7&lt;=前提条件!$H$7,AND($D112&gt;=前提条件!$G$7,$D112&lt;=前提条件!$H$7),OR($D112&gt;=前提条件!$G$7,$D112&lt;=前提条件!$H$7)),1,0)</f>
        <v>0</v>
      </c>
      <c r="L112" s="14" t="n">
        <f aca="false">IF(IF(前提条件!$H$12&lt;=前提条件!$I$12,AND($D112&gt;=前提条件!$H$12,$D112&lt;=前提条件!$I$12),OR($D112&gt;=前提条件!$H$12,$D112&lt;=前提条件!$I$12)),1,0)</f>
        <v>1</v>
      </c>
      <c r="M112" s="14" t="n">
        <f aca="false">IF(IF(前提条件!$H$13&lt;=前提条件!$I$13,AND($D112&gt;=前提条件!$H$13,$D112&lt;=前提条件!$I$13),OR($D112&gt;=前提条件!$H$13,$D112&lt;=前提条件!$I$13)),1,0)</f>
        <v>0</v>
      </c>
      <c r="N112" s="14" t="n">
        <f aca="false">IF(IF(前提条件!$H$14&lt;=前提条件!$I$14,AND($D112&gt;=前提条件!$H$14,$D112&lt;=前提条件!$I$14),OR($D112&gt;=前提条件!$H$14,$D112&lt;=前提条件!$I$14)),1,0)</f>
        <v>0</v>
      </c>
      <c r="O112" s="14" t="n">
        <f aca="false">IF(IF(前提条件!$H$15&lt;=前提条件!$I$15,AND($D112&gt;=前提条件!$H$15,$D112&lt;=前提条件!$I$15),OR($D112&gt;=前提条件!$H$15,$D112&lt;=前提条件!$I$15)),1,0)</f>
        <v>0</v>
      </c>
    </row>
    <row r="113" customFormat="false" ht="15" hidden="false" customHeight="false" outlineLevel="0" collapsed="false">
      <c r="A113" s="48" t="n">
        <v>4</v>
      </c>
      <c r="B113" s="48" t="n">
        <v>20</v>
      </c>
      <c r="C113" s="48" t="str">
        <f aca="false">A113&amp;"/"&amp;B113</f>
        <v>4/20</v>
      </c>
      <c r="D113" s="48" t="n">
        <f aca="false">A113*100+B113</f>
        <v>420</v>
      </c>
      <c r="E113" s="45" t="n">
        <f aca="false">IF(SUM(J113:K113)&gt;0,前提条件!$B$6,前提条件!$B$8)</f>
        <v>3</v>
      </c>
      <c r="F113" s="48" t="str">
        <f aca="false">IFERROR(INDEX(前提条件!$B$12:$B$15,MATCH(1,L113:O113,0)),"未設定")</f>
        <v>標準形</v>
      </c>
      <c r="G113" s="48" t="str">
        <f aca="false">IFERROR(INDEX(前提条件!$C$12:$C$15,MATCH(1,L113:O113,0)),"未設定")</f>
        <v>標準期</v>
      </c>
      <c r="H113" s="44" t="str">
        <f aca="false">"S値+"&amp;E113&amp;"／"&amp;F113&amp;"（"&amp;G113&amp;"）"</f>
        <v>S値+3／標準形（標準期）</v>
      </c>
      <c r="J113" s="14" t="n">
        <f aca="false">IF(IF(前提条件!$G$6&lt;=前提条件!$H$6,AND($D113&gt;=前提条件!$G$6,$D113&lt;=前提条件!$H$6),OR($D113&gt;=前提条件!$G$6,$D113&lt;=前提条件!$H$6)),1,0)</f>
        <v>0</v>
      </c>
      <c r="K113" s="14" t="n">
        <f aca="false">IF(IF(前提条件!$G$7&lt;=前提条件!$H$7,AND($D113&gt;=前提条件!$G$7,$D113&lt;=前提条件!$H$7),OR($D113&gt;=前提条件!$G$7,$D113&lt;=前提条件!$H$7)),1,0)</f>
        <v>0</v>
      </c>
      <c r="L113" s="14" t="n">
        <f aca="false">IF(IF(前提条件!$H$12&lt;=前提条件!$I$12,AND($D113&gt;=前提条件!$H$12,$D113&lt;=前提条件!$I$12),OR($D113&gt;=前提条件!$H$12,$D113&lt;=前提条件!$I$12)),1,0)</f>
        <v>1</v>
      </c>
      <c r="M113" s="14" t="n">
        <f aca="false">IF(IF(前提条件!$H$13&lt;=前提条件!$I$13,AND($D113&gt;=前提条件!$H$13,$D113&lt;=前提条件!$I$13),OR($D113&gt;=前提条件!$H$13,$D113&lt;=前提条件!$I$13)),1,0)</f>
        <v>0</v>
      </c>
      <c r="N113" s="14" t="n">
        <f aca="false">IF(IF(前提条件!$H$14&lt;=前提条件!$I$14,AND($D113&gt;=前提条件!$H$14,$D113&lt;=前提条件!$I$14),OR($D113&gt;=前提条件!$H$14,$D113&lt;=前提条件!$I$14)),1,0)</f>
        <v>0</v>
      </c>
      <c r="O113" s="14" t="n">
        <f aca="false">IF(IF(前提条件!$H$15&lt;=前提条件!$I$15,AND($D113&gt;=前提条件!$H$15,$D113&lt;=前提条件!$I$15),OR($D113&gt;=前提条件!$H$15,$D113&lt;=前提条件!$I$15)),1,0)</f>
        <v>0</v>
      </c>
    </row>
    <row r="114" customFormat="false" ht="15" hidden="false" customHeight="false" outlineLevel="0" collapsed="false">
      <c r="A114" s="48" t="n">
        <v>4</v>
      </c>
      <c r="B114" s="48" t="n">
        <v>21</v>
      </c>
      <c r="C114" s="48" t="str">
        <f aca="false">A114&amp;"/"&amp;B114</f>
        <v>4/21</v>
      </c>
      <c r="D114" s="48" t="n">
        <f aca="false">A114*100+B114</f>
        <v>421</v>
      </c>
      <c r="E114" s="45" t="n">
        <f aca="false">IF(SUM(J114:K114)&gt;0,前提条件!$B$6,前提条件!$B$8)</f>
        <v>3</v>
      </c>
      <c r="F114" s="48" t="str">
        <f aca="false">IFERROR(INDEX(前提条件!$B$12:$B$15,MATCH(1,L114:O114,0)),"未設定")</f>
        <v>標準形</v>
      </c>
      <c r="G114" s="48" t="str">
        <f aca="false">IFERROR(INDEX(前提条件!$C$12:$C$15,MATCH(1,L114:O114,0)),"未設定")</f>
        <v>標準期</v>
      </c>
      <c r="H114" s="44" t="str">
        <f aca="false">"S値+"&amp;E114&amp;"／"&amp;F114&amp;"（"&amp;G114&amp;"）"</f>
        <v>S値+3／標準形（標準期）</v>
      </c>
      <c r="J114" s="14" t="n">
        <f aca="false">IF(IF(前提条件!$G$6&lt;=前提条件!$H$6,AND($D114&gt;=前提条件!$G$6,$D114&lt;=前提条件!$H$6),OR($D114&gt;=前提条件!$G$6,$D114&lt;=前提条件!$H$6)),1,0)</f>
        <v>0</v>
      </c>
      <c r="K114" s="14" t="n">
        <f aca="false">IF(IF(前提条件!$G$7&lt;=前提条件!$H$7,AND($D114&gt;=前提条件!$G$7,$D114&lt;=前提条件!$H$7),OR($D114&gt;=前提条件!$G$7,$D114&lt;=前提条件!$H$7)),1,0)</f>
        <v>0</v>
      </c>
      <c r="L114" s="14" t="n">
        <f aca="false">IF(IF(前提条件!$H$12&lt;=前提条件!$I$12,AND($D114&gt;=前提条件!$H$12,$D114&lt;=前提条件!$I$12),OR($D114&gt;=前提条件!$H$12,$D114&lt;=前提条件!$I$12)),1,0)</f>
        <v>1</v>
      </c>
      <c r="M114" s="14" t="n">
        <f aca="false">IF(IF(前提条件!$H$13&lt;=前提条件!$I$13,AND($D114&gt;=前提条件!$H$13,$D114&lt;=前提条件!$I$13),OR($D114&gt;=前提条件!$H$13,$D114&lt;=前提条件!$I$13)),1,0)</f>
        <v>0</v>
      </c>
      <c r="N114" s="14" t="n">
        <f aca="false">IF(IF(前提条件!$H$14&lt;=前提条件!$I$14,AND($D114&gt;=前提条件!$H$14,$D114&lt;=前提条件!$I$14),OR($D114&gt;=前提条件!$H$14,$D114&lt;=前提条件!$I$14)),1,0)</f>
        <v>0</v>
      </c>
      <c r="O114" s="14" t="n">
        <f aca="false">IF(IF(前提条件!$H$15&lt;=前提条件!$I$15,AND($D114&gt;=前提条件!$H$15,$D114&lt;=前提条件!$I$15),OR($D114&gt;=前提条件!$H$15,$D114&lt;=前提条件!$I$15)),1,0)</f>
        <v>0</v>
      </c>
    </row>
    <row r="115" customFormat="false" ht="15" hidden="false" customHeight="false" outlineLevel="0" collapsed="false">
      <c r="A115" s="48" t="n">
        <v>4</v>
      </c>
      <c r="B115" s="48" t="n">
        <v>22</v>
      </c>
      <c r="C115" s="48" t="str">
        <f aca="false">A115&amp;"/"&amp;B115</f>
        <v>4/22</v>
      </c>
      <c r="D115" s="48" t="n">
        <f aca="false">A115*100+B115</f>
        <v>422</v>
      </c>
      <c r="E115" s="45" t="n">
        <f aca="false">IF(SUM(J115:K115)&gt;0,前提条件!$B$6,前提条件!$B$8)</f>
        <v>3</v>
      </c>
      <c r="F115" s="48" t="str">
        <f aca="false">IFERROR(INDEX(前提条件!$B$12:$B$15,MATCH(1,L115:O115,0)),"未設定")</f>
        <v>標準形</v>
      </c>
      <c r="G115" s="48" t="str">
        <f aca="false">IFERROR(INDEX(前提条件!$C$12:$C$15,MATCH(1,L115:O115,0)),"未設定")</f>
        <v>標準期</v>
      </c>
      <c r="H115" s="44" t="str">
        <f aca="false">"S値+"&amp;E115&amp;"／"&amp;F115&amp;"（"&amp;G115&amp;"）"</f>
        <v>S値+3／標準形（標準期）</v>
      </c>
      <c r="J115" s="14" t="n">
        <f aca="false">IF(IF(前提条件!$G$6&lt;=前提条件!$H$6,AND($D115&gt;=前提条件!$G$6,$D115&lt;=前提条件!$H$6),OR($D115&gt;=前提条件!$G$6,$D115&lt;=前提条件!$H$6)),1,0)</f>
        <v>0</v>
      </c>
      <c r="K115" s="14" t="n">
        <f aca="false">IF(IF(前提条件!$G$7&lt;=前提条件!$H$7,AND($D115&gt;=前提条件!$G$7,$D115&lt;=前提条件!$H$7),OR($D115&gt;=前提条件!$G$7,$D115&lt;=前提条件!$H$7)),1,0)</f>
        <v>0</v>
      </c>
      <c r="L115" s="14" t="n">
        <f aca="false">IF(IF(前提条件!$H$12&lt;=前提条件!$I$12,AND($D115&gt;=前提条件!$H$12,$D115&lt;=前提条件!$I$12),OR($D115&gt;=前提条件!$H$12,$D115&lt;=前提条件!$I$12)),1,0)</f>
        <v>1</v>
      </c>
      <c r="M115" s="14" t="n">
        <f aca="false">IF(IF(前提条件!$H$13&lt;=前提条件!$I$13,AND($D115&gt;=前提条件!$H$13,$D115&lt;=前提条件!$I$13),OR($D115&gt;=前提条件!$H$13,$D115&lt;=前提条件!$I$13)),1,0)</f>
        <v>0</v>
      </c>
      <c r="N115" s="14" t="n">
        <f aca="false">IF(IF(前提条件!$H$14&lt;=前提条件!$I$14,AND($D115&gt;=前提条件!$H$14,$D115&lt;=前提条件!$I$14),OR($D115&gt;=前提条件!$H$14,$D115&lt;=前提条件!$I$14)),1,0)</f>
        <v>0</v>
      </c>
      <c r="O115" s="14" t="n">
        <f aca="false">IF(IF(前提条件!$H$15&lt;=前提条件!$I$15,AND($D115&gt;=前提条件!$H$15,$D115&lt;=前提条件!$I$15),OR($D115&gt;=前提条件!$H$15,$D115&lt;=前提条件!$I$15)),1,0)</f>
        <v>0</v>
      </c>
    </row>
    <row r="116" customFormat="false" ht="15" hidden="false" customHeight="false" outlineLevel="0" collapsed="false">
      <c r="A116" s="48" t="n">
        <v>4</v>
      </c>
      <c r="B116" s="48" t="n">
        <v>23</v>
      </c>
      <c r="C116" s="48" t="str">
        <f aca="false">A116&amp;"/"&amp;B116</f>
        <v>4/23</v>
      </c>
      <c r="D116" s="48" t="n">
        <f aca="false">A116*100+B116</f>
        <v>423</v>
      </c>
      <c r="E116" s="45" t="n">
        <f aca="false">IF(SUM(J116:K116)&gt;0,前提条件!$B$6,前提条件!$B$8)</f>
        <v>3</v>
      </c>
      <c r="F116" s="48" t="str">
        <f aca="false">IFERROR(INDEX(前提条件!$B$12:$B$15,MATCH(1,L116:O116,0)),"未設定")</f>
        <v>標準形</v>
      </c>
      <c r="G116" s="48" t="str">
        <f aca="false">IFERROR(INDEX(前提条件!$C$12:$C$15,MATCH(1,L116:O116,0)),"未設定")</f>
        <v>標準期</v>
      </c>
      <c r="H116" s="44" t="str">
        <f aca="false">"S値+"&amp;E116&amp;"／"&amp;F116&amp;"（"&amp;G116&amp;"）"</f>
        <v>S値+3／標準形（標準期）</v>
      </c>
      <c r="J116" s="14" t="n">
        <f aca="false">IF(IF(前提条件!$G$6&lt;=前提条件!$H$6,AND($D116&gt;=前提条件!$G$6,$D116&lt;=前提条件!$H$6),OR($D116&gt;=前提条件!$G$6,$D116&lt;=前提条件!$H$6)),1,0)</f>
        <v>0</v>
      </c>
      <c r="K116" s="14" t="n">
        <f aca="false">IF(IF(前提条件!$G$7&lt;=前提条件!$H$7,AND($D116&gt;=前提条件!$G$7,$D116&lt;=前提条件!$H$7),OR($D116&gt;=前提条件!$G$7,$D116&lt;=前提条件!$H$7)),1,0)</f>
        <v>0</v>
      </c>
      <c r="L116" s="14" t="n">
        <f aca="false">IF(IF(前提条件!$H$12&lt;=前提条件!$I$12,AND($D116&gt;=前提条件!$H$12,$D116&lt;=前提条件!$I$12),OR($D116&gt;=前提条件!$H$12,$D116&lt;=前提条件!$I$12)),1,0)</f>
        <v>1</v>
      </c>
      <c r="M116" s="14" t="n">
        <f aca="false">IF(IF(前提条件!$H$13&lt;=前提条件!$I$13,AND($D116&gt;=前提条件!$H$13,$D116&lt;=前提条件!$I$13),OR($D116&gt;=前提条件!$H$13,$D116&lt;=前提条件!$I$13)),1,0)</f>
        <v>0</v>
      </c>
      <c r="N116" s="14" t="n">
        <f aca="false">IF(IF(前提条件!$H$14&lt;=前提条件!$I$14,AND($D116&gt;=前提条件!$H$14,$D116&lt;=前提条件!$I$14),OR($D116&gt;=前提条件!$H$14,$D116&lt;=前提条件!$I$14)),1,0)</f>
        <v>0</v>
      </c>
      <c r="O116" s="14" t="n">
        <f aca="false">IF(IF(前提条件!$H$15&lt;=前提条件!$I$15,AND($D116&gt;=前提条件!$H$15,$D116&lt;=前提条件!$I$15),OR($D116&gt;=前提条件!$H$15,$D116&lt;=前提条件!$I$15)),1,0)</f>
        <v>0</v>
      </c>
    </row>
    <row r="117" customFormat="false" ht="15" hidden="false" customHeight="false" outlineLevel="0" collapsed="false">
      <c r="A117" s="48" t="n">
        <v>4</v>
      </c>
      <c r="B117" s="48" t="n">
        <v>24</v>
      </c>
      <c r="C117" s="48" t="str">
        <f aca="false">A117&amp;"/"&amp;B117</f>
        <v>4/24</v>
      </c>
      <c r="D117" s="48" t="n">
        <f aca="false">A117*100+B117</f>
        <v>424</v>
      </c>
      <c r="E117" s="45" t="n">
        <f aca="false">IF(SUM(J117:K117)&gt;0,前提条件!$B$6,前提条件!$B$8)</f>
        <v>3</v>
      </c>
      <c r="F117" s="48" t="str">
        <f aca="false">IFERROR(INDEX(前提条件!$B$12:$B$15,MATCH(1,L117:O117,0)),"未設定")</f>
        <v>標準形</v>
      </c>
      <c r="G117" s="48" t="str">
        <f aca="false">IFERROR(INDEX(前提条件!$C$12:$C$15,MATCH(1,L117:O117,0)),"未設定")</f>
        <v>標準期</v>
      </c>
      <c r="H117" s="44" t="str">
        <f aca="false">"S値+"&amp;E117&amp;"／"&amp;F117&amp;"（"&amp;G117&amp;"）"</f>
        <v>S値+3／標準形（標準期）</v>
      </c>
      <c r="J117" s="14" t="n">
        <f aca="false">IF(IF(前提条件!$G$6&lt;=前提条件!$H$6,AND($D117&gt;=前提条件!$G$6,$D117&lt;=前提条件!$H$6),OR($D117&gt;=前提条件!$G$6,$D117&lt;=前提条件!$H$6)),1,0)</f>
        <v>0</v>
      </c>
      <c r="K117" s="14" t="n">
        <f aca="false">IF(IF(前提条件!$G$7&lt;=前提条件!$H$7,AND($D117&gt;=前提条件!$G$7,$D117&lt;=前提条件!$H$7),OR($D117&gt;=前提条件!$G$7,$D117&lt;=前提条件!$H$7)),1,0)</f>
        <v>0</v>
      </c>
      <c r="L117" s="14" t="n">
        <f aca="false">IF(IF(前提条件!$H$12&lt;=前提条件!$I$12,AND($D117&gt;=前提条件!$H$12,$D117&lt;=前提条件!$I$12),OR($D117&gt;=前提条件!$H$12,$D117&lt;=前提条件!$I$12)),1,0)</f>
        <v>1</v>
      </c>
      <c r="M117" s="14" t="n">
        <f aca="false">IF(IF(前提条件!$H$13&lt;=前提条件!$I$13,AND($D117&gt;=前提条件!$H$13,$D117&lt;=前提条件!$I$13),OR($D117&gt;=前提条件!$H$13,$D117&lt;=前提条件!$I$13)),1,0)</f>
        <v>0</v>
      </c>
      <c r="N117" s="14" t="n">
        <f aca="false">IF(IF(前提条件!$H$14&lt;=前提条件!$I$14,AND($D117&gt;=前提条件!$H$14,$D117&lt;=前提条件!$I$14),OR($D117&gt;=前提条件!$H$14,$D117&lt;=前提条件!$I$14)),1,0)</f>
        <v>0</v>
      </c>
      <c r="O117" s="14" t="n">
        <f aca="false">IF(IF(前提条件!$H$15&lt;=前提条件!$I$15,AND($D117&gt;=前提条件!$H$15,$D117&lt;=前提条件!$I$15),OR($D117&gt;=前提条件!$H$15,$D117&lt;=前提条件!$I$15)),1,0)</f>
        <v>0</v>
      </c>
    </row>
    <row r="118" customFormat="false" ht="15" hidden="false" customHeight="false" outlineLevel="0" collapsed="false">
      <c r="A118" s="48" t="n">
        <v>4</v>
      </c>
      <c r="B118" s="48" t="n">
        <v>25</v>
      </c>
      <c r="C118" s="48" t="str">
        <f aca="false">A118&amp;"/"&amp;B118</f>
        <v>4/25</v>
      </c>
      <c r="D118" s="48" t="n">
        <f aca="false">A118*100+B118</f>
        <v>425</v>
      </c>
      <c r="E118" s="45" t="n">
        <f aca="false">IF(SUM(J118:K118)&gt;0,前提条件!$B$6,前提条件!$B$8)</f>
        <v>3</v>
      </c>
      <c r="F118" s="48" t="str">
        <f aca="false">IFERROR(INDEX(前提条件!$B$12:$B$15,MATCH(1,L118:O118,0)),"未設定")</f>
        <v>標準形</v>
      </c>
      <c r="G118" s="48" t="str">
        <f aca="false">IFERROR(INDEX(前提条件!$C$12:$C$15,MATCH(1,L118:O118,0)),"未設定")</f>
        <v>標準期</v>
      </c>
      <c r="H118" s="44" t="str">
        <f aca="false">"S値+"&amp;E118&amp;"／"&amp;F118&amp;"（"&amp;G118&amp;"）"</f>
        <v>S値+3／標準形（標準期）</v>
      </c>
      <c r="J118" s="14" t="n">
        <f aca="false">IF(IF(前提条件!$G$6&lt;=前提条件!$H$6,AND($D118&gt;=前提条件!$G$6,$D118&lt;=前提条件!$H$6),OR($D118&gt;=前提条件!$G$6,$D118&lt;=前提条件!$H$6)),1,0)</f>
        <v>0</v>
      </c>
      <c r="K118" s="14" t="n">
        <f aca="false">IF(IF(前提条件!$G$7&lt;=前提条件!$H$7,AND($D118&gt;=前提条件!$G$7,$D118&lt;=前提条件!$H$7),OR($D118&gt;=前提条件!$G$7,$D118&lt;=前提条件!$H$7)),1,0)</f>
        <v>0</v>
      </c>
      <c r="L118" s="14" t="n">
        <f aca="false">IF(IF(前提条件!$H$12&lt;=前提条件!$I$12,AND($D118&gt;=前提条件!$H$12,$D118&lt;=前提条件!$I$12),OR($D118&gt;=前提条件!$H$12,$D118&lt;=前提条件!$I$12)),1,0)</f>
        <v>1</v>
      </c>
      <c r="M118" s="14" t="n">
        <f aca="false">IF(IF(前提条件!$H$13&lt;=前提条件!$I$13,AND($D118&gt;=前提条件!$H$13,$D118&lt;=前提条件!$I$13),OR($D118&gt;=前提条件!$H$13,$D118&lt;=前提条件!$I$13)),1,0)</f>
        <v>0</v>
      </c>
      <c r="N118" s="14" t="n">
        <f aca="false">IF(IF(前提条件!$H$14&lt;=前提条件!$I$14,AND($D118&gt;=前提条件!$H$14,$D118&lt;=前提条件!$I$14),OR($D118&gt;=前提条件!$H$14,$D118&lt;=前提条件!$I$14)),1,0)</f>
        <v>0</v>
      </c>
      <c r="O118" s="14" t="n">
        <f aca="false">IF(IF(前提条件!$H$15&lt;=前提条件!$I$15,AND($D118&gt;=前提条件!$H$15,$D118&lt;=前提条件!$I$15),OR($D118&gt;=前提条件!$H$15,$D118&lt;=前提条件!$I$15)),1,0)</f>
        <v>0</v>
      </c>
    </row>
    <row r="119" customFormat="false" ht="15" hidden="false" customHeight="false" outlineLevel="0" collapsed="false">
      <c r="A119" s="48" t="n">
        <v>4</v>
      </c>
      <c r="B119" s="48" t="n">
        <v>26</v>
      </c>
      <c r="C119" s="48" t="str">
        <f aca="false">A119&amp;"/"&amp;B119</f>
        <v>4/26</v>
      </c>
      <c r="D119" s="48" t="n">
        <f aca="false">A119*100+B119</f>
        <v>426</v>
      </c>
      <c r="E119" s="45" t="n">
        <f aca="false">IF(SUM(J119:K119)&gt;0,前提条件!$B$6,前提条件!$B$8)</f>
        <v>3</v>
      </c>
      <c r="F119" s="48" t="str">
        <f aca="false">IFERROR(INDEX(前提条件!$B$12:$B$15,MATCH(1,L119:O119,0)),"未設定")</f>
        <v>標準形</v>
      </c>
      <c r="G119" s="48" t="str">
        <f aca="false">IFERROR(INDEX(前提条件!$C$12:$C$15,MATCH(1,L119:O119,0)),"未設定")</f>
        <v>標準期</v>
      </c>
      <c r="H119" s="44" t="str">
        <f aca="false">"S値+"&amp;E119&amp;"／"&amp;F119&amp;"（"&amp;G119&amp;"）"</f>
        <v>S値+3／標準形（標準期）</v>
      </c>
      <c r="J119" s="14" t="n">
        <f aca="false">IF(IF(前提条件!$G$6&lt;=前提条件!$H$6,AND($D119&gt;=前提条件!$G$6,$D119&lt;=前提条件!$H$6),OR($D119&gt;=前提条件!$G$6,$D119&lt;=前提条件!$H$6)),1,0)</f>
        <v>0</v>
      </c>
      <c r="K119" s="14" t="n">
        <f aca="false">IF(IF(前提条件!$G$7&lt;=前提条件!$H$7,AND($D119&gt;=前提条件!$G$7,$D119&lt;=前提条件!$H$7),OR($D119&gt;=前提条件!$G$7,$D119&lt;=前提条件!$H$7)),1,0)</f>
        <v>0</v>
      </c>
      <c r="L119" s="14" t="n">
        <f aca="false">IF(IF(前提条件!$H$12&lt;=前提条件!$I$12,AND($D119&gt;=前提条件!$H$12,$D119&lt;=前提条件!$I$12),OR($D119&gt;=前提条件!$H$12,$D119&lt;=前提条件!$I$12)),1,0)</f>
        <v>1</v>
      </c>
      <c r="M119" s="14" t="n">
        <f aca="false">IF(IF(前提条件!$H$13&lt;=前提条件!$I$13,AND($D119&gt;=前提条件!$H$13,$D119&lt;=前提条件!$I$13),OR($D119&gt;=前提条件!$H$13,$D119&lt;=前提条件!$I$13)),1,0)</f>
        <v>0</v>
      </c>
      <c r="N119" s="14" t="n">
        <f aca="false">IF(IF(前提条件!$H$14&lt;=前提条件!$I$14,AND($D119&gt;=前提条件!$H$14,$D119&lt;=前提条件!$I$14),OR($D119&gt;=前提条件!$H$14,$D119&lt;=前提条件!$I$14)),1,0)</f>
        <v>0</v>
      </c>
      <c r="O119" s="14" t="n">
        <f aca="false">IF(IF(前提条件!$H$15&lt;=前提条件!$I$15,AND($D119&gt;=前提条件!$H$15,$D119&lt;=前提条件!$I$15),OR($D119&gt;=前提条件!$H$15,$D119&lt;=前提条件!$I$15)),1,0)</f>
        <v>0</v>
      </c>
    </row>
    <row r="120" customFormat="false" ht="15" hidden="false" customHeight="false" outlineLevel="0" collapsed="false">
      <c r="A120" s="48" t="n">
        <v>4</v>
      </c>
      <c r="B120" s="48" t="n">
        <v>27</v>
      </c>
      <c r="C120" s="48" t="str">
        <f aca="false">A120&amp;"/"&amp;B120</f>
        <v>4/27</v>
      </c>
      <c r="D120" s="48" t="n">
        <f aca="false">A120*100+B120</f>
        <v>427</v>
      </c>
      <c r="E120" s="45" t="n">
        <f aca="false">IF(SUM(J120:K120)&gt;0,前提条件!$B$6,前提条件!$B$8)</f>
        <v>3</v>
      </c>
      <c r="F120" s="48" t="str">
        <f aca="false">IFERROR(INDEX(前提条件!$B$12:$B$15,MATCH(1,L120:O120,0)),"未設定")</f>
        <v>標準形</v>
      </c>
      <c r="G120" s="48" t="str">
        <f aca="false">IFERROR(INDEX(前提条件!$C$12:$C$15,MATCH(1,L120:O120,0)),"未設定")</f>
        <v>標準期</v>
      </c>
      <c r="H120" s="44" t="str">
        <f aca="false">"S値+"&amp;E120&amp;"／"&amp;F120&amp;"（"&amp;G120&amp;"）"</f>
        <v>S値+3／標準形（標準期）</v>
      </c>
      <c r="J120" s="14" t="n">
        <f aca="false">IF(IF(前提条件!$G$6&lt;=前提条件!$H$6,AND($D120&gt;=前提条件!$G$6,$D120&lt;=前提条件!$H$6),OR($D120&gt;=前提条件!$G$6,$D120&lt;=前提条件!$H$6)),1,0)</f>
        <v>0</v>
      </c>
      <c r="K120" s="14" t="n">
        <f aca="false">IF(IF(前提条件!$G$7&lt;=前提条件!$H$7,AND($D120&gt;=前提条件!$G$7,$D120&lt;=前提条件!$H$7),OR($D120&gt;=前提条件!$G$7,$D120&lt;=前提条件!$H$7)),1,0)</f>
        <v>0</v>
      </c>
      <c r="L120" s="14" t="n">
        <f aca="false">IF(IF(前提条件!$H$12&lt;=前提条件!$I$12,AND($D120&gt;=前提条件!$H$12,$D120&lt;=前提条件!$I$12),OR($D120&gt;=前提条件!$H$12,$D120&lt;=前提条件!$I$12)),1,0)</f>
        <v>1</v>
      </c>
      <c r="M120" s="14" t="n">
        <f aca="false">IF(IF(前提条件!$H$13&lt;=前提条件!$I$13,AND($D120&gt;=前提条件!$H$13,$D120&lt;=前提条件!$I$13),OR($D120&gt;=前提条件!$H$13,$D120&lt;=前提条件!$I$13)),1,0)</f>
        <v>0</v>
      </c>
      <c r="N120" s="14" t="n">
        <f aca="false">IF(IF(前提条件!$H$14&lt;=前提条件!$I$14,AND($D120&gt;=前提条件!$H$14,$D120&lt;=前提条件!$I$14),OR($D120&gt;=前提条件!$H$14,$D120&lt;=前提条件!$I$14)),1,0)</f>
        <v>0</v>
      </c>
      <c r="O120" s="14" t="n">
        <f aca="false">IF(IF(前提条件!$H$15&lt;=前提条件!$I$15,AND($D120&gt;=前提条件!$H$15,$D120&lt;=前提条件!$I$15),OR($D120&gt;=前提条件!$H$15,$D120&lt;=前提条件!$I$15)),1,0)</f>
        <v>0</v>
      </c>
    </row>
    <row r="121" customFormat="false" ht="15" hidden="false" customHeight="false" outlineLevel="0" collapsed="false">
      <c r="A121" s="48" t="n">
        <v>4</v>
      </c>
      <c r="B121" s="48" t="n">
        <v>28</v>
      </c>
      <c r="C121" s="48" t="str">
        <f aca="false">A121&amp;"/"&amp;B121</f>
        <v>4/28</v>
      </c>
      <c r="D121" s="48" t="n">
        <f aca="false">A121*100+B121</f>
        <v>428</v>
      </c>
      <c r="E121" s="45" t="n">
        <f aca="false">IF(SUM(J121:K121)&gt;0,前提条件!$B$6,前提条件!$B$8)</f>
        <v>3</v>
      </c>
      <c r="F121" s="48" t="str">
        <f aca="false">IFERROR(INDEX(前提条件!$B$12:$B$15,MATCH(1,L121:O121,0)),"未設定")</f>
        <v>標準形</v>
      </c>
      <c r="G121" s="48" t="str">
        <f aca="false">IFERROR(INDEX(前提条件!$C$12:$C$15,MATCH(1,L121:O121,0)),"未設定")</f>
        <v>標準期</v>
      </c>
      <c r="H121" s="44" t="str">
        <f aca="false">"S値+"&amp;E121&amp;"／"&amp;F121&amp;"（"&amp;G121&amp;"）"</f>
        <v>S値+3／標準形（標準期）</v>
      </c>
      <c r="J121" s="14" t="n">
        <f aca="false">IF(IF(前提条件!$G$6&lt;=前提条件!$H$6,AND($D121&gt;=前提条件!$G$6,$D121&lt;=前提条件!$H$6),OR($D121&gt;=前提条件!$G$6,$D121&lt;=前提条件!$H$6)),1,0)</f>
        <v>0</v>
      </c>
      <c r="K121" s="14" t="n">
        <f aca="false">IF(IF(前提条件!$G$7&lt;=前提条件!$H$7,AND($D121&gt;=前提条件!$G$7,$D121&lt;=前提条件!$H$7),OR($D121&gt;=前提条件!$G$7,$D121&lt;=前提条件!$H$7)),1,0)</f>
        <v>0</v>
      </c>
      <c r="L121" s="14" t="n">
        <f aca="false">IF(IF(前提条件!$H$12&lt;=前提条件!$I$12,AND($D121&gt;=前提条件!$H$12,$D121&lt;=前提条件!$I$12),OR($D121&gt;=前提条件!$H$12,$D121&lt;=前提条件!$I$12)),1,0)</f>
        <v>1</v>
      </c>
      <c r="M121" s="14" t="n">
        <f aca="false">IF(IF(前提条件!$H$13&lt;=前提条件!$I$13,AND($D121&gt;=前提条件!$H$13,$D121&lt;=前提条件!$I$13),OR($D121&gt;=前提条件!$H$13,$D121&lt;=前提条件!$I$13)),1,0)</f>
        <v>0</v>
      </c>
      <c r="N121" s="14" t="n">
        <f aca="false">IF(IF(前提条件!$H$14&lt;=前提条件!$I$14,AND($D121&gt;=前提条件!$H$14,$D121&lt;=前提条件!$I$14),OR($D121&gt;=前提条件!$H$14,$D121&lt;=前提条件!$I$14)),1,0)</f>
        <v>0</v>
      </c>
      <c r="O121" s="14" t="n">
        <f aca="false">IF(IF(前提条件!$H$15&lt;=前提条件!$I$15,AND($D121&gt;=前提条件!$H$15,$D121&lt;=前提条件!$I$15),OR($D121&gt;=前提条件!$H$15,$D121&lt;=前提条件!$I$15)),1,0)</f>
        <v>0</v>
      </c>
    </row>
    <row r="122" customFormat="false" ht="15" hidden="false" customHeight="false" outlineLevel="0" collapsed="false">
      <c r="A122" s="48" t="n">
        <v>4</v>
      </c>
      <c r="B122" s="48" t="n">
        <v>29</v>
      </c>
      <c r="C122" s="48" t="str">
        <f aca="false">A122&amp;"/"&amp;B122</f>
        <v>4/29</v>
      </c>
      <c r="D122" s="48" t="n">
        <f aca="false">A122*100+B122</f>
        <v>429</v>
      </c>
      <c r="E122" s="45" t="n">
        <f aca="false">IF(SUM(J122:K122)&gt;0,前提条件!$B$6,前提条件!$B$8)</f>
        <v>3</v>
      </c>
      <c r="F122" s="48" t="str">
        <f aca="false">IFERROR(INDEX(前提条件!$B$12:$B$15,MATCH(1,L122:O122,0)),"未設定")</f>
        <v>標準形</v>
      </c>
      <c r="G122" s="48" t="str">
        <f aca="false">IFERROR(INDEX(前提条件!$C$12:$C$15,MATCH(1,L122:O122,0)),"未設定")</f>
        <v>標準期</v>
      </c>
      <c r="H122" s="44" t="str">
        <f aca="false">"S値+"&amp;E122&amp;"／"&amp;F122&amp;"（"&amp;G122&amp;"）"</f>
        <v>S値+3／標準形（標準期）</v>
      </c>
      <c r="J122" s="14" t="n">
        <f aca="false">IF(IF(前提条件!$G$6&lt;=前提条件!$H$6,AND($D122&gt;=前提条件!$G$6,$D122&lt;=前提条件!$H$6),OR($D122&gt;=前提条件!$G$6,$D122&lt;=前提条件!$H$6)),1,0)</f>
        <v>0</v>
      </c>
      <c r="K122" s="14" t="n">
        <f aca="false">IF(IF(前提条件!$G$7&lt;=前提条件!$H$7,AND($D122&gt;=前提条件!$G$7,$D122&lt;=前提条件!$H$7),OR($D122&gt;=前提条件!$G$7,$D122&lt;=前提条件!$H$7)),1,0)</f>
        <v>0</v>
      </c>
      <c r="L122" s="14" t="n">
        <f aca="false">IF(IF(前提条件!$H$12&lt;=前提条件!$I$12,AND($D122&gt;=前提条件!$H$12,$D122&lt;=前提条件!$I$12),OR($D122&gt;=前提条件!$H$12,$D122&lt;=前提条件!$I$12)),1,0)</f>
        <v>1</v>
      </c>
      <c r="M122" s="14" t="n">
        <f aca="false">IF(IF(前提条件!$H$13&lt;=前提条件!$I$13,AND($D122&gt;=前提条件!$H$13,$D122&lt;=前提条件!$I$13),OR($D122&gt;=前提条件!$H$13,$D122&lt;=前提条件!$I$13)),1,0)</f>
        <v>0</v>
      </c>
      <c r="N122" s="14" t="n">
        <f aca="false">IF(IF(前提条件!$H$14&lt;=前提条件!$I$14,AND($D122&gt;=前提条件!$H$14,$D122&lt;=前提条件!$I$14),OR($D122&gt;=前提条件!$H$14,$D122&lt;=前提条件!$I$14)),1,0)</f>
        <v>0</v>
      </c>
      <c r="O122" s="14" t="n">
        <f aca="false">IF(IF(前提条件!$H$15&lt;=前提条件!$I$15,AND($D122&gt;=前提条件!$H$15,$D122&lt;=前提条件!$I$15),OR($D122&gt;=前提条件!$H$15,$D122&lt;=前提条件!$I$15)),1,0)</f>
        <v>0</v>
      </c>
    </row>
    <row r="123" customFormat="false" ht="15" hidden="false" customHeight="false" outlineLevel="0" collapsed="false">
      <c r="A123" s="48" t="n">
        <v>4</v>
      </c>
      <c r="B123" s="48" t="n">
        <v>30</v>
      </c>
      <c r="C123" s="48" t="str">
        <f aca="false">A123&amp;"/"&amp;B123</f>
        <v>4/30</v>
      </c>
      <c r="D123" s="48" t="n">
        <f aca="false">A123*100+B123</f>
        <v>430</v>
      </c>
      <c r="E123" s="45" t="n">
        <f aca="false">IF(SUM(J123:K123)&gt;0,前提条件!$B$6,前提条件!$B$8)</f>
        <v>3</v>
      </c>
      <c r="F123" s="48" t="str">
        <f aca="false">IFERROR(INDEX(前提条件!$B$12:$B$15,MATCH(1,L123:O123,0)),"未設定")</f>
        <v>標準形</v>
      </c>
      <c r="G123" s="48" t="str">
        <f aca="false">IFERROR(INDEX(前提条件!$C$12:$C$15,MATCH(1,L123:O123,0)),"未設定")</f>
        <v>標準期</v>
      </c>
      <c r="H123" s="44" t="str">
        <f aca="false">"S値+"&amp;E123&amp;"／"&amp;F123&amp;"（"&amp;G123&amp;"）"</f>
        <v>S値+3／標準形（標準期）</v>
      </c>
      <c r="J123" s="14" t="n">
        <f aca="false">IF(IF(前提条件!$G$6&lt;=前提条件!$H$6,AND($D123&gt;=前提条件!$G$6,$D123&lt;=前提条件!$H$6),OR($D123&gt;=前提条件!$G$6,$D123&lt;=前提条件!$H$6)),1,0)</f>
        <v>0</v>
      </c>
      <c r="K123" s="14" t="n">
        <f aca="false">IF(IF(前提条件!$G$7&lt;=前提条件!$H$7,AND($D123&gt;=前提条件!$G$7,$D123&lt;=前提条件!$H$7),OR($D123&gt;=前提条件!$G$7,$D123&lt;=前提条件!$H$7)),1,0)</f>
        <v>0</v>
      </c>
      <c r="L123" s="14" t="n">
        <f aca="false">IF(IF(前提条件!$H$12&lt;=前提条件!$I$12,AND($D123&gt;=前提条件!$H$12,$D123&lt;=前提条件!$I$12),OR($D123&gt;=前提条件!$H$12,$D123&lt;=前提条件!$I$12)),1,0)</f>
        <v>1</v>
      </c>
      <c r="M123" s="14" t="n">
        <f aca="false">IF(IF(前提条件!$H$13&lt;=前提条件!$I$13,AND($D123&gt;=前提条件!$H$13,$D123&lt;=前提条件!$I$13),OR($D123&gt;=前提条件!$H$13,$D123&lt;=前提条件!$I$13)),1,0)</f>
        <v>0</v>
      </c>
      <c r="N123" s="14" t="n">
        <f aca="false">IF(IF(前提条件!$H$14&lt;=前提条件!$I$14,AND($D123&gt;=前提条件!$H$14,$D123&lt;=前提条件!$I$14),OR($D123&gt;=前提条件!$H$14,$D123&lt;=前提条件!$I$14)),1,0)</f>
        <v>0</v>
      </c>
      <c r="O123" s="14" t="n">
        <f aca="false">IF(IF(前提条件!$H$15&lt;=前提条件!$I$15,AND($D123&gt;=前提条件!$H$15,$D123&lt;=前提条件!$I$15),OR($D123&gt;=前提条件!$H$15,$D123&lt;=前提条件!$I$15)),1,0)</f>
        <v>0</v>
      </c>
    </row>
    <row r="124" customFormat="false" ht="15" hidden="false" customHeight="false" outlineLevel="0" collapsed="false">
      <c r="A124" s="48" t="n">
        <v>5</v>
      </c>
      <c r="B124" s="48" t="n">
        <v>1</v>
      </c>
      <c r="C124" s="48" t="str">
        <f aca="false">A124&amp;"/"&amp;B124</f>
        <v>5/1</v>
      </c>
      <c r="D124" s="48" t="n">
        <f aca="false">A124*100+B124</f>
        <v>501</v>
      </c>
      <c r="E124" s="45" t="n">
        <f aca="false">IF(SUM(J124:K124)&gt;0,前提条件!$B$6,前提条件!$B$8)</f>
        <v>3</v>
      </c>
      <c r="F124" s="48" t="str">
        <f aca="false">IFERROR(INDEX(前提条件!$B$12:$B$15,MATCH(1,L124:O124,0)),"未設定")</f>
        <v>標準形</v>
      </c>
      <c r="G124" s="48" t="str">
        <f aca="false">IFERROR(INDEX(前提条件!$C$12:$C$15,MATCH(1,L124:O124,0)),"未設定")</f>
        <v>標準期</v>
      </c>
      <c r="H124" s="44" t="str">
        <f aca="false">"S値+"&amp;E124&amp;"／"&amp;F124&amp;"（"&amp;G124&amp;"）"</f>
        <v>S値+3／標準形（標準期）</v>
      </c>
      <c r="J124" s="14" t="n">
        <f aca="false">IF(IF(前提条件!$G$6&lt;=前提条件!$H$6,AND($D124&gt;=前提条件!$G$6,$D124&lt;=前提条件!$H$6),OR($D124&gt;=前提条件!$G$6,$D124&lt;=前提条件!$H$6)),1,0)</f>
        <v>0</v>
      </c>
      <c r="K124" s="14" t="n">
        <f aca="false">IF(IF(前提条件!$G$7&lt;=前提条件!$H$7,AND($D124&gt;=前提条件!$G$7,$D124&lt;=前提条件!$H$7),OR($D124&gt;=前提条件!$G$7,$D124&lt;=前提条件!$H$7)),1,0)</f>
        <v>0</v>
      </c>
      <c r="L124" s="14" t="n">
        <f aca="false">IF(IF(前提条件!$H$12&lt;=前提条件!$I$12,AND($D124&gt;=前提条件!$H$12,$D124&lt;=前提条件!$I$12),OR($D124&gt;=前提条件!$H$12,$D124&lt;=前提条件!$I$12)),1,0)</f>
        <v>1</v>
      </c>
      <c r="M124" s="14" t="n">
        <f aca="false">IF(IF(前提条件!$H$13&lt;=前提条件!$I$13,AND($D124&gt;=前提条件!$H$13,$D124&lt;=前提条件!$I$13),OR($D124&gt;=前提条件!$H$13,$D124&lt;=前提条件!$I$13)),1,0)</f>
        <v>0</v>
      </c>
      <c r="N124" s="14" t="n">
        <f aca="false">IF(IF(前提条件!$H$14&lt;=前提条件!$I$14,AND($D124&gt;=前提条件!$H$14,$D124&lt;=前提条件!$I$14),OR($D124&gt;=前提条件!$H$14,$D124&lt;=前提条件!$I$14)),1,0)</f>
        <v>0</v>
      </c>
      <c r="O124" s="14" t="n">
        <f aca="false">IF(IF(前提条件!$H$15&lt;=前提条件!$I$15,AND($D124&gt;=前提条件!$H$15,$D124&lt;=前提条件!$I$15),OR($D124&gt;=前提条件!$H$15,$D124&lt;=前提条件!$I$15)),1,0)</f>
        <v>0</v>
      </c>
    </row>
    <row r="125" customFormat="false" ht="15" hidden="false" customHeight="false" outlineLevel="0" collapsed="false">
      <c r="A125" s="48" t="n">
        <v>5</v>
      </c>
      <c r="B125" s="48" t="n">
        <v>2</v>
      </c>
      <c r="C125" s="48" t="str">
        <f aca="false">A125&amp;"/"&amp;B125</f>
        <v>5/2</v>
      </c>
      <c r="D125" s="48" t="n">
        <f aca="false">A125*100+B125</f>
        <v>502</v>
      </c>
      <c r="E125" s="45" t="n">
        <f aca="false">IF(SUM(J125:K125)&gt;0,前提条件!$B$6,前提条件!$B$8)</f>
        <v>3</v>
      </c>
      <c r="F125" s="48" t="str">
        <f aca="false">IFERROR(INDEX(前提条件!$B$12:$B$15,MATCH(1,L125:O125,0)),"未設定")</f>
        <v>標準形</v>
      </c>
      <c r="G125" s="48" t="str">
        <f aca="false">IFERROR(INDEX(前提条件!$C$12:$C$15,MATCH(1,L125:O125,0)),"未設定")</f>
        <v>標準期</v>
      </c>
      <c r="H125" s="44" t="str">
        <f aca="false">"S値+"&amp;E125&amp;"／"&amp;F125&amp;"（"&amp;G125&amp;"）"</f>
        <v>S値+3／標準形（標準期）</v>
      </c>
      <c r="J125" s="14" t="n">
        <f aca="false">IF(IF(前提条件!$G$6&lt;=前提条件!$H$6,AND($D125&gt;=前提条件!$G$6,$D125&lt;=前提条件!$H$6),OR($D125&gt;=前提条件!$G$6,$D125&lt;=前提条件!$H$6)),1,0)</f>
        <v>0</v>
      </c>
      <c r="K125" s="14" t="n">
        <f aca="false">IF(IF(前提条件!$G$7&lt;=前提条件!$H$7,AND($D125&gt;=前提条件!$G$7,$D125&lt;=前提条件!$H$7),OR($D125&gt;=前提条件!$G$7,$D125&lt;=前提条件!$H$7)),1,0)</f>
        <v>0</v>
      </c>
      <c r="L125" s="14" t="n">
        <f aca="false">IF(IF(前提条件!$H$12&lt;=前提条件!$I$12,AND($D125&gt;=前提条件!$H$12,$D125&lt;=前提条件!$I$12),OR($D125&gt;=前提条件!$H$12,$D125&lt;=前提条件!$I$12)),1,0)</f>
        <v>1</v>
      </c>
      <c r="M125" s="14" t="n">
        <f aca="false">IF(IF(前提条件!$H$13&lt;=前提条件!$I$13,AND($D125&gt;=前提条件!$H$13,$D125&lt;=前提条件!$I$13),OR($D125&gt;=前提条件!$H$13,$D125&lt;=前提条件!$I$13)),1,0)</f>
        <v>0</v>
      </c>
      <c r="N125" s="14" t="n">
        <f aca="false">IF(IF(前提条件!$H$14&lt;=前提条件!$I$14,AND($D125&gt;=前提条件!$H$14,$D125&lt;=前提条件!$I$14),OR($D125&gt;=前提条件!$H$14,$D125&lt;=前提条件!$I$14)),1,0)</f>
        <v>0</v>
      </c>
      <c r="O125" s="14" t="n">
        <f aca="false">IF(IF(前提条件!$H$15&lt;=前提条件!$I$15,AND($D125&gt;=前提条件!$H$15,$D125&lt;=前提条件!$I$15),OR($D125&gt;=前提条件!$H$15,$D125&lt;=前提条件!$I$15)),1,0)</f>
        <v>0</v>
      </c>
    </row>
    <row r="126" customFormat="false" ht="15" hidden="false" customHeight="false" outlineLevel="0" collapsed="false">
      <c r="A126" s="48" t="n">
        <v>5</v>
      </c>
      <c r="B126" s="48" t="n">
        <v>3</v>
      </c>
      <c r="C126" s="48" t="str">
        <f aca="false">A126&amp;"/"&amp;B126</f>
        <v>5/3</v>
      </c>
      <c r="D126" s="48" t="n">
        <f aca="false">A126*100+B126</f>
        <v>503</v>
      </c>
      <c r="E126" s="45" t="n">
        <f aca="false">IF(SUM(J126:K126)&gt;0,前提条件!$B$6,前提条件!$B$8)</f>
        <v>3</v>
      </c>
      <c r="F126" s="48" t="str">
        <f aca="false">IFERROR(INDEX(前提条件!$B$12:$B$15,MATCH(1,L126:O126,0)),"未設定")</f>
        <v>標準形</v>
      </c>
      <c r="G126" s="48" t="str">
        <f aca="false">IFERROR(INDEX(前提条件!$C$12:$C$15,MATCH(1,L126:O126,0)),"未設定")</f>
        <v>標準期</v>
      </c>
      <c r="H126" s="44" t="str">
        <f aca="false">"S値+"&amp;E126&amp;"／"&amp;F126&amp;"（"&amp;G126&amp;"）"</f>
        <v>S値+3／標準形（標準期）</v>
      </c>
      <c r="J126" s="14" t="n">
        <f aca="false">IF(IF(前提条件!$G$6&lt;=前提条件!$H$6,AND($D126&gt;=前提条件!$G$6,$D126&lt;=前提条件!$H$6),OR($D126&gt;=前提条件!$G$6,$D126&lt;=前提条件!$H$6)),1,0)</f>
        <v>0</v>
      </c>
      <c r="K126" s="14" t="n">
        <f aca="false">IF(IF(前提条件!$G$7&lt;=前提条件!$H$7,AND($D126&gt;=前提条件!$G$7,$D126&lt;=前提条件!$H$7),OR($D126&gt;=前提条件!$G$7,$D126&lt;=前提条件!$H$7)),1,0)</f>
        <v>0</v>
      </c>
      <c r="L126" s="14" t="n">
        <f aca="false">IF(IF(前提条件!$H$12&lt;=前提条件!$I$12,AND($D126&gt;=前提条件!$H$12,$D126&lt;=前提条件!$I$12),OR($D126&gt;=前提条件!$H$12,$D126&lt;=前提条件!$I$12)),1,0)</f>
        <v>1</v>
      </c>
      <c r="M126" s="14" t="n">
        <f aca="false">IF(IF(前提条件!$H$13&lt;=前提条件!$I$13,AND($D126&gt;=前提条件!$H$13,$D126&lt;=前提条件!$I$13),OR($D126&gt;=前提条件!$H$13,$D126&lt;=前提条件!$I$13)),1,0)</f>
        <v>0</v>
      </c>
      <c r="N126" s="14" t="n">
        <f aca="false">IF(IF(前提条件!$H$14&lt;=前提条件!$I$14,AND($D126&gt;=前提条件!$H$14,$D126&lt;=前提条件!$I$14),OR($D126&gt;=前提条件!$H$14,$D126&lt;=前提条件!$I$14)),1,0)</f>
        <v>0</v>
      </c>
      <c r="O126" s="14" t="n">
        <f aca="false">IF(IF(前提条件!$H$15&lt;=前提条件!$I$15,AND($D126&gt;=前提条件!$H$15,$D126&lt;=前提条件!$I$15),OR($D126&gt;=前提条件!$H$15,$D126&lt;=前提条件!$I$15)),1,0)</f>
        <v>0</v>
      </c>
    </row>
    <row r="127" customFormat="false" ht="15" hidden="false" customHeight="false" outlineLevel="0" collapsed="false">
      <c r="A127" s="48" t="n">
        <v>5</v>
      </c>
      <c r="B127" s="48" t="n">
        <v>4</v>
      </c>
      <c r="C127" s="48" t="str">
        <f aca="false">A127&amp;"/"&amp;B127</f>
        <v>5/4</v>
      </c>
      <c r="D127" s="48" t="n">
        <f aca="false">A127*100+B127</f>
        <v>504</v>
      </c>
      <c r="E127" s="45" t="n">
        <f aca="false">IF(SUM(J127:K127)&gt;0,前提条件!$B$6,前提条件!$B$8)</f>
        <v>3</v>
      </c>
      <c r="F127" s="48" t="str">
        <f aca="false">IFERROR(INDEX(前提条件!$B$12:$B$15,MATCH(1,L127:O127,0)),"未設定")</f>
        <v>標準形</v>
      </c>
      <c r="G127" s="48" t="str">
        <f aca="false">IFERROR(INDEX(前提条件!$C$12:$C$15,MATCH(1,L127:O127,0)),"未設定")</f>
        <v>標準期</v>
      </c>
      <c r="H127" s="44" t="str">
        <f aca="false">"S値+"&amp;E127&amp;"／"&amp;F127&amp;"（"&amp;G127&amp;"）"</f>
        <v>S値+3／標準形（標準期）</v>
      </c>
      <c r="J127" s="14" t="n">
        <f aca="false">IF(IF(前提条件!$G$6&lt;=前提条件!$H$6,AND($D127&gt;=前提条件!$G$6,$D127&lt;=前提条件!$H$6),OR($D127&gt;=前提条件!$G$6,$D127&lt;=前提条件!$H$6)),1,0)</f>
        <v>0</v>
      </c>
      <c r="K127" s="14" t="n">
        <f aca="false">IF(IF(前提条件!$G$7&lt;=前提条件!$H$7,AND($D127&gt;=前提条件!$G$7,$D127&lt;=前提条件!$H$7),OR($D127&gt;=前提条件!$G$7,$D127&lt;=前提条件!$H$7)),1,0)</f>
        <v>0</v>
      </c>
      <c r="L127" s="14" t="n">
        <f aca="false">IF(IF(前提条件!$H$12&lt;=前提条件!$I$12,AND($D127&gt;=前提条件!$H$12,$D127&lt;=前提条件!$I$12),OR($D127&gt;=前提条件!$H$12,$D127&lt;=前提条件!$I$12)),1,0)</f>
        <v>1</v>
      </c>
      <c r="M127" s="14" t="n">
        <f aca="false">IF(IF(前提条件!$H$13&lt;=前提条件!$I$13,AND($D127&gt;=前提条件!$H$13,$D127&lt;=前提条件!$I$13),OR($D127&gt;=前提条件!$H$13,$D127&lt;=前提条件!$I$13)),1,0)</f>
        <v>0</v>
      </c>
      <c r="N127" s="14" t="n">
        <f aca="false">IF(IF(前提条件!$H$14&lt;=前提条件!$I$14,AND($D127&gt;=前提条件!$H$14,$D127&lt;=前提条件!$I$14),OR($D127&gt;=前提条件!$H$14,$D127&lt;=前提条件!$I$14)),1,0)</f>
        <v>0</v>
      </c>
      <c r="O127" s="14" t="n">
        <f aca="false">IF(IF(前提条件!$H$15&lt;=前提条件!$I$15,AND($D127&gt;=前提条件!$H$15,$D127&lt;=前提条件!$I$15),OR($D127&gt;=前提条件!$H$15,$D127&lt;=前提条件!$I$15)),1,0)</f>
        <v>0</v>
      </c>
    </row>
    <row r="128" customFormat="false" ht="15" hidden="false" customHeight="false" outlineLevel="0" collapsed="false">
      <c r="A128" s="48" t="n">
        <v>5</v>
      </c>
      <c r="B128" s="48" t="n">
        <v>5</v>
      </c>
      <c r="C128" s="48" t="str">
        <f aca="false">A128&amp;"/"&amp;B128</f>
        <v>5/5</v>
      </c>
      <c r="D128" s="48" t="n">
        <f aca="false">A128*100+B128</f>
        <v>505</v>
      </c>
      <c r="E128" s="45" t="n">
        <f aca="false">IF(SUM(J128:K128)&gt;0,前提条件!$B$6,前提条件!$B$8)</f>
        <v>3</v>
      </c>
      <c r="F128" s="48" t="str">
        <f aca="false">IFERROR(INDEX(前提条件!$B$12:$B$15,MATCH(1,L128:O128,0)),"未設定")</f>
        <v>標準形</v>
      </c>
      <c r="G128" s="48" t="str">
        <f aca="false">IFERROR(INDEX(前提条件!$C$12:$C$15,MATCH(1,L128:O128,0)),"未設定")</f>
        <v>標準期</v>
      </c>
      <c r="H128" s="44" t="str">
        <f aca="false">"S値+"&amp;E128&amp;"／"&amp;F128&amp;"（"&amp;G128&amp;"）"</f>
        <v>S値+3／標準形（標準期）</v>
      </c>
      <c r="J128" s="14" t="n">
        <f aca="false">IF(IF(前提条件!$G$6&lt;=前提条件!$H$6,AND($D128&gt;=前提条件!$G$6,$D128&lt;=前提条件!$H$6),OR($D128&gt;=前提条件!$G$6,$D128&lt;=前提条件!$H$6)),1,0)</f>
        <v>0</v>
      </c>
      <c r="K128" s="14" t="n">
        <f aca="false">IF(IF(前提条件!$G$7&lt;=前提条件!$H$7,AND($D128&gt;=前提条件!$G$7,$D128&lt;=前提条件!$H$7),OR($D128&gt;=前提条件!$G$7,$D128&lt;=前提条件!$H$7)),1,0)</f>
        <v>0</v>
      </c>
      <c r="L128" s="14" t="n">
        <f aca="false">IF(IF(前提条件!$H$12&lt;=前提条件!$I$12,AND($D128&gt;=前提条件!$H$12,$D128&lt;=前提条件!$I$12),OR($D128&gt;=前提条件!$H$12,$D128&lt;=前提条件!$I$12)),1,0)</f>
        <v>1</v>
      </c>
      <c r="M128" s="14" t="n">
        <f aca="false">IF(IF(前提条件!$H$13&lt;=前提条件!$I$13,AND($D128&gt;=前提条件!$H$13,$D128&lt;=前提条件!$I$13),OR($D128&gt;=前提条件!$H$13,$D128&lt;=前提条件!$I$13)),1,0)</f>
        <v>0</v>
      </c>
      <c r="N128" s="14" t="n">
        <f aca="false">IF(IF(前提条件!$H$14&lt;=前提条件!$I$14,AND($D128&gt;=前提条件!$H$14,$D128&lt;=前提条件!$I$14),OR($D128&gt;=前提条件!$H$14,$D128&lt;=前提条件!$I$14)),1,0)</f>
        <v>0</v>
      </c>
      <c r="O128" s="14" t="n">
        <f aca="false">IF(IF(前提条件!$H$15&lt;=前提条件!$I$15,AND($D128&gt;=前提条件!$H$15,$D128&lt;=前提条件!$I$15),OR($D128&gt;=前提条件!$H$15,$D128&lt;=前提条件!$I$15)),1,0)</f>
        <v>0</v>
      </c>
    </row>
    <row r="129" customFormat="false" ht="15" hidden="false" customHeight="false" outlineLevel="0" collapsed="false">
      <c r="A129" s="48" t="n">
        <v>5</v>
      </c>
      <c r="B129" s="48" t="n">
        <v>6</v>
      </c>
      <c r="C129" s="48" t="str">
        <f aca="false">A129&amp;"/"&amp;B129</f>
        <v>5/6</v>
      </c>
      <c r="D129" s="48" t="n">
        <f aca="false">A129*100+B129</f>
        <v>506</v>
      </c>
      <c r="E129" s="45" t="n">
        <f aca="false">IF(SUM(J129:K129)&gt;0,前提条件!$B$6,前提条件!$B$8)</f>
        <v>3</v>
      </c>
      <c r="F129" s="48" t="str">
        <f aca="false">IFERROR(INDEX(前提条件!$B$12:$B$15,MATCH(1,L129:O129,0)),"未設定")</f>
        <v>標準形</v>
      </c>
      <c r="G129" s="48" t="str">
        <f aca="false">IFERROR(INDEX(前提条件!$C$12:$C$15,MATCH(1,L129:O129,0)),"未設定")</f>
        <v>標準期</v>
      </c>
      <c r="H129" s="44" t="str">
        <f aca="false">"S値+"&amp;E129&amp;"／"&amp;F129&amp;"（"&amp;G129&amp;"）"</f>
        <v>S値+3／標準形（標準期）</v>
      </c>
      <c r="J129" s="14" t="n">
        <f aca="false">IF(IF(前提条件!$G$6&lt;=前提条件!$H$6,AND($D129&gt;=前提条件!$G$6,$D129&lt;=前提条件!$H$6),OR($D129&gt;=前提条件!$G$6,$D129&lt;=前提条件!$H$6)),1,0)</f>
        <v>0</v>
      </c>
      <c r="K129" s="14" t="n">
        <f aca="false">IF(IF(前提条件!$G$7&lt;=前提条件!$H$7,AND($D129&gt;=前提条件!$G$7,$D129&lt;=前提条件!$H$7),OR($D129&gt;=前提条件!$G$7,$D129&lt;=前提条件!$H$7)),1,0)</f>
        <v>0</v>
      </c>
      <c r="L129" s="14" t="n">
        <f aca="false">IF(IF(前提条件!$H$12&lt;=前提条件!$I$12,AND($D129&gt;=前提条件!$H$12,$D129&lt;=前提条件!$I$12),OR($D129&gt;=前提条件!$H$12,$D129&lt;=前提条件!$I$12)),1,0)</f>
        <v>1</v>
      </c>
      <c r="M129" s="14" t="n">
        <f aca="false">IF(IF(前提条件!$H$13&lt;=前提条件!$I$13,AND($D129&gt;=前提条件!$H$13,$D129&lt;=前提条件!$I$13),OR($D129&gt;=前提条件!$H$13,$D129&lt;=前提条件!$I$13)),1,0)</f>
        <v>0</v>
      </c>
      <c r="N129" s="14" t="n">
        <f aca="false">IF(IF(前提条件!$H$14&lt;=前提条件!$I$14,AND($D129&gt;=前提条件!$H$14,$D129&lt;=前提条件!$I$14),OR($D129&gt;=前提条件!$H$14,$D129&lt;=前提条件!$I$14)),1,0)</f>
        <v>0</v>
      </c>
      <c r="O129" s="14" t="n">
        <f aca="false">IF(IF(前提条件!$H$15&lt;=前提条件!$I$15,AND($D129&gt;=前提条件!$H$15,$D129&lt;=前提条件!$I$15),OR($D129&gt;=前提条件!$H$15,$D129&lt;=前提条件!$I$15)),1,0)</f>
        <v>0</v>
      </c>
    </row>
    <row r="130" customFormat="false" ht="15" hidden="false" customHeight="false" outlineLevel="0" collapsed="false">
      <c r="A130" s="48" t="n">
        <v>5</v>
      </c>
      <c r="B130" s="48" t="n">
        <v>7</v>
      </c>
      <c r="C130" s="48" t="str">
        <f aca="false">A130&amp;"/"&amp;B130</f>
        <v>5/7</v>
      </c>
      <c r="D130" s="48" t="n">
        <f aca="false">A130*100+B130</f>
        <v>507</v>
      </c>
      <c r="E130" s="45" t="n">
        <f aca="false">IF(SUM(J130:K130)&gt;0,前提条件!$B$6,前提条件!$B$8)</f>
        <v>3</v>
      </c>
      <c r="F130" s="48" t="str">
        <f aca="false">IFERROR(INDEX(前提条件!$B$12:$B$15,MATCH(1,L130:O130,0)),"未設定")</f>
        <v>標準形</v>
      </c>
      <c r="G130" s="48" t="str">
        <f aca="false">IFERROR(INDEX(前提条件!$C$12:$C$15,MATCH(1,L130:O130,0)),"未設定")</f>
        <v>標準期</v>
      </c>
      <c r="H130" s="44" t="str">
        <f aca="false">"S値+"&amp;E130&amp;"／"&amp;F130&amp;"（"&amp;G130&amp;"）"</f>
        <v>S値+3／標準形（標準期）</v>
      </c>
      <c r="J130" s="14" t="n">
        <f aca="false">IF(IF(前提条件!$G$6&lt;=前提条件!$H$6,AND($D130&gt;=前提条件!$G$6,$D130&lt;=前提条件!$H$6),OR($D130&gt;=前提条件!$G$6,$D130&lt;=前提条件!$H$6)),1,0)</f>
        <v>0</v>
      </c>
      <c r="K130" s="14" t="n">
        <f aca="false">IF(IF(前提条件!$G$7&lt;=前提条件!$H$7,AND($D130&gt;=前提条件!$G$7,$D130&lt;=前提条件!$H$7),OR($D130&gt;=前提条件!$G$7,$D130&lt;=前提条件!$H$7)),1,0)</f>
        <v>0</v>
      </c>
      <c r="L130" s="14" t="n">
        <f aca="false">IF(IF(前提条件!$H$12&lt;=前提条件!$I$12,AND($D130&gt;=前提条件!$H$12,$D130&lt;=前提条件!$I$12),OR($D130&gt;=前提条件!$H$12,$D130&lt;=前提条件!$I$12)),1,0)</f>
        <v>1</v>
      </c>
      <c r="M130" s="14" t="n">
        <f aca="false">IF(IF(前提条件!$H$13&lt;=前提条件!$I$13,AND($D130&gt;=前提条件!$H$13,$D130&lt;=前提条件!$I$13),OR($D130&gt;=前提条件!$H$13,$D130&lt;=前提条件!$I$13)),1,0)</f>
        <v>0</v>
      </c>
      <c r="N130" s="14" t="n">
        <f aca="false">IF(IF(前提条件!$H$14&lt;=前提条件!$I$14,AND($D130&gt;=前提条件!$H$14,$D130&lt;=前提条件!$I$14),OR($D130&gt;=前提条件!$H$14,$D130&lt;=前提条件!$I$14)),1,0)</f>
        <v>0</v>
      </c>
      <c r="O130" s="14" t="n">
        <f aca="false">IF(IF(前提条件!$H$15&lt;=前提条件!$I$15,AND($D130&gt;=前提条件!$H$15,$D130&lt;=前提条件!$I$15),OR($D130&gt;=前提条件!$H$15,$D130&lt;=前提条件!$I$15)),1,0)</f>
        <v>0</v>
      </c>
    </row>
    <row r="131" customFormat="false" ht="15" hidden="false" customHeight="false" outlineLevel="0" collapsed="false">
      <c r="A131" s="48" t="n">
        <v>5</v>
      </c>
      <c r="B131" s="48" t="n">
        <v>8</v>
      </c>
      <c r="C131" s="48" t="str">
        <f aca="false">A131&amp;"/"&amp;B131</f>
        <v>5/8</v>
      </c>
      <c r="D131" s="48" t="n">
        <f aca="false">A131*100+B131</f>
        <v>508</v>
      </c>
      <c r="E131" s="45" t="n">
        <f aca="false">IF(SUM(J131:K131)&gt;0,前提条件!$B$6,前提条件!$B$8)</f>
        <v>3</v>
      </c>
      <c r="F131" s="48" t="str">
        <f aca="false">IFERROR(INDEX(前提条件!$B$12:$B$15,MATCH(1,L131:O131,0)),"未設定")</f>
        <v>標準形</v>
      </c>
      <c r="G131" s="48" t="str">
        <f aca="false">IFERROR(INDEX(前提条件!$C$12:$C$15,MATCH(1,L131:O131,0)),"未設定")</f>
        <v>標準期</v>
      </c>
      <c r="H131" s="44" t="str">
        <f aca="false">"S値+"&amp;E131&amp;"／"&amp;F131&amp;"（"&amp;G131&amp;"）"</f>
        <v>S値+3／標準形（標準期）</v>
      </c>
      <c r="J131" s="14" t="n">
        <f aca="false">IF(IF(前提条件!$G$6&lt;=前提条件!$H$6,AND($D131&gt;=前提条件!$G$6,$D131&lt;=前提条件!$H$6),OR($D131&gt;=前提条件!$G$6,$D131&lt;=前提条件!$H$6)),1,0)</f>
        <v>0</v>
      </c>
      <c r="K131" s="14" t="n">
        <f aca="false">IF(IF(前提条件!$G$7&lt;=前提条件!$H$7,AND($D131&gt;=前提条件!$G$7,$D131&lt;=前提条件!$H$7),OR($D131&gt;=前提条件!$G$7,$D131&lt;=前提条件!$H$7)),1,0)</f>
        <v>0</v>
      </c>
      <c r="L131" s="14" t="n">
        <f aca="false">IF(IF(前提条件!$H$12&lt;=前提条件!$I$12,AND($D131&gt;=前提条件!$H$12,$D131&lt;=前提条件!$I$12),OR($D131&gt;=前提条件!$H$12,$D131&lt;=前提条件!$I$12)),1,0)</f>
        <v>1</v>
      </c>
      <c r="M131" s="14" t="n">
        <f aca="false">IF(IF(前提条件!$H$13&lt;=前提条件!$I$13,AND($D131&gt;=前提条件!$H$13,$D131&lt;=前提条件!$I$13),OR($D131&gt;=前提条件!$H$13,$D131&lt;=前提条件!$I$13)),1,0)</f>
        <v>0</v>
      </c>
      <c r="N131" s="14" t="n">
        <f aca="false">IF(IF(前提条件!$H$14&lt;=前提条件!$I$14,AND($D131&gt;=前提条件!$H$14,$D131&lt;=前提条件!$I$14),OR($D131&gt;=前提条件!$H$14,$D131&lt;=前提条件!$I$14)),1,0)</f>
        <v>0</v>
      </c>
      <c r="O131" s="14" t="n">
        <f aca="false">IF(IF(前提条件!$H$15&lt;=前提条件!$I$15,AND($D131&gt;=前提条件!$H$15,$D131&lt;=前提条件!$I$15),OR($D131&gt;=前提条件!$H$15,$D131&lt;=前提条件!$I$15)),1,0)</f>
        <v>0</v>
      </c>
    </row>
    <row r="132" customFormat="false" ht="15" hidden="false" customHeight="false" outlineLevel="0" collapsed="false">
      <c r="A132" s="48" t="n">
        <v>5</v>
      </c>
      <c r="B132" s="48" t="n">
        <v>9</v>
      </c>
      <c r="C132" s="48" t="str">
        <f aca="false">A132&amp;"/"&amp;B132</f>
        <v>5/9</v>
      </c>
      <c r="D132" s="48" t="n">
        <f aca="false">A132*100+B132</f>
        <v>509</v>
      </c>
      <c r="E132" s="45" t="n">
        <f aca="false">IF(SUM(J132:K132)&gt;0,前提条件!$B$6,前提条件!$B$8)</f>
        <v>3</v>
      </c>
      <c r="F132" s="48" t="str">
        <f aca="false">IFERROR(INDEX(前提条件!$B$12:$B$15,MATCH(1,L132:O132,0)),"未設定")</f>
        <v>標準形</v>
      </c>
      <c r="G132" s="48" t="str">
        <f aca="false">IFERROR(INDEX(前提条件!$C$12:$C$15,MATCH(1,L132:O132,0)),"未設定")</f>
        <v>標準期</v>
      </c>
      <c r="H132" s="44" t="str">
        <f aca="false">"S値+"&amp;E132&amp;"／"&amp;F132&amp;"（"&amp;G132&amp;"）"</f>
        <v>S値+3／標準形（標準期）</v>
      </c>
      <c r="J132" s="14" t="n">
        <f aca="false">IF(IF(前提条件!$G$6&lt;=前提条件!$H$6,AND($D132&gt;=前提条件!$G$6,$D132&lt;=前提条件!$H$6),OR($D132&gt;=前提条件!$G$6,$D132&lt;=前提条件!$H$6)),1,0)</f>
        <v>0</v>
      </c>
      <c r="K132" s="14" t="n">
        <f aca="false">IF(IF(前提条件!$G$7&lt;=前提条件!$H$7,AND($D132&gt;=前提条件!$G$7,$D132&lt;=前提条件!$H$7),OR($D132&gt;=前提条件!$G$7,$D132&lt;=前提条件!$H$7)),1,0)</f>
        <v>0</v>
      </c>
      <c r="L132" s="14" t="n">
        <f aca="false">IF(IF(前提条件!$H$12&lt;=前提条件!$I$12,AND($D132&gt;=前提条件!$H$12,$D132&lt;=前提条件!$I$12),OR($D132&gt;=前提条件!$H$12,$D132&lt;=前提条件!$I$12)),1,0)</f>
        <v>1</v>
      </c>
      <c r="M132" s="14" t="n">
        <f aca="false">IF(IF(前提条件!$H$13&lt;=前提条件!$I$13,AND($D132&gt;=前提条件!$H$13,$D132&lt;=前提条件!$I$13),OR($D132&gt;=前提条件!$H$13,$D132&lt;=前提条件!$I$13)),1,0)</f>
        <v>0</v>
      </c>
      <c r="N132" s="14" t="n">
        <f aca="false">IF(IF(前提条件!$H$14&lt;=前提条件!$I$14,AND($D132&gt;=前提条件!$H$14,$D132&lt;=前提条件!$I$14),OR($D132&gt;=前提条件!$H$14,$D132&lt;=前提条件!$I$14)),1,0)</f>
        <v>0</v>
      </c>
      <c r="O132" s="14" t="n">
        <f aca="false">IF(IF(前提条件!$H$15&lt;=前提条件!$I$15,AND($D132&gt;=前提条件!$H$15,$D132&lt;=前提条件!$I$15),OR($D132&gt;=前提条件!$H$15,$D132&lt;=前提条件!$I$15)),1,0)</f>
        <v>0</v>
      </c>
    </row>
    <row r="133" customFormat="false" ht="15" hidden="false" customHeight="false" outlineLevel="0" collapsed="false">
      <c r="A133" s="48" t="n">
        <v>5</v>
      </c>
      <c r="B133" s="48" t="n">
        <v>10</v>
      </c>
      <c r="C133" s="48" t="str">
        <f aca="false">A133&amp;"/"&amp;B133</f>
        <v>5/10</v>
      </c>
      <c r="D133" s="48" t="n">
        <f aca="false">A133*100+B133</f>
        <v>510</v>
      </c>
      <c r="E133" s="45" t="n">
        <f aca="false">IF(SUM(J133:K133)&gt;0,前提条件!$B$6,前提条件!$B$8)</f>
        <v>3</v>
      </c>
      <c r="F133" s="48" t="str">
        <f aca="false">IFERROR(INDEX(前提条件!$B$12:$B$15,MATCH(1,L133:O133,0)),"未設定")</f>
        <v>標準形</v>
      </c>
      <c r="G133" s="48" t="str">
        <f aca="false">IFERROR(INDEX(前提条件!$C$12:$C$15,MATCH(1,L133:O133,0)),"未設定")</f>
        <v>標準期</v>
      </c>
      <c r="H133" s="44" t="str">
        <f aca="false">"S値+"&amp;E133&amp;"／"&amp;F133&amp;"（"&amp;G133&amp;"）"</f>
        <v>S値+3／標準形（標準期）</v>
      </c>
      <c r="J133" s="14" t="n">
        <f aca="false">IF(IF(前提条件!$G$6&lt;=前提条件!$H$6,AND($D133&gt;=前提条件!$G$6,$D133&lt;=前提条件!$H$6),OR($D133&gt;=前提条件!$G$6,$D133&lt;=前提条件!$H$6)),1,0)</f>
        <v>0</v>
      </c>
      <c r="K133" s="14" t="n">
        <f aca="false">IF(IF(前提条件!$G$7&lt;=前提条件!$H$7,AND($D133&gt;=前提条件!$G$7,$D133&lt;=前提条件!$H$7),OR($D133&gt;=前提条件!$G$7,$D133&lt;=前提条件!$H$7)),1,0)</f>
        <v>0</v>
      </c>
      <c r="L133" s="14" t="n">
        <f aca="false">IF(IF(前提条件!$H$12&lt;=前提条件!$I$12,AND($D133&gt;=前提条件!$H$12,$D133&lt;=前提条件!$I$12),OR($D133&gt;=前提条件!$H$12,$D133&lt;=前提条件!$I$12)),1,0)</f>
        <v>1</v>
      </c>
      <c r="M133" s="14" t="n">
        <f aca="false">IF(IF(前提条件!$H$13&lt;=前提条件!$I$13,AND($D133&gt;=前提条件!$H$13,$D133&lt;=前提条件!$I$13),OR($D133&gt;=前提条件!$H$13,$D133&lt;=前提条件!$I$13)),1,0)</f>
        <v>0</v>
      </c>
      <c r="N133" s="14" t="n">
        <f aca="false">IF(IF(前提条件!$H$14&lt;=前提条件!$I$14,AND($D133&gt;=前提条件!$H$14,$D133&lt;=前提条件!$I$14),OR($D133&gt;=前提条件!$H$14,$D133&lt;=前提条件!$I$14)),1,0)</f>
        <v>0</v>
      </c>
      <c r="O133" s="14" t="n">
        <f aca="false">IF(IF(前提条件!$H$15&lt;=前提条件!$I$15,AND($D133&gt;=前提条件!$H$15,$D133&lt;=前提条件!$I$15),OR($D133&gt;=前提条件!$H$15,$D133&lt;=前提条件!$I$15)),1,0)</f>
        <v>0</v>
      </c>
    </row>
    <row r="134" customFormat="false" ht="15" hidden="false" customHeight="false" outlineLevel="0" collapsed="false">
      <c r="A134" s="48" t="n">
        <v>5</v>
      </c>
      <c r="B134" s="48" t="n">
        <v>11</v>
      </c>
      <c r="C134" s="48" t="str">
        <f aca="false">A134&amp;"/"&amp;B134</f>
        <v>5/11</v>
      </c>
      <c r="D134" s="48" t="n">
        <f aca="false">A134*100+B134</f>
        <v>511</v>
      </c>
      <c r="E134" s="45" t="n">
        <f aca="false">IF(SUM(J134:K134)&gt;0,前提条件!$B$6,前提条件!$B$8)</f>
        <v>3</v>
      </c>
      <c r="F134" s="48" t="str">
        <f aca="false">IFERROR(INDEX(前提条件!$B$12:$B$15,MATCH(1,L134:O134,0)),"未設定")</f>
        <v>標準形</v>
      </c>
      <c r="G134" s="48" t="str">
        <f aca="false">IFERROR(INDEX(前提条件!$C$12:$C$15,MATCH(1,L134:O134,0)),"未設定")</f>
        <v>標準期</v>
      </c>
      <c r="H134" s="44" t="str">
        <f aca="false">"S値+"&amp;E134&amp;"／"&amp;F134&amp;"（"&amp;G134&amp;"）"</f>
        <v>S値+3／標準形（標準期）</v>
      </c>
      <c r="J134" s="14" t="n">
        <f aca="false">IF(IF(前提条件!$G$6&lt;=前提条件!$H$6,AND($D134&gt;=前提条件!$G$6,$D134&lt;=前提条件!$H$6),OR($D134&gt;=前提条件!$G$6,$D134&lt;=前提条件!$H$6)),1,0)</f>
        <v>0</v>
      </c>
      <c r="K134" s="14" t="n">
        <f aca="false">IF(IF(前提条件!$G$7&lt;=前提条件!$H$7,AND($D134&gt;=前提条件!$G$7,$D134&lt;=前提条件!$H$7),OR($D134&gt;=前提条件!$G$7,$D134&lt;=前提条件!$H$7)),1,0)</f>
        <v>0</v>
      </c>
      <c r="L134" s="14" t="n">
        <f aca="false">IF(IF(前提条件!$H$12&lt;=前提条件!$I$12,AND($D134&gt;=前提条件!$H$12,$D134&lt;=前提条件!$I$12),OR($D134&gt;=前提条件!$H$12,$D134&lt;=前提条件!$I$12)),1,0)</f>
        <v>1</v>
      </c>
      <c r="M134" s="14" t="n">
        <f aca="false">IF(IF(前提条件!$H$13&lt;=前提条件!$I$13,AND($D134&gt;=前提条件!$H$13,$D134&lt;=前提条件!$I$13),OR($D134&gt;=前提条件!$H$13,$D134&lt;=前提条件!$I$13)),1,0)</f>
        <v>0</v>
      </c>
      <c r="N134" s="14" t="n">
        <f aca="false">IF(IF(前提条件!$H$14&lt;=前提条件!$I$14,AND($D134&gt;=前提条件!$H$14,$D134&lt;=前提条件!$I$14),OR($D134&gt;=前提条件!$H$14,$D134&lt;=前提条件!$I$14)),1,0)</f>
        <v>0</v>
      </c>
      <c r="O134" s="14" t="n">
        <f aca="false">IF(IF(前提条件!$H$15&lt;=前提条件!$I$15,AND($D134&gt;=前提条件!$H$15,$D134&lt;=前提条件!$I$15),OR($D134&gt;=前提条件!$H$15,$D134&lt;=前提条件!$I$15)),1,0)</f>
        <v>0</v>
      </c>
    </row>
    <row r="135" customFormat="false" ht="15" hidden="false" customHeight="false" outlineLevel="0" collapsed="false">
      <c r="A135" s="48" t="n">
        <v>5</v>
      </c>
      <c r="B135" s="48" t="n">
        <v>12</v>
      </c>
      <c r="C135" s="48" t="str">
        <f aca="false">A135&amp;"/"&amp;B135</f>
        <v>5/12</v>
      </c>
      <c r="D135" s="48" t="n">
        <f aca="false">A135*100+B135</f>
        <v>512</v>
      </c>
      <c r="E135" s="45" t="n">
        <f aca="false">IF(SUM(J135:K135)&gt;0,前提条件!$B$6,前提条件!$B$8)</f>
        <v>3</v>
      </c>
      <c r="F135" s="48" t="str">
        <f aca="false">IFERROR(INDEX(前提条件!$B$12:$B$15,MATCH(1,L135:O135,0)),"未設定")</f>
        <v>標準形</v>
      </c>
      <c r="G135" s="48" t="str">
        <f aca="false">IFERROR(INDEX(前提条件!$C$12:$C$15,MATCH(1,L135:O135,0)),"未設定")</f>
        <v>標準期</v>
      </c>
      <c r="H135" s="44" t="str">
        <f aca="false">"S値+"&amp;E135&amp;"／"&amp;F135&amp;"（"&amp;G135&amp;"）"</f>
        <v>S値+3／標準形（標準期）</v>
      </c>
      <c r="J135" s="14" t="n">
        <f aca="false">IF(IF(前提条件!$G$6&lt;=前提条件!$H$6,AND($D135&gt;=前提条件!$G$6,$D135&lt;=前提条件!$H$6),OR($D135&gt;=前提条件!$G$6,$D135&lt;=前提条件!$H$6)),1,0)</f>
        <v>0</v>
      </c>
      <c r="K135" s="14" t="n">
        <f aca="false">IF(IF(前提条件!$G$7&lt;=前提条件!$H$7,AND($D135&gt;=前提条件!$G$7,$D135&lt;=前提条件!$H$7),OR($D135&gt;=前提条件!$G$7,$D135&lt;=前提条件!$H$7)),1,0)</f>
        <v>0</v>
      </c>
      <c r="L135" s="14" t="n">
        <f aca="false">IF(IF(前提条件!$H$12&lt;=前提条件!$I$12,AND($D135&gt;=前提条件!$H$12,$D135&lt;=前提条件!$I$12),OR($D135&gt;=前提条件!$H$12,$D135&lt;=前提条件!$I$12)),1,0)</f>
        <v>1</v>
      </c>
      <c r="M135" s="14" t="n">
        <f aca="false">IF(IF(前提条件!$H$13&lt;=前提条件!$I$13,AND($D135&gt;=前提条件!$H$13,$D135&lt;=前提条件!$I$13),OR($D135&gt;=前提条件!$H$13,$D135&lt;=前提条件!$I$13)),1,0)</f>
        <v>0</v>
      </c>
      <c r="N135" s="14" t="n">
        <f aca="false">IF(IF(前提条件!$H$14&lt;=前提条件!$I$14,AND($D135&gt;=前提条件!$H$14,$D135&lt;=前提条件!$I$14),OR($D135&gt;=前提条件!$H$14,$D135&lt;=前提条件!$I$14)),1,0)</f>
        <v>0</v>
      </c>
      <c r="O135" s="14" t="n">
        <f aca="false">IF(IF(前提条件!$H$15&lt;=前提条件!$I$15,AND($D135&gt;=前提条件!$H$15,$D135&lt;=前提条件!$I$15),OR($D135&gt;=前提条件!$H$15,$D135&lt;=前提条件!$I$15)),1,0)</f>
        <v>0</v>
      </c>
    </row>
    <row r="136" customFormat="false" ht="15" hidden="false" customHeight="false" outlineLevel="0" collapsed="false">
      <c r="A136" s="48" t="n">
        <v>5</v>
      </c>
      <c r="B136" s="48" t="n">
        <v>13</v>
      </c>
      <c r="C136" s="48" t="str">
        <f aca="false">A136&amp;"/"&amp;B136</f>
        <v>5/13</v>
      </c>
      <c r="D136" s="48" t="n">
        <f aca="false">A136*100+B136</f>
        <v>513</v>
      </c>
      <c r="E136" s="45" t="n">
        <f aca="false">IF(SUM(J136:K136)&gt;0,前提条件!$B$6,前提条件!$B$8)</f>
        <v>3</v>
      </c>
      <c r="F136" s="48" t="str">
        <f aca="false">IFERROR(INDEX(前提条件!$B$12:$B$15,MATCH(1,L136:O136,0)),"未設定")</f>
        <v>標準形</v>
      </c>
      <c r="G136" s="48" t="str">
        <f aca="false">IFERROR(INDEX(前提条件!$C$12:$C$15,MATCH(1,L136:O136,0)),"未設定")</f>
        <v>標準期</v>
      </c>
      <c r="H136" s="44" t="str">
        <f aca="false">"S値+"&amp;E136&amp;"／"&amp;F136&amp;"（"&amp;G136&amp;"）"</f>
        <v>S値+3／標準形（標準期）</v>
      </c>
      <c r="J136" s="14" t="n">
        <f aca="false">IF(IF(前提条件!$G$6&lt;=前提条件!$H$6,AND($D136&gt;=前提条件!$G$6,$D136&lt;=前提条件!$H$6),OR($D136&gt;=前提条件!$G$6,$D136&lt;=前提条件!$H$6)),1,0)</f>
        <v>0</v>
      </c>
      <c r="K136" s="14" t="n">
        <f aca="false">IF(IF(前提条件!$G$7&lt;=前提条件!$H$7,AND($D136&gt;=前提条件!$G$7,$D136&lt;=前提条件!$H$7),OR($D136&gt;=前提条件!$G$7,$D136&lt;=前提条件!$H$7)),1,0)</f>
        <v>0</v>
      </c>
      <c r="L136" s="14" t="n">
        <f aca="false">IF(IF(前提条件!$H$12&lt;=前提条件!$I$12,AND($D136&gt;=前提条件!$H$12,$D136&lt;=前提条件!$I$12),OR($D136&gt;=前提条件!$H$12,$D136&lt;=前提条件!$I$12)),1,0)</f>
        <v>1</v>
      </c>
      <c r="M136" s="14" t="n">
        <f aca="false">IF(IF(前提条件!$H$13&lt;=前提条件!$I$13,AND($D136&gt;=前提条件!$H$13,$D136&lt;=前提条件!$I$13),OR($D136&gt;=前提条件!$H$13,$D136&lt;=前提条件!$I$13)),1,0)</f>
        <v>0</v>
      </c>
      <c r="N136" s="14" t="n">
        <f aca="false">IF(IF(前提条件!$H$14&lt;=前提条件!$I$14,AND($D136&gt;=前提条件!$H$14,$D136&lt;=前提条件!$I$14),OR($D136&gt;=前提条件!$H$14,$D136&lt;=前提条件!$I$14)),1,0)</f>
        <v>0</v>
      </c>
      <c r="O136" s="14" t="n">
        <f aca="false">IF(IF(前提条件!$H$15&lt;=前提条件!$I$15,AND($D136&gt;=前提条件!$H$15,$D136&lt;=前提条件!$I$15),OR($D136&gt;=前提条件!$H$15,$D136&lt;=前提条件!$I$15)),1,0)</f>
        <v>0</v>
      </c>
    </row>
    <row r="137" customFormat="false" ht="15" hidden="false" customHeight="false" outlineLevel="0" collapsed="false">
      <c r="A137" s="48" t="n">
        <v>5</v>
      </c>
      <c r="B137" s="48" t="n">
        <v>14</v>
      </c>
      <c r="C137" s="48" t="str">
        <f aca="false">A137&amp;"/"&amp;B137</f>
        <v>5/14</v>
      </c>
      <c r="D137" s="48" t="n">
        <f aca="false">A137*100+B137</f>
        <v>514</v>
      </c>
      <c r="E137" s="45" t="n">
        <f aca="false">IF(SUM(J137:K137)&gt;0,前提条件!$B$6,前提条件!$B$8)</f>
        <v>3</v>
      </c>
      <c r="F137" s="48" t="str">
        <f aca="false">IFERROR(INDEX(前提条件!$B$12:$B$15,MATCH(1,L137:O137,0)),"未設定")</f>
        <v>標準形</v>
      </c>
      <c r="G137" s="48" t="str">
        <f aca="false">IFERROR(INDEX(前提条件!$C$12:$C$15,MATCH(1,L137:O137,0)),"未設定")</f>
        <v>標準期</v>
      </c>
      <c r="H137" s="44" t="str">
        <f aca="false">"S値+"&amp;E137&amp;"／"&amp;F137&amp;"（"&amp;G137&amp;"）"</f>
        <v>S値+3／標準形（標準期）</v>
      </c>
      <c r="J137" s="14" t="n">
        <f aca="false">IF(IF(前提条件!$G$6&lt;=前提条件!$H$6,AND($D137&gt;=前提条件!$G$6,$D137&lt;=前提条件!$H$6),OR($D137&gt;=前提条件!$G$6,$D137&lt;=前提条件!$H$6)),1,0)</f>
        <v>0</v>
      </c>
      <c r="K137" s="14" t="n">
        <f aca="false">IF(IF(前提条件!$G$7&lt;=前提条件!$H$7,AND($D137&gt;=前提条件!$G$7,$D137&lt;=前提条件!$H$7),OR($D137&gt;=前提条件!$G$7,$D137&lt;=前提条件!$H$7)),1,0)</f>
        <v>0</v>
      </c>
      <c r="L137" s="14" t="n">
        <f aca="false">IF(IF(前提条件!$H$12&lt;=前提条件!$I$12,AND($D137&gt;=前提条件!$H$12,$D137&lt;=前提条件!$I$12),OR($D137&gt;=前提条件!$H$12,$D137&lt;=前提条件!$I$12)),1,0)</f>
        <v>1</v>
      </c>
      <c r="M137" s="14" t="n">
        <f aca="false">IF(IF(前提条件!$H$13&lt;=前提条件!$I$13,AND($D137&gt;=前提条件!$H$13,$D137&lt;=前提条件!$I$13),OR($D137&gt;=前提条件!$H$13,$D137&lt;=前提条件!$I$13)),1,0)</f>
        <v>0</v>
      </c>
      <c r="N137" s="14" t="n">
        <f aca="false">IF(IF(前提条件!$H$14&lt;=前提条件!$I$14,AND($D137&gt;=前提条件!$H$14,$D137&lt;=前提条件!$I$14),OR($D137&gt;=前提条件!$H$14,$D137&lt;=前提条件!$I$14)),1,0)</f>
        <v>0</v>
      </c>
      <c r="O137" s="14" t="n">
        <f aca="false">IF(IF(前提条件!$H$15&lt;=前提条件!$I$15,AND($D137&gt;=前提条件!$H$15,$D137&lt;=前提条件!$I$15),OR($D137&gt;=前提条件!$H$15,$D137&lt;=前提条件!$I$15)),1,0)</f>
        <v>0</v>
      </c>
    </row>
    <row r="138" customFormat="false" ht="15" hidden="false" customHeight="false" outlineLevel="0" collapsed="false">
      <c r="A138" s="48" t="n">
        <v>5</v>
      </c>
      <c r="B138" s="48" t="n">
        <v>15</v>
      </c>
      <c r="C138" s="48" t="str">
        <f aca="false">A138&amp;"/"&amp;B138</f>
        <v>5/15</v>
      </c>
      <c r="D138" s="48" t="n">
        <f aca="false">A138*100+B138</f>
        <v>515</v>
      </c>
      <c r="E138" s="45" t="n">
        <f aca="false">IF(SUM(J138:K138)&gt;0,前提条件!$B$6,前提条件!$B$8)</f>
        <v>3</v>
      </c>
      <c r="F138" s="48" t="str">
        <f aca="false">IFERROR(INDEX(前提条件!$B$12:$B$15,MATCH(1,L138:O138,0)),"未設定")</f>
        <v>標準形</v>
      </c>
      <c r="G138" s="48" t="str">
        <f aca="false">IFERROR(INDEX(前提条件!$C$12:$C$15,MATCH(1,L138:O138,0)),"未設定")</f>
        <v>標準期</v>
      </c>
      <c r="H138" s="44" t="str">
        <f aca="false">"S値+"&amp;E138&amp;"／"&amp;F138&amp;"（"&amp;G138&amp;"）"</f>
        <v>S値+3／標準形（標準期）</v>
      </c>
      <c r="J138" s="14" t="n">
        <f aca="false">IF(IF(前提条件!$G$6&lt;=前提条件!$H$6,AND($D138&gt;=前提条件!$G$6,$D138&lt;=前提条件!$H$6),OR($D138&gt;=前提条件!$G$6,$D138&lt;=前提条件!$H$6)),1,0)</f>
        <v>0</v>
      </c>
      <c r="K138" s="14" t="n">
        <f aca="false">IF(IF(前提条件!$G$7&lt;=前提条件!$H$7,AND($D138&gt;=前提条件!$G$7,$D138&lt;=前提条件!$H$7),OR($D138&gt;=前提条件!$G$7,$D138&lt;=前提条件!$H$7)),1,0)</f>
        <v>0</v>
      </c>
      <c r="L138" s="14" t="n">
        <f aca="false">IF(IF(前提条件!$H$12&lt;=前提条件!$I$12,AND($D138&gt;=前提条件!$H$12,$D138&lt;=前提条件!$I$12),OR($D138&gt;=前提条件!$H$12,$D138&lt;=前提条件!$I$12)),1,0)</f>
        <v>1</v>
      </c>
      <c r="M138" s="14" t="n">
        <f aca="false">IF(IF(前提条件!$H$13&lt;=前提条件!$I$13,AND($D138&gt;=前提条件!$H$13,$D138&lt;=前提条件!$I$13),OR($D138&gt;=前提条件!$H$13,$D138&lt;=前提条件!$I$13)),1,0)</f>
        <v>0</v>
      </c>
      <c r="N138" s="14" t="n">
        <f aca="false">IF(IF(前提条件!$H$14&lt;=前提条件!$I$14,AND($D138&gt;=前提条件!$H$14,$D138&lt;=前提条件!$I$14),OR($D138&gt;=前提条件!$H$14,$D138&lt;=前提条件!$I$14)),1,0)</f>
        <v>0</v>
      </c>
      <c r="O138" s="14" t="n">
        <f aca="false">IF(IF(前提条件!$H$15&lt;=前提条件!$I$15,AND($D138&gt;=前提条件!$H$15,$D138&lt;=前提条件!$I$15),OR($D138&gt;=前提条件!$H$15,$D138&lt;=前提条件!$I$15)),1,0)</f>
        <v>0</v>
      </c>
    </row>
    <row r="139" customFormat="false" ht="15" hidden="false" customHeight="false" outlineLevel="0" collapsed="false">
      <c r="A139" s="48" t="n">
        <v>5</v>
      </c>
      <c r="B139" s="48" t="n">
        <v>16</v>
      </c>
      <c r="C139" s="48" t="str">
        <f aca="false">A139&amp;"/"&amp;B139</f>
        <v>5/16</v>
      </c>
      <c r="D139" s="48" t="n">
        <f aca="false">A139*100+B139</f>
        <v>516</v>
      </c>
      <c r="E139" s="45" t="n">
        <f aca="false">IF(SUM(J139:K139)&gt;0,前提条件!$B$6,前提条件!$B$8)</f>
        <v>3</v>
      </c>
      <c r="F139" s="48" t="str">
        <f aca="false">IFERROR(INDEX(前提条件!$B$12:$B$15,MATCH(1,L139:O139,0)),"未設定")</f>
        <v>標準形</v>
      </c>
      <c r="G139" s="48" t="str">
        <f aca="false">IFERROR(INDEX(前提条件!$C$12:$C$15,MATCH(1,L139:O139,0)),"未設定")</f>
        <v>標準期</v>
      </c>
      <c r="H139" s="44" t="str">
        <f aca="false">"S値+"&amp;E139&amp;"／"&amp;F139&amp;"（"&amp;G139&amp;"）"</f>
        <v>S値+3／標準形（標準期）</v>
      </c>
      <c r="J139" s="14" t="n">
        <f aca="false">IF(IF(前提条件!$G$6&lt;=前提条件!$H$6,AND($D139&gt;=前提条件!$G$6,$D139&lt;=前提条件!$H$6),OR($D139&gt;=前提条件!$G$6,$D139&lt;=前提条件!$H$6)),1,0)</f>
        <v>0</v>
      </c>
      <c r="K139" s="14" t="n">
        <f aca="false">IF(IF(前提条件!$G$7&lt;=前提条件!$H$7,AND($D139&gt;=前提条件!$G$7,$D139&lt;=前提条件!$H$7),OR($D139&gt;=前提条件!$G$7,$D139&lt;=前提条件!$H$7)),1,0)</f>
        <v>0</v>
      </c>
      <c r="L139" s="14" t="n">
        <f aca="false">IF(IF(前提条件!$H$12&lt;=前提条件!$I$12,AND($D139&gt;=前提条件!$H$12,$D139&lt;=前提条件!$I$12),OR($D139&gt;=前提条件!$H$12,$D139&lt;=前提条件!$I$12)),1,0)</f>
        <v>1</v>
      </c>
      <c r="M139" s="14" t="n">
        <f aca="false">IF(IF(前提条件!$H$13&lt;=前提条件!$I$13,AND($D139&gt;=前提条件!$H$13,$D139&lt;=前提条件!$I$13),OR($D139&gt;=前提条件!$H$13,$D139&lt;=前提条件!$I$13)),1,0)</f>
        <v>0</v>
      </c>
      <c r="N139" s="14" t="n">
        <f aca="false">IF(IF(前提条件!$H$14&lt;=前提条件!$I$14,AND($D139&gt;=前提条件!$H$14,$D139&lt;=前提条件!$I$14),OR($D139&gt;=前提条件!$H$14,$D139&lt;=前提条件!$I$14)),1,0)</f>
        <v>0</v>
      </c>
      <c r="O139" s="14" t="n">
        <f aca="false">IF(IF(前提条件!$H$15&lt;=前提条件!$I$15,AND($D139&gt;=前提条件!$H$15,$D139&lt;=前提条件!$I$15),OR($D139&gt;=前提条件!$H$15,$D139&lt;=前提条件!$I$15)),1,0)</f>
        <v>0</v>
      </c>
    </row>
    <row r="140" customFormat="false" ht="15" hidden="false" customHeight="false" outlineLevel="0" collapsed="false">
      <c r="A140" s="48" t="n">
        <v>5</v>
      </c>
      <c r="B140" s="48" t="n">
        <v>17</v>
      </c>
      <c r="C140" s="48" t="str">
        <f aca="false">A140&amp;"/"&amp;B140</f>
        <v>5/17</v>
      </c>
      <c r="D140" s="48" t="n">
        <f aca="false">A140*100+B140</f>
        <v>517</v>
      </c>
      <c r="E140" s="45" t="n">
        <f aca="false">IF(SUM(J140:K140)&gt;0,前提条件!$B$6,前提条件!$B$8)</f>
        <v>3</v>
      </c>
      <c r="F140" s="48" t="str">
        <f aca="false">IFERROR(INDEX(前提条件!$B$12:$B$15,MATCH(1,L140:O140,0)),"未設定")</f>
        <v>標準形</v>
      </c>
      <c r="G140" s="48" t="str">
        <f aca="false">IFERROR(INDEX(前提条件!$C$12:$C$15,MATCH(1,L140:O140,0)),"未設定")</f>
        <v>標準期</v>
      </c>
      <c r="H140" s="44" t="str">
        <f aca="false">"S値+"&amp;E140&amp;"／"&amp;F140&amp;"（"&amp;G140&amp;"）"</f>
        <v>S値+3／標準形（標準期）</v>
      </c>
      <c r="J140" s="14" t="n">
        <f aca="false">IF(IF(前提条件!$G$6&lt;=前提条件!$H$6,AND($D140&gt;=前提条件!$G$6,$D140&lt;=前提条件!$H$6),OR($D140&gt;=前提条件!$G$6,$D140&lt;=前提条件!$H$6)),1,0)</f>
        <v>0</v>
      </c>
      <c r="K140" s="14" t="n">
        <f aca="false">IF(IF(前提条件!$G$7&lt;=前提条件!$H$7,AND($D140&gt;=前提条件!$G$7,$D140&lt;=前提条件!$H$7),OR($D140&gt;=前提条件!$G$7,$D140&lt;=前提条件!$H$7)),1,0)</f>
        <v>0</v>
      </c>
      <c r="L140" s="14" t="n">
        <f aca="false">IF(IF(前提条件!$H$12&lt;=前提条件!$I$12,AND($D140&gt;=前提条件!$H$12,$D140&lt;=前提条件!$I$12),OR($D140&gt;=前提条件!$H$12,$D140&lt;=前提条件!$I$12)),1,0)</f>
        <v>1</v>
      </c>
      <c r="M140" s="14" t="n">
        <f aca="false">IF(IF(前提条件!$H$13&lt;=前提条件!$I$13,AND($D140&gt;=前提条件!$H$13,$D140&lt;=前提条件!$I$13),OR($D140&gt;=前提条件!$H$13,$D140&lt;=前提条件!$I$13)),1,0)</f>
        <v>0</v>
      </c>
      <c r="N140" s="14" t="n">
        <f aca="false">IF(IF(前提条件!$H$14&lt;=前提条件!$I$14,AND($D140&gt;=前提条件!$H$14,$D140&lt;=前提条件!$I$14),OR($D140&gt;=前提条件!$H$14,$D140&lt;=前提条件!$I$14)),1,0)</f>
        <v>0</v>
      </c>
      <c r="O140" s="14" t="n">
        <f aca="false">IF(IF(前提条件!$H$15&lt;=前提条件!$I$15,AND($D140&gt;=前提条件!$H$15,$D140&lt;=前提条件!$I$15),OR($D140&gt;=前提条件!$H$15,$D140&lt;=前提条件!$I$15)),1,0)</f>
        <v>0</v>
      </c>
    </row>
    <row r="141" customFormat="false" ht="15" hidden="false" customHeight="false" outlineLevel="0" collapsed="false">
      <c r="A141" s="48" t="n">
        <v>5</v>
      </c>
      <c r="B141" s="48" t="n">
        <v>18</v>
      </c>
      <c r="C141" s="48" t="str">
        <f aca="false">A141&amp;"/"&amp;B141</f>
        <v>5/18</v>
      </c>
      <c r="D141" s="48" t="n">
        <f aca="false">A141*100+B141</f>
        <v>518</v>
      </c>
      <c r="E141" s="45" t="n">
        <f aca="false">IF(SUM(J141:K141)&gt;0,前提条件!$B$6,前提条件!$B$8)</f>
        <v>3</v>
      </c>
      <c r="F141" s="48" t="str">
        <f aca="false">IFERROR(INDEX(前提条件!$B$12:$B$15,MATCH(1,L141:O141,0)),"未設定")</f>
        <v>標準形</v>
      </c>
      <c r="G141" s="48" t="str">
        <f aca="false">IFERROR(INDEX(前提条件!$C$12:$C$15,MATCH(1,L141:O141,0)),"未設定")</f>
        <v>標準期</v>
      </c>
      <c r="H141" s="44" t="str">
        <f aca="false">"S値+"&amp;E141&amp;"／"&amp;F141&amp;"（"&amp;G141&amp;"）"</f>
        <v>S値+3／標準形（標準期）</v>
      </c>
      <c r="J141" s="14" t="n">
        <f aca="false">IF(IF(前提条件!$G$6&lt;=前提条件!$H$6,AND($D141&gt;=前提条件!$G$6,$D141&lt;=前提条件!$H$6),OR($D141&gt;=前提条件!$G$6,$D141&lt;=前提条件!$H$6)),1,0)</f>
        <v>0</v>
      </c>
      <c r="K141" s="14" t="n">
        <f aca="false">IF(IF(前提条件!$G$7&lt;=前提条件!$H$7,AND($D141&gt;=前提条件!$G$7,$D141&lt;=前提条件!$H$7),OR($D141&gt;=前提条件!$G$7,$D141&lt;=前提条件!$H$7)),1,0)</f>
        <v>0</v>
      </c>
      <c r="L141" s="14" t="n">
        <f aca="false">IF(IF(前提条件!$H$12&lt;=前提条件!$I$12,AND($D141&gt;=前提条件!$H$12,$D141&lt;=前提条件!$I$12),OR($D141&gt;=前提条件!$H$12,$D141&lt;=前提条件!$I$12)),1,0)</f>
        <v>1</v>
      </c>
      <c r="M141" s="14" t="n">
        <f aca="false">IF(IF(前提条件!$H$13&lt;=前提条件!$I$13,AND($D141&gt;=前提条件!$H$13,$D141&lt;=前提条件!$I$13),OR($D141&gt;=前提条件!$H$13,$D141&lt;=前提条件!$I$13)),1,0)</f>
        <v>0</v>
      </c>
      <c r="N141" s="14" t="n">
        <f aca="false">IF(IF(前提条件!$H$14&lt;=前提条件!$I$14,AND($D141&gt;=前提条件!$H$14,$D141&lt;=前提条件!$I$14),OR($D141&gt;=前提条件!$H$14,$D141&lt;=前提条件!$I$14)),1,0)</f>
        <v>0</v>
      </c>
      <c r="O141" s="14" t="n">
        <f aca="false">IF(IF(前提条件!$H$15&lt;=前提条件!$I$15,AND($D141&gt;=前提条件!$H$15,$D141&lt;=前提条件!$I$15),OR($D141&gt;=前提条件!$H$15,$D141&lt;=前提条件!$I$15)),1,0)</f>
        <v>0</v>
      </c>
    </row>
    <row r="142" customFormat="false" ht="15" hidden="false" customHeight="false" outlineLevel="0" collapsed="false">
      <c r="A142" s="48" t="n">
        <v>5</v>
      </c>
      <c r="B142" s="48" t="n">
        <v>19</v>
      </c>
      <c r="C142" s="48" t="str">
        <f aca="false">A142&amp;"/"&amp;B142</f>
        <v>5/19</v>
      </c>
      <c r="D142" s="48" t="n">
        <f aca="false">A142*100+B142</f>
        <v>519</v>
      </c>
      <c r="E142" s="45" t="n">
        <f aca="false">IF(SUM(J142:K142)&gt;0,前提条件!$B$6,前提条件!$B$8)</f>
        <v>3</v>
      </c>
      <c r="F142" s="48" t="str">
        <f aca="false">IFERROR(INDEX(前提条件!$B$12:$B$15,MATCH(1,L142:O142,0)),"未設定")</f>
        <v>標準形</v>
      </c>
      <c r="G142" s="48" t="str">
        <f aca="false">IFERROR(INDEX(前提条件!$C$12:$C$15,MATCH(1,L142:O142,0)),"未設定")</f>
        <v>標準期</v>
      </c>
      <c r="H142" s="44" t="str">
        <f aca="false">"S値+"&amp;E142&amp;"／"&amp;F142&amp;"（"&amp;G142&amp;"）"</f>
        <v>S値+3／標準形（標準期）</v>
      </c>
      <c r="J142" s="14" t="n">
        <f aca="false">IF(IF(前提条件!$G$6&lt;=前提条件!$H$6,AND($D142&gt;=前提条件!$G$6,$D142&lt;=前提条件!$H$6),OR($D142&gt;=前提条件!$G$6,$D142&lt;=前提条件!$H$6)),1,0)</f>
        <v>0</v>
      </c>
      <c r="K142" s="14" t="n">
        <f aca="false">IF(IF(前提条件!$G$7&lt;=前提条件!$H$7,AND($D142&gt;=前提条件!$G$7,$D142&lt;=前提条件!$H$7),OR($D142&gt;=前提条件!$G$7,$D142&lt;=前提条件!$H$7)),1,0)</f>
        <v>0</v>
      </c>
      <c r="L142" s="14" t="n">
        <f aca="false">IF(IF(前提条件!$H$12&lt;=前提条件!$I$12,AND($D142&gt;=前提条件!$H$12,$D142&lt;=前提条件!$I$12),OR($D142&gt;=前提条件!$H$12,$D142&lt;=前提条件!$I$12)),1,0)</f>
        <v>1</v>
      </c>
      <c r="M142" s="14" t="n">
        <f aca="false">IF(IF(前提条件!$H$13&lt;=前提条件!$I$13,AND($D142&gt;=前提条件!$H$13,$D142&lt;=前提条件!$I$13),OR($D142&gt;=前提条件!$H$13,$D142&lt;=前提条件!$I$13)),1,0)</f>
        <v>0</v>
      </c>
      <c r="N142" s="14" t="n">
        <f aca="false">IF(IF(前提条件!$H$14&lt;=前提条件!$I$14,AND($D142&gt;=前提条件!$H$14,$D142&lt;=前提条件!$I$14),OR($D142&gt;=前提条件!$H$14,$D142&lt;=前提条件!$I$14)),1,0)</f>
        <v>0</v>
      </c>
      <c r="O142" s="14" t="n">
        <f aca="false">IF(IF(前提条件!$H$15&lt;=前提条件!$I$15,AND($D142&gt;=前提条件!$H$15,$D142&lt;=前提条件!$I$15),OR($D142&gt;=前提条件!$H$15,$D142&lt;=前提条件!$I$15)),1,0)</f>
        <v>0</v>
      </c>
    </row>
    <row r="143" customFormat="false" ht="15" hidden="false" customHeight="false" outlineLevel="0" collapsed="false">
      <c r="A143" s="48" t="n">
        <v>5</v>
      </c>
      <c r="B143" s="48" t="n">
        <v>20</v>
      </c>
      <c r="C143" s="48" t="str">
        <f aca="false">A143&amp;"/"&amp;B143</f>
        <v>5/20</v>
      </c>
      <c r="D143" s="48" t="n">
        <f aca="false">A143*100+B143</f>
        <v>520</v>
      </c>
      <c r="E143" s="45" t="n">
        <f aca="false">IF(SUM(J143:K143)&gt;0,前提条件!$B$6,前提条件!$B$8)</f>
        <v>3</v>
      </c>
      <c r="F143" s="48" t="str">
        <f aca="false">IFERROR(INDEX(前提条件!$B$12:$B$15,MATCH(1,L143:O143,0)),"未設定")</f>
        <v>標準形</v>
      </c>
      <c r="G143" s="48" t="str">
        <f aca="false">IFERROR(INDEX(前提条件!$C$12:$C$15,MATCH(1,L143:O143,0)),"未設定")</f>
        <v>標準期</v>
      </c>
      <c r="H143" s="44" t="str">
        <f aca="false">"S値+"&amp;E143&amp;"／"&amp;F143&amp;"（"&amp;G143&amp;"）"</f>
        <v>S値+3／標準形（標準期）</v>
      </c>
      <c r="J143" s="14" t="n">
        <f aca="false">IF(IF(前提条件!$G$6&lt;=前提条件!$H$6,AND($D143&gt;=前提条件!$G$6,$D143&lt;=前提条件!$H$6),OR($D143&gt;=前提条件!$G$6,$D143&lt;=前提条件!$H$6)),1,0)</f>
        <v>0</v>
      </c>
      <c r="K143" s="14" t="n">
        <f aca="false">IF(IF(前提条件!$G$7&lt;=前提条件!$H$7,AND($D143&gt;=前提条件!$G$7,$D143&lt;=前提条件!$H$7),OR($D143&gt;=前提条件!$G$7,$D143&lt;=前提条件!$H$7)),1,0)</f>
        <v>0</v>
      </c>
      <c r="L143" s="14" t="n">
        <f aca="false">IF(IF(前提条件!$H$12&lt;=前提条件!$I$12,AND($D143&gt;=前提条件!$H$12,$D143&lt;=前提条件!$I$12),OR($D143&gt;=前提条件!$H$12,$D143&lt;=前提条件!$I$12)),1,0)</f>
        <v>1</v>
      </c>
      <c r="M143" s="14" t="n">
        <f aca="false">IF(IF(前提条件!$H$13&lt;=前提条件!$I$13,AND($D143&gt;=前提条件!$H$13,$D143&lt;=前提条件!$I$13),OR($D143&gt;=前提条件!$H$13,$D143&lt;=前提条件!$I$13)),1,0)</f>
        <v>0</v>
      </c>
      <c r="N143" s="14" t="n">
        <f aca="false">IF(IF(前提条件!$H$14&lt;=前提条件!$I$14,AND($D143&gt;=前提条件!$H$14,$D143&lt;=前提条件!$I$14),OR($D143&gt;=前提条件!$H$14,$D143&lt;=前提条件!$I$14)),1,0)</f>
        <v>0</v>
      </c>
      <c r="O143" s="14" t="n">
        <f aca="false">IF(IF(前提条件!$H$15&lt;=前提条件!$I$15,AND($D143&gt;=前提条件!$H$15,$D143&lt;=前提条件!$I$15),OR($D143&gt;=前提条件!$H$15,$D143&lt;=前提条件!$I$15)),1,0)</f>
        <v>0</v>
      </c>
    </row>
    <row r="144" customFormat="false" ht="15" hidden="false" customHeight="false" outlineLevel="0" collapsed="false">
      <c r="A144" s="48" t="n">
        <v>5</v>
      </c>
      <c r="B144" s="48" t="n">
        <v>21</v>
      </c>
      <c r="C144" s="48" t="str">
        <f aca="false">A144&amp;"/"&amp;B144</f>
        <v>5/21</v>
      </c>
      <c r="D144" s="48" t="n">
        <f aca="false">A144*100+B144</f>
        <v>521</v>
      </c>
      <c r="E144" s="45" t="n">
        <f aca="false">IF(SUM(J144:K144)&gt;0,前提条件!$B$6,前提条件!$B$8)</f>
        <v>3</v>
      </c>
      <c r="F144" s="48" t="str">
        <f aca="false">IFERROR(INDEX(前提条件!$B$12:$B$15,MATCH(1,L144:O144,0)),"未設定")</f>
        <v>標準形</v>
      </c>
      <c r="G144" s="48" t="str">
        <f aca="false">IFERROR(INDEX(前提条件!$C$12:$C$15,MATCH(1,L144:O144,0)),"未設定")</f>
        <v>標準期</v>
      </c>
      <c r="H144" s="44" t="str">
        <f aca="false">"S値+"&amp;E144&amp;"／"&amp;F144&amp;"（"&amp;G144&amp;"）"</f>
        <v>S値+3／標準形（標準期）</v>
      </c>
      <c r="J144" s="14" t="n">
        <f aca="false">IF(IF(前提条件!$G$6&lt;=前提条件!$H$6,AND($D144&gt;=前提条件!$G$6,$D144&lt;=前提条件!$H$6),OR($D144&gt;=前提条件!$G$6,$D144&lt;=前提条件!$H$6)),1,0)</f>
        <v>0</v>
      </c>
      <c r="K144" s="14" t="n">
        <f aca="false">IF(IF(前提条件!$G$7&lt;=前提条件!$H$7,AND($D144&gt;=前提条件!$G$7,$D144&lt;=前提条件!$H$7),OR($D144&gt;=前提条件!$G$7,$D144&lt;=前提条件!$H$7)),1,0)</f>
        <v>0</v>
      </c>
      <c r="L144" s="14" t="n">
        <f aca="false">IF(IF(前提条件!$H$12&lt;=前提条件!$I$12,AND($D144&gt;=前提条件!$H$12,$D144&lt;=前提条件!$I$12),OR($D144&gt;=前提条件!$H$12,$D144&lt;=前提条件!$I$12)),1,0)</f>
        <v>1</v>
      </c>
      <c r="M144" s="14" t="n">
        <f aca="false">IF(IF(前提条件!$H$13&lt;=前提条件!$I$13,AND($D144&gt;=前提条件!$H$13,$D144&lt;=前提条件!$I$13),OR($D144&gt;=前提条件!$H$13,$D144&lt;=前提条件!$I$13)),1,0)</f>
        <v>0</v>
      </c>
      <c r="N144" s="14" t="n">
        <f aca="false">IF(IF(前提条件!$H$14&lt;=前提条件!$I$14,AND($D144&gt;=前提条件!$H$14,$D144&lt;=前提条件!$I$14),OR($D144&gt;=前提条件!$H$14,$D144&lt;=前提条件!$I$14)),1,0)</f>
        <v>0</v>
      </c>
      <c r="O144" s="14" t="n">
        <f aca="false">IF(IF(前提条件!$H$15&lt;=前提条件!$I$15,AND($D144&gt;=前提条件!$H$15,$D144&lt;=前提条件!$I$15),OR($D144&gt;=前提条件!$H$15,$D144&lt;=前提条件!$I$15)),1,0)</f>
        <v>0</v>
      </c>
    </row>
    <row r="145" customFormat="false" ht="15" hidden="false" customHeight="false" outlineLevel="0" collapsed="false">
      <c r="A145" s="48" t="n">
        <v>5</v>
      </c>
      <c r="B145" s="48" t="n">
        <v>22</v>
      </c>
      <c r="C145" s="48" t="str">
        <f aca="false">A145&amp;"/"&amp;B145</f>
        <v>5/22</v>
      </c>
      <c r="D145" s="48" t="n">
        <f aca="false">A145*100+B145</f>
        <v>522</v>
      </c>
      <c r="E145" s="45" t="n">
        <f aca="false">IF(SUM(J145:K145)&gt;0,前提条件!$B$6,前提条件!$B$8)</f>
        <v>3</v>
      </c>
      <c r="F145" s="48" t="str">
        <f aca="false">IFERROR(INDEX(前提条件!$B$12:$B$15,MATCH(1,L145:O145,0)),"未設定")</f>
        <v>標準形</v>
      </c>
      <c r="G145" s="48" t="str">
        <f aca="false">IFERROR(INDEX(前提条件!$C$12:$C$15,MATCH(1,L145:O145,0)),"未設定")</f>
        <v>標準期</v>
      </c>
      <c r="H145" s="44" t="str">
        <f aca="false">"S値+"&amp;E145&amp;"／"&amp;F145&amp;"（"&amp;G145&amp;"）"</f>
        <v>S値+3／標準形（標準期）</v>
      </c>
      <c r="J145" s="14" t="n">
        <f aca="false">IF(IF(前提条件!$G$6&lt;=前提条件!$H$6,AND($D145&gt;=前提条件!$G$6,$D145&lt;=前提条件!$H$6),OR($D145&gt;=前提条件!$G$6,$D145&lt;=前提条件!$H$6)),1,0)</f>
        <v>0</v>
      </c>
      <c r="K145" s="14" t="n">
        <f aca="false">IF(IF(前提条件!$G$7&lt;=前提条件!$H$7,AND($D145&gt;=前提条件!$G$7,$D145&lt;=前提条件!$H$7),OR($D145&gt;=前提条件!$G$7,$D145&lt;=前提条件!$H$7)),1,0)</f>
        <v>0</v>
      </c>
      <c r="L145" s="14" t="n">
        <f aca="false">IF(IF(前提条件!$H$12&lt;=前提条件!$I$12,AND($D145&gt;=前提条件!$H$12,$D145&lt;=前提条件!$I$12),OR($D145&gt;=前提条件!$H$12,$D145&lt;=前提条件!$I$12)),1,0)</f>
        <v>1</v>
      </c>
      <c r="M145" s="14" t="n">
        <f aca="false">IF(IF(前提条件!$H$13&lt;=前提条件!$I$13,AND($D145&gt;=前提条件!$H$13,$D145&lt;=前提条件!$I$13),OR($D145&gt;=前提条件!$H$13,$D145&lt;=前提条件!$I$13)),1,0)</f>
        <v>0</v>
      </c>
      <c r="N145" s="14" t="n">
        <f aca="false">IF(IF(前提条件!$H$14&lt;=前提条件!$I$14,AND($D145&gt;=前提条件!$H$14,$D145&lt;=前提条件!$I$14),OR($D145&gt;=前提条件!$H$14,$D145&lt;=前提条件!$I$14)),1,0)</f>
        <v>0</v>
      </c>
      <c r="O145" s="14" t="n">
        <f aca="false">IF(IF(前提条件!$H$15&lt;=前提条件!$I$15,AND($D145&gt;=前提条件!$H$15,$D145&lt;=前提条件!$I$15),OR($D145&gt;=前提条件!$H$15,$D145&lt;=前提条件!$I$15)),1,0)</f>
        <v>0</v>
      </c>
    </row>
    <row r="146" customFormat="false" ht="15" hidden="false" customHeight="false" outlineLevel="0" collapsed="false">
      <c r="A146" s="48" t="n">
        <v>5</v>
      </c>
      <c r="B146" s="48" t="n">
        <v>23</v>
      </c>
      <c r="C146" s="48" t="str">
        <f aca="false">A146&amp;"/"&amp;B146</f>
        <v>5/23</v>
      </c>
      <c r="D146" s="48" t="n">
        <f aca="false">A146*100+B146</f>
        <v>523</v>
      </c>
      <c r="E146" s="45" t="n">
        <f aca="false">IF(SUM(J146:K146)&gt;0,前提条件!$B$6,前提条件!$B$8)</f>
        <v>3</v>
      </c>
      <c r="F146" s="48" t="str">
        <f aca="false">IFERROR(INDEX(前提条件!$B$12:$B$15,MATCH(1,L146:O146,0)),"未設定")</f>
        <v>標準形</v>
      </c>
      <c r="G146" s="48" t="str">
        <f aca="false">IFERROR(INDEX(前提条件!$C$12:$C$15,MATCH(1,L146:O146,0)),"未設定")</f>
        <v>標準期</v>
      </c>
      <c r="H146" s="44" t="str">
        <f aca="false">"S値+"&amp;E146&amp;"／"&amp;F146&amp;"（"&amp;G146&amp;"）"</f>
        <v>S値+3／標準形（標準期）</v>
      </c>
      <c r="J146" s="14" t="n">
        <f aca="false">IF(IF(前提条件!$G$6&lt;=前提条件!$H$6,AND($D146&gt;=前提条件!$G$6,$D146&lt;=前提条件!$H$6),OR($D146&gt;=前提条件!$G$6,$D146&lt;=前提条件!$H$6)),1,0)</f>
        <v>0</v>
      </c>
      <c r="K146" s="14" t="n">
        <f aca="false">IF(IF(前提条件!$G$7&lt;=前提条件!$H$7,AND($D146&gt;=前提条件!$G$7,$D146&lt;=前提条件!$H$7),OR($D146&gt;=前提条件!$G$7,$D146&lt;=前提条件!$H$7)),1,0)</f>
        <v>0</v>
      </c>
      <c r="L146" s="14" t="n">
        <f aca="false">IF(IF(前提条件!$H$12&lt;=前提条件!$I$12,AND($D146&gt;=前提条件!$H$12,$D146&lt;=前提条件!$I$12),OR($D146&gt;=前提条件!$H$12,$D146&lt;=前提条件!$I$12)),1,0)</f>
        <v>1</v>
      </c>
      <c r="M146" s="14" t="n">
        <f aca="false">IF(IF(前提条件!$H$13&lt;=前提条件!$I$13,AND($D146&gt;=前提条件!$H$13,$D146&lt;=前提条件!$I$13),OR($D146&gt;=前提条件!$H$13,$D146&lt;=前提条件!$I$13)),1,0)</f>
        <v>0</v>
      </c>
      <c r="N146" s="14" t="n">
        <f aca="false">IF(IF(前提条件!$H$14&lt;=前提条件!$I$14,AND($D146&gt;=前提条件!$H$14,$D146&lt;=前提条件!$I$14),OR($D146&gt;=前提条件!$H$14,$D146&lt;=前提条件!$I$14)),1,0)</f>
        <v>0</v>
      </c>
      <c r="O146" s="14" t="n">
        <f aca="false">IF(IF(前提条件!$H$15&lt;=前提条件!$I$15,AND($D146&gt;=前提条件!$H$15,$D146&lt;=前提条件!$I$15),OR($D146&gt;=前提条件!$H$15,$D146&lt;=前提条件!$I$15)),1,0)</f>
        <v>0</v>
      </c>
    </row>
    <row r="147" customFormat="false" ht="15" hidden="false" customHeight="false" outlineLevel="0" collapsed="false">
      <c r="A147" s="48" t="n">
        <v>5</v>
      </c>
      <c r="B147" s="48" t="n">
        <v>24</v>
      </c>
      <c r="C147" s="48" t="str">
        <f aca="false">A147&amp;"/"&amp;B147</f>
        <v>5/24</v>
      </c>
      <c r="D147" s="48" t="n">
        <f aca="false">A147*100+B147</f>
        <v>524</v>
      </c>
      <c r="E147" s="45" t="n">
        <f aca="false">IF(SUM(J147:K147)&gt;0,前提条件!$B$6,前提条件!$B$8)</f>
        <v>3</v>
      </c>
      <c r="F147" s="48" t="str">
        <f aca="false">IFERROR(INDEX(前提条件!$B$12:$B$15,MATCH(1,L147:O147,0)),"未設定")</f>
        <v>標準形</v>
      </c>
      <c r="G147" s="48" t="str">
        <f aca="false">IFERROR(INDEX(前提条件!$C$12:$C$15,MATCH(1,L147:O147,0)),"未設定")</f>
        <v>標準期</v>
      </c>
      <c r="H147" s="44" t="str">
        <f aca="false">"S値+"&amp;E147&amp;"／"&amp;F147&amp;"（"&amp;G147&amp;"）"</f>
        <v>S値+3／標準形（標準期）</v>
      </c>
      <c r="J147" s="14" t="n">
        <f aca="false">IF(IF(前提条件!$G$6&lt;=前提条件!$H$6,AND($D147&gt;=前提条件!$G$6,$D147&lt;=前提条件!$H$6),OR($D147&gt;=前提条件!$G$6,$D147&lt;=前提条件!$H$6)),1,0)</f>
        <v>0</v>
      </c>
      <c r="K147" s="14" t="n">
        <f aca="false">IF(IF(前提条件!$G$7&lt;=前提条件!$H$7,AND($D147&gt;=前提条件!$G$7,$D147&lt;=前提条件!$H$7),OR($D147&gt;=前提条件!$G$7,$D147&lt;=前提条件!$H$7)),1,0)</f>
        <v>0</v>
      </c>
      <c r="L147" s="14" t="n">
        <f aca="false">IF(IF(前提条件!$H$12&lt;=前提条件!$I$12,AND($D147&gt;=前提条件!$H$12,$D147&lt;=前提条件!$I$12),OR($D147&gt;=前提条件!$H$12,$D147&lt;=前提条件!$I$12)),1,0)</f>
        <v>1</v>
      </c>
      <c r="M147" s="14" t="n">
        <f aca="false">IF(IF(前提条件!$H$13&lt;=前提条件!$I$13,AND($D147&gt;=前提条件!$H$13,$D147&lt;=前提条件!$I$13),OR($D147&gt;=前提条件!$H$13,$D147&lt;=前提条件!$I$13)),1,0)</f>
        <v>0</v>
      </c>
      <c r="N147" s="14" t="n">
        <f aca="false">IF(IF(前提条件!$H$14&lt;=前提条件!$I$14,AND($D147&gt;=前提条件!$H$14,$D147&lt;=前提条件!$I$14),OR($D147&gt;=前提条件!$H$14,$D147&lt;=前提条件!$I$14)),1,0)</f>
        <v>0</v>
      </c>
      <c r="O147" s="14" t="n">
        <f aca="false">IF(IF(前提条件!$H$15&lt;=前提条件!$I$15,AND($D147&gt;=前提条件!$H$15,$D147&lt;=前提条件!$I$15),OR($D147&gt;=前提条件!$H$15,$D147&lt;=前提条件!$I$15)),1,0)</f>
        <v>0</v>
      </c>
    </row>
    <row r="148" customFormat="false" ht="15" hidden="false" customHeight="false" outlineLevel="0" collapsed="false">
      <c r="A148" s="48" t="n">
        <v>5</v>
      </c>
      <c r="B148" s="48" t="n">
        <v>25</v>
      </c>
      <c r="C148" s="48" t="str">
        <f aca="false">A148&amp;"/"&amp;B148</f>
        <v>5/25</v>
      </c>
      <c r="D148" s="48" t="n">
        <f aca="false">A148*100+B148</f>
        <v>525</v>
      </c>
      <c r="E148" s="45" t="n">
        <f aca="false">IF(SUM(J148:K148)&gt;0,前提条件!$B$6,前提条件!$B$8)</f>
        <v>3</v>
      </c>
      <c r="F148" s="48" t="str">
        <f aca="false">IFERROR(INDEX(前提条件!$B$12:$B$15,MATCH(1,L148:O148,0)),"未設定")</f>
        <v>標準形</v>
      </c>
      <c r="G148" s="48" t="str">
        <f aca="false">IFERROR(INDEX(前提条件!$C$12:$C$15,MATCH(1,L148:O148,0)),"未設定")</f>
        <v>標準期</v>
      </c>
      <c r="H148" s="44" t="str">
        <f aca="false">"S値+"&amp;E148&amp;"／"&amp;F148&amp;"（"&amp;G148&amp;"）"</f>
        <v>S値+3／標準形（標準期）</v>
      </c>
      <c r="J148" s="14" t="n">
        <f aca="false">IF(IF(前提条件!$G$6&lt;=前提条件!$H$6,AND($D148&gt;=前提条件!$G$6,$D148&lt;=前提条件!$H$6),OR($D148&gt;=前提条件!$G$6,$D148&lt;=前提条件!$H$6)),1,0)</f>
        <v>0</v>
      </c>
      <c r="K148" s="14" t="n">
        <f aca="false">IF(IF(前提条件!$G$7&lt;=前提条件!$H$7,AND($D148&gt;=前提条件!$G$7,$D148&lt;=前提条件!$H$7),OR($D148&gt;=前提条件!$G$7,$D148&lt;=前提条件!$H$7)),1,0)</f>
        <v>0</v>
      </c>
      <c r="L148" s="14" t="n">
        <f aca="false">IF(IF(前提条件!$H$12&lt;=前提条件!$I$12,AND($D148&gt;=前提条件!$H$12,$D148&lt;=前提条件!$I$12),OR($D148&gt;=前提条件!$H$12,$D148&lt;=前提条件!$I$12)),1,0)</f>
        <v>1</v>
      </c>
      <c r="M148" s="14" t="n">
        <f aca="false">IF(IF(前提条件!$H$13&lt;=前提条件!$I$13,AND($D148&gt;=前提条件!$H$13,$D148&lt;=前提条件!$I$13),OR($D148&gt;=前提条件!$H$13,$D148&lt;=前提条件!$I$13)),1,0)</f>
        <v>0</v>
      </c>
      <c r="N148" s="14" t="n">
        <f aca="false">IF(IF(前提条件!$H$14&lt;=前提条件!$I$14,AND($D148&gt;=前提条件!$H$14,$D148&lt;=前提条件!$I$14),OR($D148&gt;=前提条件!$H$14,$D148&lt;=前提条件!$I$14)),1,0)</f>
        <v>0</v>
      </c>
      <c r="O148" s="14" t="n">
        <f aca="false">IF(IF(前提条件!$H$15&lt;=前提条件!$I$15,AND($D148&gt;=前提条件!$H$15,$D148&lt;=前提条件!$I$15),OR($D148&gt;=前提条件!$H$15,$D148&lt;=前提条件!$I$15)),1,0)</f>
        <v>0</v>
      </c>
    </row>
    <row r="149" customFormat="false" ht="15" hidden="false" customHeight="false" outlineLevel="0" collapsed="false">
      <c r="A149" s="48" t="n">
        <v>5</v>
      </c>
      <c r="B149" s="48" t="n">
        <v>26</v>
      </c>
      <c r="C149" s="48" t="str">
        <f aca="false">A149&amp;"/"&amp;B149</f>
        <v>5/26</v>
      </c>
      <c r="D149" s="48" t="n">
        <f aca="false">A149*100+B149</f>
        <v>526</v>
      </c>
      <c r="E149" s="45" t="n">
        <f aca="false">IF(SUM(J149:K149)&gt;0,前提条件!$B$6,前提条件!$B$8)</f>
        <v>3</v>
      </c>
      <c r="F149" s="48" t="str">
        <f aca="false">IFERROR(INDEX(前提条件!$B$12:$B$15,MATCH(1,L149:O149,0)),"未設定")</f>
        <v>標準形</v>
      </c>
      <c r="G149" s="48" t="str">
        <f aca="false">IFERROR(INDEX(前提条件!$C$12:$C$15,MATCH(1,L149:O149,0)),"未設定")</f>
        <v>標準期</v>
      </c>
      <c r="H149" s="44" t="str">
        <f aca="false">"S値+"&amp;E149&amp;"／"&amp;F149&amp;"（"&amp;G149&amp;"）"</f>
        <v>S値+3／標準形（標準期）</v>
      </c>
      <c r="J149" s="14" t="n">
        <f aca="false">IF(IF(前提条件!$G$6&lt;=前提条件!$H$6,AND($D149&gt;=前提条件!$G$6,$D149&lt;=前提条件!$H$6),OR($D149&gt;=前提条件!$G$6,$D149&lt;=前提条件!$H$6)),1,0)</f>
        <v>0</v>
      </c>
      <c r="K149" s="14" t="n">
        <f aca="false">IF(IF(前提条件!$G$7&lt;=前提条件!$H$7,AND($D149&gt;=前提条件!$G$7,$D149&lt;=前提条件!$H$7),OR($D149&gt;=前提条件!$G$7,$D149&lt;=前提条件!$H$7)),1,0)</f>
        <v>0</v>
      </c>
      <c r="L149" s="14" t="n">
        <f aca="false">IF(IF(前提条件!$H$12&lt;=前提条件!$I$12,AND($D149&gt;=前提条件!$H$12,$D149&lt;=前提条件!$I$12),OR($D149&gt;=前提条件!$H$12,$D149&lt;=前提条件!$I$12)),1,0)</f>
        <v>1</v>
      </c>
      <c r="M149" s="14" t="n">
        <f aca="false">IF(IF(前提条件!$H$13&lt;=前提条件!$I$13,AND($D149&gt;=前提条件!$H$13,$D149&lt;=前提条件!$I$13),OR($D149&gt;=前提条件!$H$13,$D149&lt;=前提条件!$I$13)),1,0)</f>
        <v>0</v>
      </c>
      <c r="N149" s="14" t="n">
        <f aca="false">IF(IF(前提条件!$H$14&lt;=前提条件!$I$14,AND($D149&gt;=前提条件!$H$14,$D149&lt;=前提条件!$I$14),OR($D149&gt;=前提条件!$H$14,$D149&lt;=前提条件!$I$14)),1,0)</f>
        <v>0</v>
      </c>
      <c r="O149" s="14" t="n">
        <f aca="false">IF(IF(前提条件!$H$15&lt;=前提条件!$I$15,AND($D149&gt;=前提条件!$H$15,$D149&lt;=前提条件!$I$15),OR($D149&gt;=前提条件!$H$15,$D149&lt;=前提条件!$I$15)),1,0)</f>
        <v>0</v>
      </c>
    </row>
    <row r="150" customFormat="false" ht="15" hidden="false" customHeight="false" outlineLevel="0" collapsed="false">
      <c r="A150" s="48" t="n">
        <v>5</v>
      </c>
      <c r="B150" s="48" t="n">
        <v>27</v>
      </c>
      <c r="C150" s="48" t="str">
        <f aca="false">A150&amp;"/"&amp;B150</f>
        <v>5/27</v>
      </c>
      <c r="D150" s="48" t="n">
        <f aca="false">A150*100+B150</f>
        <v>527</v>
      </c>
      <c r="E150" s="45" t="n">
        <f aca="false">IF(SUM(J150:K150)&gt;0,前提条件!$B$6,前提条件!$B$8)</f>
        <v>3</v>
      </c>
      <c r="F150" s="48" t="str">
        <f aca="false">IFERROR(INDEX(前提条件!$B$12:$B$15,MATCH(1,L150:O150,0)),"未設定")</f>
        <v>標準形</v>
      </c>
      <c r="G150" s="48" t="str">
        <f aca="false">IFERROR(INDEX(前提条件!$C$12:$C$15,MATCH(1,L150:O150,0)),"未設定")</f>
        <v>標準期</v>
      </c>
      <c r="H150" s="44" t="str">
        <f aca="false">"S値+"&amp;E150&amp;"／"&amp;F150&amp;"（"&amp;G150&amp;"）"</f>
        <v>S値+3／標準形（標準期）</v>
      </c>
      <c r="J150" s="14" t="n">
        <f aca="false">IF(IF(前提条件!$G$6&lt;=前提条件!$H$6,AND($D150&gt;=前提条件!$G$6,$D150&lt;=前提条件!$H$6),OR($D150&gt;=前提条件!$G$6,$D150&lt;=前提条件!$H$6)),1,0)</f>
        <v>0</v>
      </c>
      <c r="K150" s="14" t="n">
        <f aca="false">IF(IF(前提条件!$G$7&lt;=前提条件!$H$7,AND($D150&gt;=前提条件!$G$7,$D150&lt;=前提条件!$H$7),OR($D150&gt;=前提条件!$G$7,$D150&lt;=前提条件!$H$7)),1,0)</f>
        <v>0</v>
      </c>
      <c r="L150" s="14" t="n">
        <f aca="false">IF(IF(前提条件!$H$12&lt;=前提条件!$I$12,AND($D150&gt;=前提条件!$H$12,$D150&lt;=前提条件!$I$12),OR($D150&gt;=前提条件!$H$12,$D150&lt;=前提条件!$I$12)),1,0)</f>
        <v>1</v>
      </c>
      <c r="M150" s="14" t="n">
        <f aca="false">IF(IF(前提条件!$H$13&lt;=前提条件!$I$13,AND($D150&gt;=前提条件!$H$13,$D150&lt;=前提条件!$I$13),OR($D150&gt;=前提条件!$H$13,$D150&lt;=前提条件!$I$13)),1,0)</f>
        <v>0</v>
      </c>
      <c r="N150" s="14" t="n">
        <f aca="false">IF(IF(前提条件!$H$14&lt;=前提条件!$I$14,AND($D150&gt;=前提条件!$H$14,$D150&lt;=前提条件!$I$14),OR($D150&gt;=前提条件!$H$14,$D150&lt;=前提条件!$I$14)),1,0)</f>
        <v>0</v>
      </c>
      <c r="O150" s="14" t="n">
        <f aca="false">IF(IF(前提条件!$H$15&lt;=前提条件!$I$15,AND($D150&gt;=前提条件!$H$15,$D150&lt;=前提条件!$I$15),OR($D150&gt;=前提条件!$H$15,$D150&lt;=前提条件!$I$15)),1,0)</f>
        <v>0</v>
      </c>
    </row>
    <row r="151" customFormat="false" ht="15" hidden="false" customHeight="false" outlineLevel="0" collapsed="false">
      <c r="A151" s="48" t="n">
        <v>5</v>
      </c>
      <c r="B151" s="48" t="n">
        <v>28</v>
      </c>
      <c r="C151" s="48" t="str">
        <f aca="false">A151&amp;"/"&amp;B151</f>
        <v>5/28</v>
      </c>
      <c r="D151" s="48" t="n">
        <f aca="false">A151*100+B151</f>
        <v>528</v>
      </c>
      <c r="E151" s="45" t="n">
        <f aca="false">IF(SUM(J151:K151)&gt;0,前提条件!$B$6,前提条件!$B$8)</f>
        <v>3</v>
      </c>
      <c r="F151" s="48" t="str">
        <f aca="false">IFERROR(INDEX(前提条件!$B$12:$B$15,MATCH(1,L151:O151,0)),"未設定")</f>
        <v>標準形</v>
      </c>
      <c r="G151" s="48" t="str">
        <f aca="false">IFERROR(INDEX(前提条件!$C$12:$C$15,MATCH(1,L151:O151,0)),"未設定")</f>
        <v>標準期</v>
      </c>
      <c r="H151" s="44" t="str">
        <f aca="false">"S値+"&amp;E151&amp;"／"&amp;F151&amp;"（"&amp;G151&amp;"）"</f>
        <v>S値+3／標準形（標準期）</v>
      </c>
      <c r="J151" s="14" t="n">
        <f aca="false">IF(IF(前提条件!$G$6&lt;=前提条件!$H$6,AND($D151&gt;=前提条件!$G$6,$D151&lt;=前提条件!$H$6),OR($D151&gt;=前提条件!$G$6,$D151&lt;=前提条件!$H$6)),1,0)</f>
        <v>0</v>
      </c>
      <c r="K151" s="14" t="n">
        <f aca="false">IF(IF(前提条件!$G$7&lt;=前提条件!$H$7,AND($D151&gt;=前提条件!$G$7,$D151&lt;=前提条件!$H$7),OR($D151&gt;=前提条件!$G$7,$D151&lt;=前提条件!$H$7)),1,0)</f>
        <v>0</v>
      </c>
      <c r="L151" s="14" t="n">
        <f aca="false">IF(IF(前提条件!$H$12&lt;=前提条件!$I$12,AND($D151&gt;=前提条件!$H$12,$D151&lt;=前提条件!$I$12),OR($D151&gt;=前提条件!$H$12,$D151&lt;=前提条件!$I$12)),1,0)</f>
        <v>1</v>
      </c>
      <c r="M151" s="14" t="n">
        <f aca="false">IF(IF(前提条件!$H$13&lt;=前提条件!$I$13,AND($D151&gt;=前提条件!$H$13,$D151&lt;=前提条件!$I$13),OR($D151&gt;=前提条件!$H$13,$D151&lt;=前提条件!$I$13)),1,0)</f>
        <v>0</v>
      </c>
      <c r="N151" s="14" t="n">
        <f aca="false">IF(IF(前提条件!$H$14&lt;=前提条件!$I$14,AND($D151&gt;=前提条件!$H$14,$D151&lt;=前提条件!$I$14),OR($D151&gt;=前提条件!$H$14,$D151&lt;=前提条件!$I$14)),1,0)</f>
        <v>0</v>
      </c>
      <c r="O151" s="14" t="n">
        <f aca="false">IF(IF(前提条件!$H$15&lt;=前提条件!$I$15,AND($D151&gt;=前提条件!$H$15,$D151&lt;=前提条件!$I$15),OR($D151&gt;=前提条件!$H$15,$D151&lt;=前提条件!$I$15)),1,0)</f>
        <v>0</v>
      </c>
    </row>
    <row r="152" customFormat="false" ht="15" hidden="false" customHeight="false" outlineLevel="0" collapsed="false">
      <c r="A152" s="48" t="n">
        <v>5</v>
      </c>
      <c r="B152" s="48" t="n">
        <v>29</v>
      </c>
      <c r="C152" s="48" t="str">
        <f aca="false">A152&amp;"/"&amp;B152</f>
        <v>5/29</v>
      </c>
      <c r="D152" s="48" t="n">
        <f aca="false">A152*100+B152</f>
        <v>529</v>
      </c>
      <c r="E152" s="45" t="n">
        <f aca="false">IF(SUM(J152:K152)&gt;0,前提条件!$B$6,前提条件!$B$8)</f>
        <v>3</v>
      </c>
      <c r="F152" s="48" t="str">
        <f aca="false">IFERROR(INDEX(前提条件!$B$12:$B$15,MATCH(1,L152:O152,0)),"未設定")</f>
        <v>標準形</v>
      </c>
      <c r="G152" s="48" t="str">
        <f aca="false">IFERROR(INDEX(前提条件!$C$12:$C$15,MATCH(1,L152:O152,0)),"未設定")</f>
        <v>標準期</v>
      </c>
      <c r="H152" s="44" t="str">
        <f aca="false">"S値+"&amp;E152&amp;"／"&amp;F152&amp;"（"&amp;G152&amp;"）"</f>
        <v>S値+3／標準形（標準期）</v>
      </c>
      <c r="J152" s="14" t="n">
        <f aca="false">IF(IF(前提条件!$G$6&lt;=前提条件!$H$6,AND($D152&gt;=前提条件!$G$6,$D152&lt;=前提条件!$H$6),OR($D152&gt;=前提条件!$G$6,$D152&lt;=前提条件!$H$6)),1,0)</f>
        <v>0</v>
      </c>
      <c r="K152" s="14" t="n">
        <f aca="false">IF(IF(前提条件!$G$7&lt;=前提条件!$H$7,AND($D152&gt;=前提条件!$G$7,$D152&lt;=前提条件!$H$7),OR($D152&gt;=前提条件!$G$7,$D152&lt;=前提条件!$H$7)),1,0)</f>
        <v>0</v>
      </c>
      <c r="L152" s="14" t="n">
        <f aca="false">IF(IF(前提条件!$H$12&lt;=前提条件!$I$12,AND($D152&gt;=前提条件!$H$12,$D152&lt;=前提条件!$I$12),OR($D152&gt;=前提条件!$H$12,$D152&lt;=前提条件!$I$12)),1,0)</f>
        <v>1</v>
      </c>
      <c r="M152" s="14" t="n">
        <f aca="false">IF(IF(前提条件!$H$13&lt;=前提条件!$I$13,AND($D152&gt;=前提条件!$H$13,$D152&lt;=前提条件!$I$13),OR($D152&gt;=前提条件!$H$13,$D152&lt;=前提条件!$I$13)),1,0)</f>
        <v>0</v>
      </c>
      <c r="N152" s="14" t="n">
        <f aca="false">IF(IF(前提条件!$H$14&lt;=前提条件!$I$14,AND($D152&gt;=前提条件!$H$14,$D152&lt;=前提条件!$I$14),OR($D152&gt;=前提条件!$H$14,$D152&lt;=前提条件!$I$14)),1,0)</f>
        <v>0</v>
      </c>
      <c r="O152" s="14" t="n">
        <f aca="false">IF(IF(前提条件!$H$15&lt;=前提条件!$I$15,AND($D152&gt;=前提条件!$H$15,$D152&lt;=前提条件!$I$15),OR($D152&gt;=前提条件!$H$15,$D152&lt;=前提条件!$I$15)),1,0)</f>
        <v>0</v>
      </c>
    </row>
    <row r="153" customFormat="false" ht="15" hidden="false" customHeight="false" outlineLevel="0" collapsed="false">
      <c r="A153" s="48" t="n">
        <v>5</v>
      </c>
      <c r="B153" s="48" t="n">
        <v>30</v>
      </c>
      <c r="C153" s="48" t="str">
        <f aca="false">A153&amp;"/"&amp;B153</f>
        <v>5/30</v>
      </c>
      <c r="D153" s="48" t="n">
        <f aca="false">A153*100+B153</f>
        <v>530</v>
      </c>
      <c r="E153" s="45" t="n">
        <f aca="false">IF(SUM(J153:K153)&gt;0,前提条件!$B$6,前提条件!$B$8)</f>
        <v>3</v>
      </c>
      <c r="F153" s="48" t="str">
        <f aca="false">IFERROR(INDEX(前提条件!$B$12:$B$15,MATCH(1,L153:O153,0)),"未設定")</f>
        <v>標準形</v>
      </c>
      <c r="G153" s="48" t="str">
        <f aca="false">IFERROR(INDEX(前提条件!$C$12:$C$15,MATCH(1,L153:O153,0)),"未設定")</f>
        <v>標準期</v>
      </c>
      <c r="H153" s="44" t="str">
        <f aca="false">"S値+"&amp;E153&amp;"／"&amp;F153&amp;"（"&amp;G153&amp;"）"</f>
        <v>S値+3／標準形（標準期）</v>
      </c>
      <c r="J153" s="14" t="n">
        <f aca="false">IF(IF(前提条件!$G$6&lt;=前提条件!$H$6,AND($D153&gt;=前提条件!$G$6,$D153&lt;=前提条件!$H$6),OR($D153&gt;=前提条件!$G$6,$D153&lt;=前提条件!$H$6)),1,0)</f>
        <v>0</v>
      </c>
      <c r="K153" s="14" t="n">
        <f aca="false">IF(IF(前提条件!$G$7&lt;=前提条件!$H$7,AND($D153&gt;=前提条件!$G$7,$D153&lt;=前提条件!$H$7),OR($D153&gt;=前提条件!$G$7,$D153&lt;=前提条件!$H$7)),1,0)</f>
        <v>0</v>
      </c>
      <c r="L153" s="14" t="n">
        <f aca="false">IF(IF(前提条件!$H$12&lt;=前提条件!$I$12,AND($D153&gt;=前提条件!$H$12,$D153&lt;=前提条件!$I$12),OR($D153&gt;=前提条件!$H$12,$D153&lt;=前提条件!$I$12)),1,0)</f>
        <v>1</v>
      </c>
      <c r="M153" s="14" t="n">
        <f aca="false">IF(IF(前提条件!$H$13&lt;=前提条件!$I$13,AND($D153&gt;=前提条件!$H$13,$D153&lt;=前提条件!$I$13),OR($D153&gt;=前提条件!$H$13,$D153&lt;=前提条件!$I$13)),1,0)</f>
        <v>0</v>
      </c>
      <c r="N153" s="14" t="n">
        <f aca="false">IF(IF(前提条件!$H$14&lt;=前提条件!$I$14,AND($D153&gt;=前提条件!$H$14,$D153&lt;=前提条件!$I$14),OR($D153&gt;=前提条件!$H$14,$D153&lt;=前提条件!$I$14)),1,0)</f>
        <v>0</v>
      </c>
      <c r="O153" s="14" t="n">
        <f aca="false">IF(IF(前提条件!$H$15&lt;=前提条件!$I$15,AND($D153&gt;=前提条件!$H$15,$D153&lt;=前提条件!$I$15),OR($D153&gt;=前提条件!$H$15,$D153&lt;=前提条件!$I$15)),1,0)</f>
        <v>0</v>
      </c>
    </row>
    <row r="154" customFormat="false" ht="15" hidden="false" customHeight="false" outlineLevel="0" collapsed="false">
      <c r="A154" s="48" t="n">
        <v>5</v>
      </c>
      <c r="B154" s="48" t="n">
        <v>31</v>
      </c>
      <c r="C154" s="48" t="str">
        <f aca="false">A154&amp;"/"&amp;B154</f>
        <v>5/31</v>
      </c>
      <c r="D154" s="48" t="n">
        <f aca="false">A154*100+B154</f>
        <v>531</v>
      </c>
      <c r="E154" s="45" t="n">
        <f aca="false">IF(SUM(J154:K154)&gt;0,前提条件!$B$6,前提条件!$B$8)</f>
        <v>3</v>
      </c>
      <c r="F154" s="48" t="str">
        <f aca="false">IFERROR(INDEX(前提条件!$B$12:$B$15,MATCH(1,L154:O154,0)),"未設定")</f>
        <v>標準形</v>
      </c>
      <c r="G154" s="48" t="str">
        <f aca="false">IFERROR(INDEX(前提条件!$C$12:$C$15,MATCH(1,L154:O154,0)),"未設定")</f>
        <v>標準期</v>
      </c>
      <c r="H154" s="44" t="str">
        <f aca="false">"S値+"&amp;E154&amp;"／"&amp;F154&amp;"（"&amp;G154&amp;"）"</f>
        <v>S値+3／標準形（標準期）</v>
      </c>
      <c r="J154" s="14" t="n">
        <f aca="false">IF(IF(前提条件!$G$6&lt;=前提条件!$H$6,AND($D154&gt;=前提条件!$G$6,$D154&lt;=前提条件!$H$6),OR($D154&gt;=前提条件!$G$6,$D154&lt;=前提条件!$H$6)),1,0)</f>
        <v>0</v>
      </c>
      <c r="K154" s="14" t="n">
        <f aca="false">IF(IF(前提条件!$G$7&lt;=前提条件!$H$7,AND($D154&gt;=前提条件!$G$7,$D154&lt;=前提条件!$H$7),OR($D154&gt;=前提条件!$G$7,$D154&lt;=前提条件!$H$7)),1,0)</f>
        <v>0</v>
      </c>
      <c r="L154" s="14" t="n">
        <f aca="false">IF(IF(前提条件!$H$12&lt;=前提条件!$I$12,AND($D154&gt;=前提条件!$H$12,$D154&lt;=前提条件!$I$12),OR($D154&gt;=前提条件!$H$12,$D154&lt;=前提条件!$I$12)),1,0)</f>
        <v>1</v>
      </c>
      <c r="M154" s="14" t="n">
        <f aca="false">IF(IF(前提条件!$H$13&lt;=前提条件!$I$13,AND($D154&gt;=前提条件!$H$13,$D154&lt;=前提条件!$I$13),OR($D154&gt;=前提条件!$H$13,$D154&lt;=前提条件!$I$13)),1,0)</f>
        <v>0</v>
      </c>
      <c r="N154" s="14" t="n">
        <f aca="false">IF(IF(前提条件!$H$14&lt;=前提条件!$I$14,AND($D154&gt;=前提条件!$H$14,$D154&lt;=前提条件!$I$14),OR($D154&gt;=前提条件!$H$14,$D154&lt;=前提条件!$I$14)),1,0)</f>
        <v>0</v>
      </c>
      <c r="O154" s="14" t="n">
        <f aca="false">IF(IF(前提条件!$H$15&lt;=前提条件!$I$15,AND($D154&gt;=前提条件!$H$15,$D154&lt;=前提条件!$I$15),OR($D154&gt;=前提条件!$H$15,$D154&lt;=前提条件!$I$15)),1,0)</f>
        <v>0</v>
      </c>
    </row>
    <row r="155" customFormat="false" ht="15" hidden="false" customHeight="false" outlineLevel="0" collapsed="false">
      <c r="A155" s="48" t="n">
        <v>6</v>
      </c>
      <c r="B155" s="48" t="n">
        <v>1</v>
      </c>
      <c r="C155" s="48" t="str">
        <f aca="false">A155&amp;"/"&amp;B155</f>
        <v>6/1</v>
      </c>
      <c r="D155" s="48" t="n">
        <f aca="false">A155*100+B155</f>
        <v>601</v>
      </c>
      <c r="E155" s="45" t="n">
        <f aca="false">IF(SUM(J155:K155)&gt;0,前提条件!$B$6,前提条件!$B$8)</f>
        <v>3</v>
      </c>
      <c r="F155" s="48" t="str">
        <f aca="false">IFERROR(INDEX(前提条件!$B$12:$B$15,MATCH(1,L155:O155,0)),"未設定")</f>
        <v>標準形</v>
      </c>
      <c r="G155" s="48" t="str">
        <f aca="false">IFERROR(INDEX(前提条件!$C$12:$C$15,MATCH(1,L155:O155,0)),"未設定")</f>
        <v>標準期</v>
      </c>
      <c r="H155" s="44" t="str">
        <f aca="false">"S値+"&amp;E155&amp;"／"&amp;F155&amp;"（"&amp;G155&amp;"）"</f>
        <v>S値+3／標準形（標準期）</v>
      </c>
      <c r="J155" s="14" t="n">
        <f aca="false">IF(IF(前提条件!$G$6&lt;=前提条件!$H$6,AND($D155&gt;=前提条件!$G$6,$D155&lt;=前提条件!$H$6),OR($D155&gt;=前提条件!$G$6,$D155&lt;=前提条件!$H$6)),1,0)</f>
        <v>0</v>
      </c>
      <c r="K155" s="14" t="n">
        <f aca="false">IF(IF(前提条件!$G$7&lt;=前提条件!$H$7,AND($D155&gt;=前提条件!$G$7,$D155&lt;=前提条件!$H$7),OR($D155&gt;=前提条件!$G$7,$D155&lt;=前提条件!$H$7)),1,0)</f>
        <v>0</v>
      </c>
      <c r="L155" s="14" t="n">
        <f aca="false">IF(IF(前提条件!$H$12&lt;=前提条件!$I$12,AND($D155&gt;=前提条件!$H$12,$D155&lt;=前提条件!$I$12),OR($D155&gt;=前提条件!$H$12,$D155&lt;=前提条件!$I$12)),1,0)</f>
        <v>1</v>
      </c>
      <c r="M155" s="14" t="n">
        <f aca="false">IF(IF(前提条件!$H$13&lt;=前提条件!$I$13,AND($D155&gt;=前提条件!$H$13,$D155&lt;=前提条件!$I$13),OR($D155&gt;=前提条件!$H$13,$D155&lt;=前提条件!$I$13)),1,0)</f>
        <v>0</v>
      </c>
      <c r="N155" s="14" t="n">
        <f aca="false">IF(IF(前提条件!$H$14&lt;=前提条件!$I$14,AND($D155&gt;=前提条件!$H$14,$D155&lt;=前提条件!$I$14),OR($D155&gt;=前提条件!$H$14,$D155&lt;=前提条件!$I$14)),1,0)</f>
        <v>0</v>
      </c>
      <c r="O155" s="14" t="n">
        <f aca="false">IF(IF(前提条件!$H$15&lt;=前提条件!$I$15,AND($D155&gt;=前提条件!$H$15,$D155&lt;=前提条件!$I$15),OR($D155&gt;=前提条件!$H$15,$D155&lt;=前提条件!$I$15)),1,0)</f>
        <v>0</v>
      </c>
    </row>
    <row r="156" customFormat="false" ht="15" hidden="false" customHeight="false" outlineLevel="0" collapsed="false">
      <c r="A156" s="48" t="n">
        <v>6</v>
      </c>
      <c r="B156" s="48" t="n">
        <v>2</v>
      </c>
      <c r="C156" s="48" t="str">
        <f aca="false">A156&amp;"/"&amp;B156</f>
        <v>6/2</v>
      </c>
      <c r="D156" s="48" t="n">
        <f aca="false">A156*100+B156</f>
        <v>602</v>
      </c>
      <c r="E156" s="45" t="n">
        <f aca="false">IF(SUM(J156:K156)&gt;0,前提条件!$B$6,前提条件!$B$8)</f>
        <v>3</v>
      </c>
      <c r="F156" s="48" t="str">
        <f aca="false">IFERROR(INDEX(前提条件!$B$12:$B$15,MATCH(1,L156:O156,0)),"未設定")</f>
        <v>標準形</v>
      </c>
      <c r="G156" s="48" t="str">
        <f aca="false">IFERROR(INDEX(前提条件!$C$12:$C$15,MATCH(1,L156:O156,0)),"未設定")</f>
        <v>標準期</v>
      </c>
      <c r="H156" s="44" t="str">
        <f aca="false">"S値+"&amp;E156&amp;"／"&amp;F156&amp;"（"&amp;G156&amp;"）"</f>
        <v>S値+3／標準形（標準期）</v>
      </c>
      <c r="J156" s="14" t="n">
        <f aca="false">IF(IF(前提条件!$G$6&lt;=前提条件!$H$6,AND($D156&gt;=前提条件!$G$6,$D156&lt;=前提条件!$H$6),OR($D156&gt;=前提条件!$G$6,$D156&lt;=前提条件!$H$6)),1,0)</f>
        <v>0</v>
      </c>
      <c r="K156" s="14" t="n">
        <f aca="false">IF(IF(前提条件!$G$7&lt;=前提条件!$H$7,AND($D156&gt;=前提条件!$G$7,$D156&lt;=前提条件!$H$7),OR($D156&gt;=前提条件!$G$7,$D156&lt;=前提条件!$H$7)),1,0)</f>
        <v>0</v>
      </c>
      <c r="L156" s="14" t="n">
        <f aca="false">IF(IF(前提条件!$H$12&lt;=前提条件!$I$12,AND($D156&gt;=前提条件!$H$12,$D156&lt;=前提条件!$I$12),OR($D156&gt;=前提条件!$H$12,$D156&lt;=前提条件!$I$12)),1,0)</f>
        <v>1</v>
      </c>
      <c r="M156" s="14" t="n">
        <f aca="false">IF(IF(前提条件!$H$13&lt;=前提条件!$I$13,AND($D156&gt;=前提条件!$H$13,$D156&lt;=前提条件!$I$13),OR($D156&gt;=前提条件!$H$13,$D156&lt;=前提条件!$I$13)),1,0)</f>
        <v>0</v>
      </c>
      <c r="N156" s="14" t="n">
        <f aca="false">IF(IF(前提条件!$H$14&lt;=前提条件!$I$14,AND($D156&gt;=前提条件!$H$14,$D156&lt;=前提条件!$I$14),OR($D156&gt;=前提条件!$H$14,$D156&lt;=前提条件!$I$14)),1,0)</f>
        <v>0</v>
      </c>
      <c r="O156" s="14" t="n">
        <f aca="false">IF(IF(前提条件!$H$15&lt;=前提条件!$I$15,AND($D156&gt;=前提条件!$H$15,$D156&lt;=前提条件!$I$15),OR($D156&gt;=前提条件!$H$15,$D156&lt;=前提条件!$I$15)),1,0)</f>
        <v>0</v>
      </c>
    </row>
    <row r="157" customFormat="false" ht="15" hidden="false" customHeight="false" outlineLevel="0" collapsed="false">
      <c r="A157" s="48" t="n">
        <v>6</v>
      </c>
      <c r="B157" s="48" t="n">
        <v>3</v>
      </c>
      <c r="C157" s="48" t="str">
        <f aca="false">A157&amp;"/"&amp;B157</f>
        <v>6/3</v>
      </c>
      <c r="D157" s="48" t="n">
        <f aca="false">A157*100+B157</f>
        <v>603</v>
      </c>
      <c r="E157" s="45" t="n">
        <f aca="false">IF(SUM(J157:K157)&gt;0,前提条件!$B$6,前提条件!$B$8)</f>
        <v>3</v>
      </c>
      <c r="F157" s="48" t="str">
        <f aca="false">IFERROR(INDEX(前提条件!$B$12:$B$15,MATCH(1,L157:O157,0)),"未設定")</f>
        <v>標準形</v>
      </c>
      <c r="G157" s="48" t="str">
        <f aca="false">IFERROR(INDEX(前提条件!$C$12:$C$15,MATCH(1,L157:O157,0)),"未設定")</f>
        <v>標準期</v>
      </c>
      <c r="H157" s="44" t="str">
        <f aca="false">"S値+"&amp;E157&amp;"／"&amp;F157&amp;"（"&amp;G157&amp;"）"</f>
        <v>S値+3／標準形（標準期）</v>
      </c>
      <c r="J157" s="14" t="n">
        <f aca="false">IF(IF(前提条件!$G$6&lt;=前提条件!$H$6,AND($D157&gt;=前提条件!$G$6,$D157&lt;=前提条件!$H$6),OR($D157&gt;=前提条件!$G$6,$D157&lt;=前提条件!$H$6)),1,0)</f>
        <v>0</v>
      </c>
      <c r="K157" s="14" t="n">
        <f aca="false">IF(IF(前提条件!$G$7&lt;=前提条件!$H$7,AND($D157&gt;=前提条件!$G$7,$D157&lt;=前提条件!$H$7),OR($D157&gt;=前提条件!$G$7,$D157&lt;=前提条件!$H$7)),1,0)</f>
        <v>0</v>
      </c>
      <c r="L157" s="14" t="n">
        <f aca="false">IF(IF(前提条件!$H$12&lt;=前提条件!$I$12,AND($D157&gt;=前提条件!$H$12,$D157&lt;=前提条件!$I$12),OR($D157&gt;=前提条件!$H$12,$D157&lt;=前提条件!$I$12)),1,0)</f>
        <v>1</v>
      </c>
      <c r="M157" s="14" t="n">
        <f aca="false">IF(IF(前提条件!$H$13&lt;=前提条件!$I$13,AND($D157&gt;=前提条件!$H$13,$D157&lt;=前提条件!$I$13),OR($D157&gt;=前提条件!$H$13,$D157&lt;=前提条件!$I$13)),1,0)</f>
        <v>0</v>
      </c>
      <c r="N157" s="14" t="n">
        <f aca="false">IF(IF(前提条件!$H$14&lt;=前提条件!$I$14,AND($D157&gt;=前提条件!$H$14,$D157&lt;=前提条件!$I$14),OR($D157&gt;=前提条件!$H$14,$D157&lt;=前提条件!$I$14)),1,0)</f>
        <v>0</v>
      </c>
      <c r="O157" s="14" t="n">
        <f aca="false">IF(IF(前提条件!$H$15&lt;=前提条件!$I$15,AND($D157&gt;=前提条件!$H$15,$D157&lt;=前提条件!$I$15),OR($D157&gt;=前提条件!$H$15,$D157&lt;=前提条件!$I$15)),1,0)</f>
        <v>0</v>
      </c>
    </row>
    <row r="158" customFormat="false" ht="15" hidden="false" customHeight="false" outlineLevel="0" collapsed="false">
      <c r="A158" s="48" t="n">
        <v>6</v>
      </c>
      <c r="B158" s="48" t="n">
        <v>4</v>
      </c>
      <c r="C158" s="48" t="str">
        <f aca="false">A158&amp;"/"&amp;B158</f>
        <v>6/4</v>
      </c>
      <c r="D158" s="48" t="n">
        <f aca="false">A158*100+B158</f>
        <v>604</v>
      </c>
      <c r="E158" s="45" t="n">
        <f aca="false">IF(SUM(J158:K158)&gt;0,前提条件!$B$6,前提条件!$B$8)</f>
        <v>3</v>
      </c>
      <c r="F158" s="48" t="str">
        <f aca="false">IFERROR(INDEX(前提条件!$B$12:$B$15,MATCH(1,L158:O158,0)),"未設定")</f>
        <v>標準形</v>
      </c>
      <c r="G158" s="48" t="str">
        <f aca="false">IFERROR(INDEX(前提条件!$C$12:$C$15,MATCH(1,L158:O158,0)),"未設定")</f>
        <v>標準期</v>
      </c>
      <c r="H158" s="44" t="str">
        <f aca="false">"S値+"&amp;E158&amp;"／"&amp;F158&amp;"（"&amp;G158&amp;"）"</f>
        <v>S値+3／標準形（標準期）</v>
      </c>
      <c r="J158" s="14" t="n">
        <f aca="false">IF(IF(前提条件!$G$6&lt;=前提条件!$H$6,AND($D158&gt;=前提条件!$G$6,$D158&lt;=前提条件!$H$6),OR($D158&gt;=前提条件!$G$6,$D158&lt;=前提条件!$H$6)),1,0)</f>
        <v>0</v>
      </c>
      <c r="K158" s="14" t="n">
        <f aca="false">IF(IF(前提条件!$G$7&lt;=前提条件!$H$7,AND($D158&gt;=前提条件!$G$7,$D158&lt;=前提条件!$H$7),OR($D158&gt;=前提条件!$G$7,$D158&lt;=前提条件!$H$7)),1,0)</f>
        <v>0</v>
      </c>
      <c r="L158" s="14" t="n">
        <f aca="false">IF(IF(前提条件!$H$12&lt;=前提条件!$I$12,AND($D158&gt;=前提条件!$H$12,$D158&lt;=前提条件!$I$12),OR($D158&gt;=前提条件!$H$12,$D158&lt;=前提条件!$I$12)),1,0)</f>
        <v>1</v>
      </c>
      <c r="M158" s="14" t="n">
        <f aca="false">IF(IF(前提条件!$H$13&lt;=前提条件!$I$13,AND($D158&gt;=前提条件!$H$13,$D158&lt;=前提条件!$I$13),OR($D158&gt;=前提条件!$H$13,$D158&lt;=前提条件!$I$13)),1,0)</f>
        <v>0</v>
      </c>
      <c r="N158" s="14" t="n">
        <f aca="false">IF(IF(前提条件!$H$14&lt;=前提条件!$I$14,AND($D158&gt;=前提条件!$H$14,$D158&lt;=前提条件!$I$14),OR($D158&gt;=前提条件!$H$14,$D158&lt;=前提条件!$I$14)),1,0)</f>
        <v>0</v>
      </c>
      <c r="O158" s="14" t="n">
        <f aca="false">IF(IF(前提条件!$H$15&lt;=前提条件!$I$15,AND($D158&gt;=前提条件!$H$15,$D158&lt;=前提条件!$I$15),OR($D158&gt;=前提条件!$H$15,$D158&lt;=前提条件!$I$15)),1,0)</f>
        <v>0</v>
      </c>
    </row>
    <row r="159" customFormat="false" ht="15" hidden="false" customHeight="false" outlineLevel="0" collapsed="false">
      <c r="A159" s="48" t="n">
        <v>6</v>
      </c>
      <c r="B159" s="48" t="n">
        <v>5</v>
      </c>
      <c r="C159" s="48" t="str">
        <f aca="false">A159&amp;"/"&amp;B159</f>
        <v>6/5</v>
      </c>
      <c r="D159" s="48" t="n">
        <f aca="false">A159*100+B159</f>
        <v>605</v>
      </c>
      <c r="E159" s="45" t="n">
        <f aca="false">IF(SUM(J159:K159)&gt;0,前提条件!$B$6,前提条件!$B$8)</f>
        <v>3</v>
      </c>
      <c r="F159" s="48" t="str">
        <f aca="false">IFERROR(INDEX(前提条件!$B$12:$B$15,MATCH(1,L159:O159,0)),"未設定")</f>
        <v>標準形</v>
      </c>
      <c r="G159" s="48" t="str">
        <f aca="false">IFERROR(INDEX(前提条件!$C$12:$C$15,MATCH(1,L159:O159,0)),"未設定")</f>
        <v>標準期</v>
      </c>
      <c r="H159" s="44" t="str">
        <f aca="false">"S値+"&amp;E159&amp;"／"&amp;F159&amp;"（"&amp;G159&amp;"）"</f>
        <v>S値+3／標準形（標準期）</v>
      </c>
      <c r="J159" s="14" t="n">
        <f aca="false">IF(IF(前提条件!$G$6&lt;=前提条件!$H$6,AND($D159&gt;=前提条件!$G$6,$D159&lt;=前提条件!$H$6),OR($D159&gt;=前提条件!$G$6,$D159&lt;=前提条件!$H$6)),1,0)</f>
        <v>0</v>
      </c>
      <c r="K159" s="14" t="n">
        <f aca="false">IF(IF(前提条件!$G$7&lt;=前提条件!$H$7,AND($D159&gt;=前提条件!$G$7,$D159&lt;=前提条件!$H$7),OR($D159&gt;=前提条件!$G$7,$D159&lt;=前提条件!$H$7)),1,0)</f>
        <v>0</v>
      </c>
      <c r="L159" s="14" t="n">
        <f aca="false">IF(IF(前提条件!$H$12&lt;=前提条件!$I$12,AND($D159&gt;=前提条件!$H$12,$D159&lt;=前提条件!$I$12),OR($D159&gt;=前提条件!$H$12,$D159&lt;=前提条件!$I$12)),1,0)</f>
        <v>1</v>
      </c>
      <c r="M159" s="14" t="n">
        <f aca="false">IF(IF(前提条件!$H$13&lt;=前提条件!$I$13,AND($D159&gt;=前提条件!$H$13,$D159&lt;=前提条件!$I$13),OR($D159&gt;=前提条件!$H$13,$D159&lt;=前提条件!$I$13)),1,0)</f>
        <v>0</v>
      </c>
      <c r="N159" s="14" t="n">
        <f aca="false">IF(IF(前提条件!$H$14&lt;=前提条件!$I$14,AND($D159&gt;=前提条件!$H$14,$D159&lt;=前提条件!$I$14),OR($D159&gt;=前提条件!$H$14,$D159&lt;=前提条件!$I$14)),1,0)</f>
        <v>0</v>
      </c>
      <c r="O159" s="14" t="n">
        <f aca="false">IF(IF(前提条件!$H$15&lt;=前提条件!$I$15,AND($D159&gt;=前提条件!$H$15,$D159&lt;=前提条件!$I$15),OR($D159&gt;=前提条件!$H$15,$D159&lt;=前提条件!$I$15)),1,0)</f>
        <v>0</v>
      </c>
    </row>
    <row r="160" customFormat="false" ht="15" hidden="false" customHeight="false" outlineLevel="0" collapsed="false">
      <c r="A160" s="48" t="n">
        <v>6</v>
      </c>
      <c r="B160" s="48" t="n">
        <v>6</v>
      </c>
      <c r="C160" s="48" t="str">
        <f aca="false">A160&amp;"/"&amp;B160</f>
        <v>6/6</v>
      </c>
      <c r="D160" s="48" t="n">
        <f aca="false">A160*100+B160</f>
        <v>606</v>
      </c>
      <c r="E160" s="45" t="n">
        <f aca="false">IF(SUM(J160:K160)&gt;0,前提条件!$B$6,前提条件!$B$8)</f>
        <v>3</v>
      </c>
      <c r="F160" s="48" t="str">
        <f aca="false">IFERROR(INDEX(前提条件!$B$12:$B$15,MATCH(1,L160:O160,0)),"未設定")</f>
        <v>標準形</v>
      </c>
      <c r="G160" s="48" t="str">
        <f aca="false">IFERROR(INDEX(前提条件!$C$12:$C$15,MATCH(1,L160:O160,0)),"未設定")</f>
        <v>標準期</v>
      </c>
      <c r="H160" s="44" t="str">
        <f aca="false">"S値+"&amp;E160&amp;"／"&amp;F160&amp;"（"&amp;G160&amp;"）"</f>
        <v>S値+3／標準形（標準期）</v>
      </c>
      <c r="J160" s="14" t="n">
        <f aca="false">IF(IF(前提条件!$G$6&lt;=前提条件!$H$6,AND($D160&gt;=前提条件!$G$6,$D160&lt;=前提条件!$H$6),OR($D160&gt;=前提条件!$G$6,$D160&lt;=前提条件!$H$6)),1,0)</f>
        <v>0</v>
      </c>
      <c r="K160" s="14" t="n">
        <f aca="false">IF(IF(前提条件!$G$7&lt;=前提条件!$H$7,AND($D160&gt;=前提条件!$G$7,$D160&lt;=前提条件!$H$7),OR($D160&gt;=前提条件!$G$7,$D160&lt;=前提条件!$H$7)),1,0)</f>
        <v>0</v>
      </c>
      <c r="L160" s="14" t="n">
        <f aca="false">IF(IF(前提条件!$H$12&lt;=前提条件!$I$12,AND($D160&gt;=前提条件!$H$12,$D160&lt;=前提条件!$I$12),OR($D160&gt;=前提条件!$H$12,$D160&lt;=前提条件!$I$12)),1,0)</f>
        <v>1</v>
      </c>
      <c r="M160" s="14" t="n">
        <f aca="false">IF(IF(前提条件!$H$13&lt;=前提条件!$I$13,AND($D160&gt;=前提条件!$H$13,$D160&lt;=前提条件!$I$13),OR($D160&gt;=前提条件!$H$13,$D160&lt;=前提条件!$I$13)),1,0)</f>
        <v>0</v>
      </c>
      <c r="N160" s="14" t="n">
        <f aca="false">IF(IF(前提条件!$H$14&lt;=前提条件!$I$14,AND($D160&gt;=前提条件!$H$14,$D160&lt;=前提条件!$I$14),OR($D160&gt;=前提条件!$H$14,$D160&lt;=前提条件!$I$14)),1,0)</f>
        <v>0</v>
      </c>
      <c r="O160" s="14" t="n">
        <f aca="false">IF(IF(前提条件!$H$15&lt;=前提条件!$I$15,AND($D160&gt;=前提条件!$H$15,$D160&lt;=前提条件!$I$15),OR($D160&gt;=前提条件!$H$15,$D160&lt;=前提条件!$I$15)),1,0)</f>
        <v>0</v>
      </c>
    </row>
    <row r="161" customFormat="false" ht="15" hidden="false" customHeight="false" outlineLevel="0" collapsed="false">
      <c r="A161" s="48" t="n">
        <v>6</v>
      </c>
      <c r="B161" s="48" t="n">
        <v>7</v>
      </c>
      <c r="C161" s="48" t="str">
        <f aca="false">A161&amp;"/"&amp;B161</f>
        <v>6/7</v>
      </c>
      <c r="D161" s="48" t="n">
        <f aca="false">A161*100+B161</f>
        <v>607</v>
      </c>
      <c r="E161" s="45" t="n">
        <f aca="false">IF(SUM(J161:K161)&gt;0,前提条件!$B$6,前提条件!$B$8)</f>
        <v>3</v>
      </c>
      <c r="F161" s="48" t="str">
        <f aca="false">IFERROR(INDEX(前提条件!$B$12:$B$15,MATCH(1,L161:O161,0)),"未設定")</f>
        <v>標準形</v>
      </c>
      <c r="G161" s="48" t="str">
        <f aca="false">IFERROR(INDEX(前提条件!$C$12:$C$15,MATCH(1,L161:O161,0)),"未設定")</f>
        <v>標準期</v>
      </c>
      <c r="H161" s="44" t="str">
        <f aca="false">"S値+"&amp;E161&amp;"／"&amp;F161&amp;"（"&amp;G161&amp;"）"</f>
        <v>S値+3／標準形（標準期）</v>
      </c>
      <c r="J161" s="14" t="n">
        <f aca="false">IF(IF(前提条件!$G$6&lt;=前提条件!$H$6,AND($D161&gt;=前提条件!$G$6,$D161&lt;=前提条件!$H$6),OR($D161&gt;=前提条件!$G$6,$D161&lt;=前提条件!$H$6)),1,0)</f>
        <v>0</v>
      </c>
      <c r="K161" s="14" t="n">
        <f aca="false">IF(IF(前提条件!$G$7&lt;=前提条件!$H$7,AND($D161&gt;=前提条件!$G$7,$D161&lt;=前提条件!$H$7),OR($D161&gt;=前提条件!$G$7,$D161&lt;=前提条件!$H$7)),1,0)</f>
        <v>0</v>
      </c>
      <c r="L161" s="14" t="n">
        <f aca="false">IF(IF(前提条件!$H$12&lt;=前提条件!$I$12,AND($D161&gt;=前提条件!$H$12,$D161&lt;=前提条件!$I$12),OR($D161&gt;=前提条件!$H$12,$D161&lt;=前提条件!$I$12)),1,0)</f>
        <v>1</v>
      </c>
      <c r="M161" s="14" t="n">
        <f aca="false">IF(IF(前提条件!$H$13&lt;=前提条件!$I$13,AND($D161&gt;=前提条件!$H$13,$D161&lt;=前提条件!$I$13),OR($D161&gt;=前提条件!$H$13,$D161&lt;=前提条件!$I$13)),1,0)</f>
        <v>0</v>
      </c>
      <c r="N161" s="14" t="n">
        <f aca="false">IF(IF(前提条件!$H$14&lt;=前提条件!$I$14,AND($D161&gt;=前提条件!$H$14,$D161&lt;=前提条件!$I$14),OR($D161&gt;=前提条件!$H$14,$D161&lt;=前提条件!$I$14)),1,0)</f>
        <v>0</v>
      </c>
      <c r="O161" s="14" t="n">
        <f aca="false">IF(IF(前提条件!$H$15&lt;=前提条件!$I$15,AND($D161&gt;=前提条件!$H$15,$D161&lt;=前提条件!$I$15),OR($D161&gt;=前提条件!$H$15,$D161&lt;=前提条件!$I$15)),1,0)</f>
        <v>0</v>
      </c>
    </row>
    <row r="162" customFormat="false" ht="15" hidden="false" customHeight="false" outlineLevel="0" collapsed="false">
      <c r="A162" s="48" t="n">
        <v>6</v>
      </c>
      <c r="B162" s="48" t="n">
        <v>8</v>
      </c>
      <c r="C162" s="48" t="str">
        <f aca="false">A162&amp;"/"&amp;B162</f>
        <v>6/8</v>
      </c>
      <c r="D162" s="48" t="n">
        <f aca="false">A162*100+B162</f>
        <v>608</v>
      </c>
      <c r="E162" s="45" t="n">
        <f aca="false">IF(SUM(J162:K162)&gt;0,前提条件!$B$6,前提条件!$B$8)</f>
        <v>3</v>
      </c>
      <c r="F162" s="48" t="str">
        <f aca="false">IFERROR(INDEX(前提条件!$B$12:$B$15,MATCH(1,L162:O162,0)),"未設定")</f>
        <v>標準形</v>
      </c>
      <c r="G162" s="48" t="str">
        <f aca="false">IFERROR(INDEX(前提条件!$C$12:$C$15,MATCH(1,L162:O162,0)),"未設定")</f>
        <v>標準期</v>
      </c>
      <c r="H162" s="44" t="str">
        <f aca="false">"S値+"&amp;E162&amp;"／"&amp;F162&amp;"（"&amp;G162&amp;"）"</f>
        <v>S値+3／標準形（標準期）</v>
      </c>
      <c r="J162" s="14" t="n">
        <f aca="false">IF(IF(前提条件!$G$6&lt;=前提条件!$H$6,AND($D162&gt;=前提条件!$G$6,$D162&lt;=前提条件!$H$6),OR($D162&gt;=前提条件!$G$6,$D162&lt;=前提条件!$H$6)),1,0)</f>
        <v>0</v>
      </c>
      <c r="K162" s="14" t="n">
        <f aca="false">IF(IF(前提条件!$G$7&lt;=前提条件!$H$7,AND($D162&gt;=前提条件!$G$7,$D162&lt;=前提条件!$H$7),OR($D162&gt;=前提条件!$G$7,$D162&lt;=前提条件!$H$7)),1,0)</f>
        <v>0</v>
      </c>
      <c r="L162" s="14" t="n">
        <f aca="false">IF(IF(前提条件!$H$12&lt;=前提条件!$I$12,AND($D162&gt;=前提条件!$H$12,$D162&lt;=前提条件!$I$12),OR($D162&gt;=前提条件!$H$12,$D162&lt;=前提条件!$I$12)),1,0)</f>
        <v>1</v>
      </c>
      <c r="M162" s="14" t="n">
        <f aca="false">IF(IF(前提条件!$H$13&lt;=前提条件!$I$13,AND($D162&gt;=前提条件!$H$13,$D162&lt;=前提条件!$I$13),OR($D162&gt;=前提条件!$H$13,$D162&lt;=前提条件!$I$13)),1,0)</f>
        <v>0</v>
      </c>
      <c r="N162" s="14" t="n">
        <f aca="false">IF(IF(前提条件!$H$14&lt;=前提条件!$I$14,AND($D162&gt;=前提条件!$H$14,$D162&lt;=前提条件!$I$14),OR($D162&gt;=前提条件!$H$14,$D162&lt;=前提条件!$I$14)),1,0)</f>
        <v>0</v>
      </c>
      <c r="O162" s="14" t="n">
        <f aca="false">IF(IF(前提条件!$H$15&lt;=前提条件!$I$15,AND($D162&gt;=前提条件!$H$15,$D162&lt;=前提条件!$I$15),OR($D162&gt;=前提条件!$H$15,$D162&lt;=前提条件!$I$15)),1,0)</f>
        <v>0</v>
      </c>
    </row>
    <row r="163" customFormat="false" ht="15" hidden="false" customHeight="false" outlineLevel="0" collapsed="false">
      <c r="A163" s="48" t="n">
        <v>6</v>
      </c>
      <c r="B163" s="48" t="n">
        <v>9</v>
      </c>
      <c r="C163" s="48" t="str">
        <f aca="false">A163&amp;"/"&amp;B163</f>
        <v>6/9</v>
      </c>
      <c r="D163" s="48" t="n">
        <f aca="false">A163*100+B163</f>
        <v>609</v>
      </c>
      <c r="E163" s="45" t="n">
        <f aca="false">IF(SUM(J163:K163)&gt;0,前提条件!$B$6,前提条件!$B$8)</f>
        <v>3</v>
      </c>
      <c r="F163" s="48" t="str">
        <f aca="false">IFERROR(INDEX(前提条件!$B$12:$B$15,MATCH(1,L163:O163,0)),"未設定")</f>
        <v>標準形</v>
      </c>
      <c r="G163" s="48" t="str">
        <f aca="false">IFERROR(INDEX(前提条件!$C$12:$C$15,MATCH(1,L163:O163,0)),"未設定")</f>
        <v>標準期</v>
      </c>
      <c r="H163" s="44" t="str">
        <f aca="false">"S値+"&amp;E163&amp;"／"&amp;F163&amp;"（"&amp;G163&amp;"）"</f>
        <v>S値+3／標準形（標準期）</v>
      </c>
      <c r="J163" s="14" t="n">
        <f aca="false">IF(IF(前提条件!$G$6&lt;=前提条件!$H$6,AND($D163&gt;=前提条件!$G$6,$D163&lt;=前提条件!$H$6),OR($D163&gt;=前提条件!$G$6,$D163&lt;=前提条件!$H$6)),1,0)</f>
        <v>0</v>
      </c>
      <c r="K163" s="14" t="n">
        <f aca="false">IF(IF(前提条件!$G$7&lt;=前提条件!$H$7,AND($D163&gt;=前提条件!$G$7,$D163&lt;=前提条件!$H$7),OR($D163&gt;=前提条件!$G$7,$D163&lt;=前提条件!$H$7)),1,0)</f>
        <v>0</v>
      </c>
      <c r="L163" s="14" t="n">
        <f aca="false">IF(IF(前提条件!$H$12&lt;=前提条件!$I$12,AND($D163&gt;=前提条件!$H$12,$D163&lt;=前提条件!$I$12),OR($D163&gt;=前提条件!$H$12,$D163&lt;=前提条件!$I$12)),1,0)</f>
        <v>1</v>
      </c>
      <c r="M163" s="14" t="n">
        <f aca="false">IF(IF(前提条件!$H$13&lt;=前提条件!$I$13,AND($D163&gt;=前提条件!$H$13,$D163&lt;=前提条件!$I$13),OR($D163&gt;=前提条件!$H$13,$D163&lt;=前提条件!$I$13)),1,0)</f>
        <v>0</v>
      </c>
      <c r="N163" s="14" t="n">
        <f aca="false">IF(IF(前提条件!$H$14&lt;=前提条件!$I$14,AND($D163&gt;=前提条件!$H$14,$D163&lt;=前提条件!$I$14),OR($D163&gt;=前提条件!$H$14,$D163&lt;=前提条件!$I$14)),1,0)</f>
        <v>0</v>
      </c>
      <c r="O163" s="14" t="n">
        <f aca="false">IF(IF(前提条件!$H$15&lt;=前提条件!$I$15,AND($D163&gt;=前提条件!$H$15,$D163&lt;=前提条件!$I$15),OR($D163&gt;=前提条件!$H$15,$D163&lt;=前提条件!$I$15)),1,0)</f>
        <v>0</v>
      </c>
    </row>
    <row r="164" customFormat="false" ht="15" hidden="false" customHeight="false" outlineLevel="0" collapsed="false">
      <c r="A164" s="48" t="n">
        <v>6</v>
      </c>
      <c r="B164" s="48" t="n">
        <v>10</v>
      </c>
      <c r="C164" s="48" t="str">
        <f aca="false">A164&amp;"/"&amp;B164</f>
        <v>6/10</v>
      </c>
      <c r="D164" s="48" t="n">
        <f aca="false">A164*100+B164</f>
        <v>610</v>
      </c>
      <c r="E164" s="45" t="n">
        <f aca="false">IF(SUM(J164:K164)&gt;0,前提条件!$B$6,前提条件!$B$8)</f>
        <v>3</v>
      </c>
      <c r="F164" s="48" t="str">
        <f aca="false">IFERROR(INDEX(前提条件!$B$12:$B$15,MATCH(1,L164:O164,0)),"未設定")</f>
        <v>標準形</v>
      </c>
      <c r="G164" s="48" t="str">
        <f aca="false">IFERROR(INDEX(前提条件!$C$12:$C$15,MATCH(1,L164:O164,0)),"未設定")</f>
        <v>標準期</v>
      </c>
      <c r="H164" s="44" t="str">
        <f aca="false">"S値+"&amp;E164&amp;"／"&amp;F164&amp;"（"&amp;G164&amp;"）"</f>
        <v>S値+3／標準形（標準期）</v>
      </c>
      <c r="J164" s="14" t="n">
        <f aca="false">IF(IF(前提条件!$G$6&lt;=前提条件!$H$6,AND($D164&gt;=前提条件!$G$6,$D164&lt;=前提条件!$H$6),OR($D164&gt;=前提条件!$G$6,$D164&lt;=前提条件!$H$6)),1,0)</f>
        <v>0</v>
      </c>
      <c r="K164" s="14" t="n">
        <f aca="false">IF(IF(前提条件!$G$7&lt;=前提条件!$H$7,AND($D164&gt;=前提条件!$G$7,$D164&lt;=前提条件!$H$7),OR($D164&gt;=前提条件!$G$7,$D164&lt;=前提条件!$H$7)),1,0)</f>
        <v>0</v>
      </c>
      <c r="L164" s="14" t="n">
        <f aca="false">IF(IF(前提条件!$H$12&lt;=前提条件!$I$12,AND($D164&gt;=前提条件!$H$12,$D164&lt;=前提条件!$I$12),OR($D164&gt;=前提条件!$H$12,$D164&lt;=前提条件!$I$12)),1,0)</f>
        <v>1</v>
      </c>
      <c r="M164" s="14" t="n">
        <f aca="false">IF(IF(前提条件!$H$13&lt;=前提条件!$I$13,AND($D164&gt;=前提条件!$H$13,$D164&lt;=前提条件!$I$13),OR($D164&gt;=前提条件!$H$13,$D164&lt;=前提条件!$I$13)),1,0)</f>
        <v>0</v>
      </c>
      <c r="N164" s="14" t="n">
        <f aca="false">IF(IF(前提条件!$H$14&lt;=前提条件!$I$14,AND($D164&gt;=前提条件!$H$14,$D164&lt;=前提条件!$I$14),OR($D164&gt;=前提条件!$H$14,$D164&lt;=前提条件!$I$14)),1,0)</f>
        <v>0</v>
      </c>
      <c r="O164" s="14" t="n">
        <f aca="false">IF(IF(前提条件!$H$15&lt;=前提条件!$I$15,AND($D164&gt;=前提条件!$H$15,$D164&lt;=前提条件!$I$15),OR($D164&gt;=前提条件!$H$15,$D164&lt;=前提条件!$I$15)),1,0)</f>
        <v>0</v>
      </c>
    </row>
    <row r="165" customFormat="false" ht="15" hidden="false" customHeight="false" outlineLevel="0" collapsed="false">
      <c r="A165" s="48" t="n">
        <v>6</v>
      </c>
      <c r="B165" s="48" t="n">
        <v>11</v>
      </c>
      <c r="C165" s="48" t="str">
        <f aca="false">A165&amp;"/"&amp;B165</f>
        <v>6/11</v>
      </c>
      <c r="D165" s="48" t="n">
        <f aca="false">A165*100+B165</f>
        <v>611</v>
      </c>
      <c r="E165" s="45" t="n">
        <f aca="false">IF(SUM(J165:K165)&gt;0,前提条件!$B$6,前提条件!$B$8)</f>
        <v>3</v>
      </c>
      <c r="F165" s="48" t="str">
        <f aca="false">IFERROR(INDEX(前提条件!$B$12:$B$15,MATCH(1,L165:O165,0)),"未設定")</f>
        <v>標準形</v>
      </c>
      <c r="G165" s="48" t="str">
        <f aca="false">IFERROR(INDEX(前提条件!$C$12:$C$15,MATCH(1,L165:O165,0)),"未設定")</f>
        <v>標準期</v>
      </c>
      <c r="H165" s="44" t="str">
        <f aca="false">"S値+"&amp;E165&amp;"／"&amp;F165&amp;"（"&amp;G165&amp;"）"</f>
        <v>S値+3／標準形（標準期）</v>
      </c>
      <c r="J165" s="14" t="n">
        <f aca="false">IF(IF(前提条件!$G$6&lt;=前提条件!$H$6,AND($D165&gt;=前提条件!$G$6,$D165&lt;=前提条件!$H$6),OR($D165&gt;=前提条件!$G$6,$D165&lt;=前提条件!$H$6)),1,0)</f>
        <v>0</v>
      </c>
      <c r="K165" s="14" t="n">
        <f aca="false">IF(IF(前提条件!$G$7&lt;=前提条件!$H$7,AND($D165&gt;=前提条件!$G$7,$D165&lt;=前提条件!$H$7),OR($D165&gt;=前提条件!$G$7,$D165&lt;=前提条件!$H$7)),1,0)</f>
        <v>0</v>
      </c>
      <c r="L165" s="14" t="n">
        <f aca="false">IF(IF(前提条件!$H$12&lt;=前提条件!$I$12,AND($D165&gt;=前提条件!$H$12,$D165&lt;=前提条件!$I$12),OR($D165&gt;=前提条件!$H$12,$D165&lt;=前提条件!$I$12)),1,0)</f>
        <v>1</v>
      </c>
      <c r="M165" s="14" t="n">
        <f aca="false">IF(IF(前提条件!$H$13&lt;=前提条件!$I$13,AND($D165&gt;=前提条件!$H$13,$D165&lt;=前提条件!$I$13),OR($D165&gt;=前提条件!$H$13,$D165&lt;=前提条件!$I$13)),1,0)</f>
        <v>0</v>
      </c>
      <c r="N165" s="14" t="n">
        <f aca="false">IF(IF(前提条件!$H$14&lt;=前提条件!$I$14,AND($D165&gt;=前提条件!$H$14,$D165&lt;=前提条件!$I$14),OR($D165&gt;=前提条件!$H$14,$D165&lt;=前提条件!$I$14)),1,0)</f>
        <v>0</v>
      </c>
      <c r="O165" s="14" t="n">
        <f aca="false">IF(IF(前提条件!$H$15&lt;=前提条件!$I$15,AND($D165&gt;=前提条件!$H$15,$D165&lt;=前提条件!$I$15),OR($D165&gt;=前提条件!$H$15,$D165&lt;=前提条件!$I$15)),1,0)</f>
        <v>0</v>
      </c>
    </row>
    <row r="166" customFormat="false" ht="15" hidden="false" customHeight="false" outlineLevel="0" collapsed="false">
      <c r="A166" s="48" t="n">
        <v>6</v>
      </c>
      <c r="B166" s="48" t="n">
        <v>12</v>
      </c>
      <c r="C166" s="48" t="str">
        <f aca="false">A166&amp;"/"&amp;B166</f>
        <v>6/12</v>
      </c>
      <c r="D166" s="48" t="n">
        <f aca="false">A166*100+B166</f>
        <v>612</v>
      </c>
      <c r="E166" s="45" t="n">
        <f aca="false">IF(SUM(J166:K166)&gt;0,前提条件!$B$6,前提条件!$B$8)</f>
        <v>3</v>
      </c>
      <c r="F166" s="48" t="str">
        <f aca="false">IFERROR(INDEX(前提条件!$B$12:$B$15,MATCH(1,L166:O166,0)),"未設定")</f>
        <v>標準形</v>
      </c>
      <c r="G166" s="48" t="str">
        <f aca="false">IFERROR(INDEX(前提条件!$C$12:$C$15,MATCH(1,L166:O166,0)),"未設定")</f>
        <v>標準期</v>
      </c>
      <c r="H166" s="44" t="str">
        <f aca="false">"S値+"&amp;E166&amp;"／"&amp;F166&amp;"（"&amp;G166&amp;"）"</f>
        <v>S値+3／標準形（標準期）</v>
      </c>
      <c r="J166" s="14" t="n">
        <f aca="false">IF(IF(前提条件!$G$6&lt;=前提条件!$H$6,AND($D166&gt;=前提条件!$G$6,$D166&lt;=前提条件!$H$6),OR($D166&gt;=前提条件!$G$6,$D166&lt;=前提条件!$H$6)),1,0)</f>
        <v>0</v>
      </c>
      <c r="K166" s="14" t="n">
        <f aca="false">IF(IF(前提条件!$G$7&lt;=前提条件!$H$7,AND($D166&gt;=前提条件!$G$7,$D166&lt;=前提条件!$H$7),OR($D166&gt;=前提条件!$G$7,$D166&lt;=前提条件!$H$7)),1,0)</f>
        <v>0</v>
      </c>
      <c r="L166" s="14" t="n">
        <f aca="false">IF(IF(前提条件!$H$12&lt;=前提条件!$I$12,AND($D166&gt;=前提条件!$H$12,$D166&lt;=前提条件!$I$12),OR($D166&gt;=前提条件!$H$12,$D166&lt;=前提条件!$I$12)),1,0)</f>
        <v>1</v>
      </c>
      <c r="M166" s="14" t="n">
        <f aca="false">IF(IF(前提条件!$H$13&lt;=前提条件!$I$13,AND($D166&gt;=前提条件!$H$13,$D166&lt;=前提条件!$I$13),OR($D166&gt;=前提条件!$H$13,$D166&lt;=前提条件!$I$13)),1,0)</f>
        <v>0</v>
      </c>
      <c r="N166" s="14" t="n">
        <f aca="false">IF(IF(前提条件!$H$14&lt;=前提条件!$I$14,AND($D166&gt;=前提条件!$H$14,$D166&lt;=前提条件!$I$14),OR($D166&gt;=前提条件!$H$14,$D166&lt;=前提条件!$I$14)),1,0)</f>
        <v>0</v>
      </c>
      <c r="O166" s="14" t="n">
        <f aca="false">IF(IF(前提条件!$H$15&lt;=前提条件!$I$15,AND($D166&gt;=前提条件!$H$15,$D166&lt;=前提条件!$I$15),OR($D166&gt;=前提条件!$H$15,$D166&lt;=前提条件!$I$15)),1,0)</f>
        <v>0</v>
      </c>
    </row>
    <row r="167" customFormat="false" ht="15" hidden="false" customHeight="false" outlineLevel="0" collapsed="false">
      <c r="A167" s="48" t="n">
        <v>6</v>
      </c>
      <c r="B167" s="48" t="n">
        <v>13</v>
      </c>
      <c r="C167" s="48" t="str">
        <f aca="false">A167&amp;"/"&amp;B167</f>
        <v>6/13</v>
      </c>
      <c r="D167" s="48" t="n">
        <f aca="false">A167*100+B167</f>
        <v>613</v>
      </c>
      <c r="E167" s="45" t="n">
        <f aca="false">IF(SUM(J167:K167)&gt;0,前提条件!$B$6,前提条件!$B$8)</f>
        <v>3</v>
      </c>
      <c r="F167" s="48" t="str">
        <f aca="false">IFERROR(INDEX(前提条件!$B$12:$B$15,MATCH(1,L167:O167,0)),"未設定")</f>
        <v>標準形</v>
      </c>
      <c r="G167" s="48" t="str">
        <f aca="false">IFERROR(INDEX(前提条件!$C$12:$C$15,MATCH(1,L167:O167,0)),"未設定")</f>
        <v>標準期</v>
      </c>
      <c r="H167" s="44" t="str">
        <f aca="false">"S値+"&amp;E167&amp;"／"&amp;F167&amp;"（"&amp;G167&amp;"）"</f>
        <v>S値+3／標準形（標準期）</v>
      </c>
      <c r="J167" s="14" t="n">
        <f aca="false">IF(IF(前提条件!$G$6&lt;=前提条件!$H$6,AND($D167&gt;=前提条件!$G$6,$D167&lt;=前提条件!$H$6),OR($D167&gt;=前提条件!$G$6,$D167&lt;=前提条件!$H$6)),1,0)</f>
        <v>0</v>
      </c>
      <c r="K167" s="14" t="n">
        <f aca="false">IF(IF(前提条件!$G$7&lt;=前提条件!$H$7,AND($D167&gt;=前提条件!$G$7,$D167&lt;=前提条件!$H$7),OR($D167&gt;=前提条件!$G$7,$D167&lt;=前提条件!$H$7)),1,0)</f>
        <v>0</v>
      </c>
      <c r="L167" s="14" t="n">
        <f aca="false">IF(IF(前提条件!$H$12&lt;=前提条件!$I$12,AND($D167&gt;=前提条件!$H$12,$D167&lt;=前提条件!$I$12),OR($D167&gt;=前提条件!$H$12,$D167&lt;=前提条件!$I$12)),1,0)</f>
        <v>1</v>
      </c>
      <c r="M167" s="14" t="n">
        <f aca="false">IF(IF(前提条件!$H$13&lt;=前提条件!$I$13,AND($D167&gt;=前提条件!$H$13,$D167&lt;=前提条件!$I$13),OR($D167&gt;=前提条件!$H$13,$D167&lt;=前提条件!$I$13)),1,0)</f>
        <v>0</v>
      </c>
      <c r="N167" s="14" t="n">
        <f aca="false">IF(IF(前提条件!$H$14&lt;=前提条件!$I$14,AND($D167&gt;=前提条件!$H$14,$D167&lt;=前提条件!$I$14),OR($D167&gt;=前提条件!$H$14,$D167&lt;=前提条件!$I$14)),1,0)</f>
        <v>0</v>
      </c>
      <c r="O167" s="14" t="n">
        <f aca="false">IF(IF(前提条件!$H$15&lt;=前提条件!$I$15,AND($D167&gt;=前提条件!$H$15,$D167&lt;=前提条件!$I$15),OR($D167&gt;=前提条件!$H$15,$D167&lt;=前提条件!$I$15)),1,0)</f>
        <v>0</v>
      </c>
    </row>
    <row r="168" customFormat="false" ht="15" hidden="false" customHeight="false" outlineLevel="0" collapsed="false">
      <c r="A168" s="48" t="n">
        <v>6</v>
      </c>
      <c r="B168" s="48" t="n">
        <v>14</v>
      </c>
      <c r="C168" s="48" t="str">
        <f aca="false">A168&amp;"/"&amp;B168</f>
        <v>6/14</v>
      </c>
      <c r="D168" s="48" t="n">
        <f aca="false">A168*100+B168</f>
        <v>614</v>
      </c>
      <c r="E168" s="45" t="n">
        <f aca="false">IF(SUM(J168:K168)&gt;0,前提条件!$B$6,前提条件!$B$8)</f>
        <v>3</v>
      </c>
      <c r="F168" s="48" t="str">
        <f aca="false">IFERROR(INDEX(前提条件!$B$12:$B$15,MATCH(1,L168:O168,0)),"未設定")</f>
        <v>標準形</v>
      </c>
      <c r="G168" s="48" t="str">
        <f aca="false">IFERROR(INDEX(前提条件!$C$12:$C$15,MATCH(1,L168:O168,0)),"未設定")</f>
        <v>標準期</v>
      </c>
      <c r="H168" s="44" t="str">
        <f aca="false">"S値+"&amp;E168&amp;"／"&amp;F168&amp;"（"&amp;G168&amp;"）"</f>
        <v>S値+3／標準形（標準期）</v>
      </c>
      <c r="J168" s="14" t="n">
        <f aca="false">IF(IF(前提条件!$G$6&lt;=前提条件!$H$6,AND($D168&gt;=前提条件!$G$6,$D168&lt;=前提条件!$H$6),OR($D168&gt;=前提条件!$G$6,$D168&lt;=前提条件!$H$6)),1,0)</f>
        <v>0</v>
      </c>
      <c r="K168" s="14" t="n">
        <f aca="false">IF(IF(前提条件!$G$7&lt;=前提条件!$H$7,AND($D168&gt;=前提条件!$G$7,$D168&lt;=前提条件!$H$7),OR($D168&gt;=前提条件!$G$7,$D168&lt;=前提条件!$H$7)),1,0)</f>
        <v>0</v>
      </c>
      <c r="L168" s="14" t="n">
        <f aca="false">IF(IF(前提条件!$H$12&lt;=前提条件!$I$12,AND($D168&gt;=前提条件!$H$12,$D168&lt;=前提条件!$I$12),OR($D168&gt;=前提条件!$H$12,$D168&lt;=前提条件!$I$12)),1,0)</f>
        <v>1</v>
      </c>
      <c r="M168" s="14" t="n">
        <f aca="false">IF(IF(前提条件!$H$13&lt;=前提条件!$I$13,AND($D168&gt;=前提条件!$H$13,$D168&lt;=前提条件!$I$13),OR($D168&gt;=前提条件!$H$13,$D168&lt;=前提条件!$I$13)),1,0)</f>
        <v>0</v>
      </c>
      <c r="N168" s="14" t="n">
        <f aca="false">IF(IF(前提条件!$H$14&lt;=前提条件!$I$14,AND($D168&gt;=前提条件!$H$14,$D168&lt;=前提条件!$I$14),OR($D168&gt;=前提条件!$H$14,$D168&lt;=前提条件!$I$14)),1,0)</f>
        <v>0</v>
      </c>
      <c r="O168" s="14" t="n">
        <f aca="false">IF(IF(前提条件!$H$15&lt;=前提条件!$I$15,AND($D168&gt;=前提条件!$H$15,$D168&lt;=前提条件!$I$15),OR($D168&gt;=前提条件!$H$15,$D168&lt;=前提条件!$I$15)),1,0)</f>
        <v>0</v>
      </c>
    </row>
    <row r="169" customFormat="false" ht="15" hidden="false" customHeight="false" outlineLevel="0" collapsed="false">
      <c r="A169" s="48" t="n">
        <v>6</v>
      </c>
      <c r="B169" s="48" t="n">
        <v>15</v>
      </c>
      <c r="C169" s="48" t="str">
        <f aca="false">A169&amp;"/"&amp;B169</f>
        <v>6/15</v>
      </c>
      <c r="D169" s="48" t="n">
        <f aca="false">A169*100+B169</f>
        <v>615</v>
      </c>
      <c r="E169" s="45" t="n">
        <f aca="false">IF(SUM(J169:K169)&gt;0,前提条件!$B$6,前提条件!$B$8)</f>
        <v>3</v>
      </c>
      <c r="F169" s="48" t="str">
        <f aca="false">IFERROR(INDEX(前提条件!$B$12:$B$15,MATCH(1,L169:O169,0)),"未設定")</f>
        <v>標準形</v>
      </c>
      <c r="G169" s="48" t="str">
        <f aca="false">IFERROR(INDEX(前提条件!$C$12:$C$15,MATCH(1,L169:O169,0)),"未設定")</f>
        <v>標準期</v>
      </c>
      <c r="H169" s="44" t="str">
        <f aca="false">"S値+"&amp;E169&amp;"／"&amp;F169&amp;"（"&amp;G169&amp;"）"</f>
        <v>S値+3／標準形（標準期）</v>
      </c>
      <c r="J169" s="14" t="n">
        <f aca="false">IF(IF(前提条件!$G$6&lt;=前提条件!$H$6,AND($D169&gt;=前提条件!$G$6,$D169&lt;=前提条件!$H$6),OR($D169&gt;=前提条件!$G$6,$D169&lt;=前提条件!$H$6)),1,0)</f>
        <v>0</v>
      </c>
      <c r="K169" s="14" t="n">
        <f aca="false">IF(IF(前提条件!$G$7&lt;=前提条件!$H$7,AND($D169&gt;=前提条件!$G$7,$D169&lt;=前提条件!$H$7),OR($D169&gt;=前提条件!$G$7,$D169&lt;=前提条件!$H$7)),1,0)</f>
        <v>0</v>
      </c>
      <c r="L169" s="14" t="n">
        <f aca="false">IF(IF(前提条件!$H$12&lt;=前提条件!$I$12,AND($D169&gt;=前提条件!$H$12,$D169&lt;=前提条件!$I$12),OR($D169&gt;=前提条件!$H$12,$D169&lt;=前提条件!$I$12)),1,0)</f>
        <v>1</v>
      </c>
      <c r="M169" s="14" t="n">
        <f aca="false">IF(IF(前提条件!$H$13&lt;=前提条件!$I$13,AND($D169&gt;=前提条件!$H$13,$D169&lt;=前提条件!$I$13),OR($D169&gt;=前提条件!$H$13,$D169&lt;=前提条件!$I$13)),1,0)</f>
        <v>0</v>
      </c>
      <c r="N169" s="14" t="n">
        <f aca="false">IF(IF(前提条件!$H$14&lt;=前提条件!$I$14,AND($D169&gt;=前提条件!$H$14,$D169&lt;=前提条件!$I$14),OR($D169&gt;=前提条件!$H$14,$D169&lt;=前提条件!$I$14)),1,0)</f>
        <v>0</v>
      </c>
      <c r="O169" s="14" t="n">
        <f aca="false">IF(IF(前提条件!$H$15&lt;=前提条件!$I$15,AND($D169&gt;=前提条件!$H$15,$D169&lt;=前提条件!$I$15),OR($D169&gt;=前提条件!$H$15,$D169&lt;=前提条件!$I$15)),1,0)</f>
        <v>0</v>
      </c>
    </row>
    <row r="170" customFormat="false" ht="15" hidden="false" customHeight="false" outlineLevel="0" collapsed="false">
      <c r="A170" s="48" t="n">
        <v>6</v>
      </c>
      <c r="B170" s="48" t="n">
        <v>16</v>
      </c>
      <c r="C170" s="48" t="str">
        <f aca="false">A170&amp;"/"&amp;B170</f>
        <v>6/16</v>
      </c>
      <c r="D170" s="48" t="n">
        <f aca="false">A170*100+B170</f>
        <v>616</v>
      </c>
      <c r="E170" s="45" t="n">
        <f aca="false">IF(SUM(J170:K170)&gt;0,前提条件!$B$6,前提条件!$B$8)</f>
        <v>3</v>
      </c>
      <c r="F170" s="48" t="str">
        <f aca="false">IFERROR(INDEX(前提条件!$B$12:$B$15,MATCH(1,L170:O170,0)),"未設定")</f>
        <v>遅延形</v>
      </c>
      <c r="G170" s="48" t="str">
        <f aca="false">IFERROR(INDEX(前提条件!$C$12:$C$15,MATCH(1,L170:O170,0)),"未設定")</f>
        <v>夏期</v>
      </c>
      <c r="H170" s="44" t="str">
        <f aca="false">"S値+"&amp;E170&amp;"／"&amp;F170&amp;"（"&amp;G170&amp;"）"</f>
        <v>S値+3／遅延形（夏期）</v>
      </c>
      <c r="J170" s="14" t="n">
        <f aca="false">IF(IF(前提条件!$G$6&lt;=前提条件!$H$6,AND($D170&gt;=前提条件!$G$6,$D170&lt;=前提条件!$H$6),OR($D170&gt;=前提条件!$G$6,$D170&lt;=前提条件!$H$6)),1,0)</f>
        <v>0</v>
      </c>
      <c r="K170" s="14" t="n">
        <f aca="false">IF(IF(前提条件!$G$7&lt;=前提条件!$H$7,AND($D170&gt;=前提条件!$G$7,$D170&lt;=前提条件!$H$7),OR($D170&gt;=前提条件!$G$7,$D170&lt;=前提条件!$H$7)),1,0)</f>
        <v>0</v>
      </c>
      <c r="L170" s="14" t="n">
        <f aca="false">IF(IF(前提条件!$H$12&lt;=前提条件!$I$12,AND($D170&gt;=前提条件!$H$12,$D170&lt;=前提条件!$I$12),OR($D170&gt;=前提条件!$H$12,$D170&lt;=前提条件!$I$12)),1,0)</f>
        <v>0</v>
      </c>
      <c r="M170" s="14" t="n">
        <f aca="false">IF(IF(前提条件!$H$13&lt;=前提条件!$I$13,AND($D170&gt;=前提条件!$H$13,$D170&lt;=前提条件!$I$13),OR($D170&gt;=前提条件!$H$13,$D170&lt;=前提条件!$I$13)),1,0)</f>
        <v>1</v>
      </c>
      <c r="N170" s="14" t="n">
        <f aca="false">IF(IF(前提条件!$H$14&lt;=前提条件!$I$14,AND($D170&gt;=前提条件!$H$14,$D170&lt;=前提条件!$I$14),OR($D170&gt;=前提条件!$H$14,$D170&lt;=前提条件!$I$14)),1,0)</f>
        <v>0</v>
      </c>
      <c r="O170" s="14" t="n">
        <f aca="false">IF(IF(前提条件!$H$15&lt;=前提条件!$I$15,AND($D170&gt;=前提条件!$H$15,$D170&lt;=前提条件!$I$15),OR($D170&gt;=前提条件!$H$15,$D170&lt;=前提条件!$I$15)),1,0)</f>
        <v>0</v>
      </c>
    </row>
    <row r="171" customFormat="false" ht="15" hidden="false" customHeight="false" outlineLevel="0" collapsed="false">
      <c r="A171" s="48" t="n">
        <v>6</v>
      </c>
      <c r="B171" s="48" t="n">
        <v>17</v>
      </c>
      <c r="C171" s="48" t="str">
        <f aca="false">A171&amp;"/"&amp;B171</f>
        <v>6/17</v>
      </c>
      <c r="D171" s="48" t="n">
        <f aca="false">A171*100+B171</f>
        <v>617</v>
      </c>
      <c r="E171" s="45" t="n">
        <f aca="false">IF(SUM(J171:K171)&gt;0,前提条件!$B$6,前提条件!$B$8)</f>
        <v>3</v>
      </c>
      <c r="F171" s="48" t="str">
        <f aca="false">IFERROR(INDEX(前提条件!$B$12:$B$15,MATCH(1,L171:O171,0)),"未設定")</f>
        <v>遅延形</v>
      </c>
      <c r="G171" s="48" t="str">
        <f aca="false">IFERROR(INDEX(前提条件!$C$12:$C$15,MATCH(1,L171:O171,0)),"未設定")</f>
        <v>夏期</v>
      </c>
      <c r="H171" s="44" t="str">
        <f aca="false">"S値+"&amp;E171&amp;"／"&amp;F171&amp;"（"&amp;G171&amp;"）"</f>
        <v>S値+3／遅延形（夏期）</v>
      </c>
      <c r="J171" s="14" t="n">
        <f aca="false">IF(IF(前提条件!$G$6&lt;=前提条件!$H$6,AND($D171&gt;=前提条件!$G$6,$D171&lt;=前提条件!$H$6),OR($D171&gt;=前提条件!$G$6,$D171&lt;=前提条件!$H$6)),1,0)</f>
        <v>0</v>
      </c>
      <c r="K171" s="14" t="n">
        <f aca="false">IF(IF(前提条件!$G$7&lt;=前提条件!$H$7,AND($D171&gt;=前提条件!$G$7,$D171&lt;=前提条件!$H$7),OR($D171&gt;=前提条件!$G$7,$D171&lt;=前提条件!$H$7)),1,0)</f>
        <v>0</v>
      </c>
      <c r="L171" s="14" t="n">
        <f aca="false">IF(IF(前提条件!$H$12&lt;=前提条件!$I$12,AND($D171&gt;=前提条件!$H$12,$D171&lt;=前提条件!$I$12),OR($D171&gt;=前提条件!$H$12,$D171&lt;=前提条件!$I$12)),1,0)</f>
        <v>0</v>
      </c>
      <c r="M171" s="14" t="n">
        <f aca="false">IF(IF(前提条件!$H$13&lt;=前提条件!$I$13,AND($D171&gt;=前提条件!$H$13,$D171&lt;=前提条件!$I$13),OR($D171&gt;=前提条件!$H$13,$D171&lt;=前提条件!$I$13)),1,0)</f>
        <v>1</v>
      </c>
      <c r="N171" s="14" t="n">
        <f aca="false">IF(IF(前提条件!$H$14&lt;=前提条件!$I$14,AND($D171&gt;=前提条件!$H$14,$D171&lt;=前提条件!$I$14),OR($D171&gt;=前提条件!$H$14,$D171&lt;=前提条件!$I$14)),1,0)</f>
        <v>0</v>
      </c>
      <c r="O171" s="14" t="n">
        <f aca="false">IF(IF(前提条件!$H$15&lt;=前提条件!$I$15,AND($D171&gt;=前提条件!$H$15,$D171&lt;=前提条件!$I$15),OR($D171&gt;=前提条件!$H$15,$D171&lt;=前提条件!$I$15)),1,0)</f>
        <v>0</v>
      </c>
    </row>
    <row r="172" customFormat="false" ht="15" hidden="false" customHeight="false" outlineLevel="0" collapsed="false">
      <c r="A172" s="48" t="n">
        <v>6</v>
      </c>
      <c r="B172" s="48" t="n">
        <v>18</v>
      </c>
      <c r="C172" s="48" t="str">
        <f aca="false">A172&amp;"/"&amp;B172</f>
        <v>6/18</v>
      </c>
      <c r="D172" s="48" t="n">
        <f aca="false">A172*100+B172</f>
        <v>618</v>
      </c>
      <c r="E172" s="45" t="n">
        <f aca="false">IF(SUM(J172:K172)&gt;0,前提条件!$B$6,前提条件!$B$8)</f>
        <v>3</v>
      </c>
      <c r="F172" s="48" t="str">
        <f aca="false">IFERROR(INDEX(前提条件!$B$12:$B$15,MATCH(1,L172:O172,0)),"未設定")</f>
        <v>遅延形</v>
      </c>
      <c r="G172" s="48" t="str">
        <f aca="false">IFERROR(INDEX(前提条件!$C$12:$C$15,MATCH(1,L172:O172,0)),"未設定")</f>
        <v>夏期</v>
      </c>
      <c r="H172" s="44" t="str">
        <f aca="false">"S値+"&amp;E172&amp;"／"&amp;F172&amp;"（"&amp;G172&amp;"）"</f>
        <v>S値+3／遅延形（夏期）</v>
      </c>
      <c r="J172" s="14" t="n">
        <f aca="false">IF(IF(前提条件!$G$6&lt;=前提条件!$H$6,AND($D172&gt;=前提条件!$G$6,$D172&lt;=前提条件!$H$6),OR($D172&gt;=前提条件!$G$6,$D172&lt;=前提条件!$H$6)),1,0)</f>
        <v>0</v>
      </c>
      <c r="K172" s="14" t="n">
        <f aca="false">IF(IF(前提条件!$G$7&lt;=前提条件!$H$7,AND($D172&gt;=前提条件!$G$7,$D172&lt;=前提条件!$H$7),OR($D172&gt;=前提条件!$G$7,$D172&lt;=前提条件!$H$7)),1,0)</f>
        <v>0</v>
      </c>
      <c r="L172" s="14" t="n">
        <f aca="false">IF(IF(前提条件!$H$12&lt;=前提条件!$I$12,AND($D172&gt;=前提条件!$H$12,$D172&lt;=前提条件!$I$12),OR($D172&gt;=前提条件!$H$12,$D172&lt;=前提条件!$I$12)),1,0)</f>
        <v>0</v>
      </c>
      <c r="M172" s="14" t="n">
        <f aca="false">IF(IF(前提条件!$H$13&lt;=前提条件!$I$13,AND($D172&gt;=前提条件!$H$13,$D172&lt;=前提条件!$I$13),OR($D172&gt;=前提条件!$H$13,$D172&lt;=前提条件!$I$13)),1,0)</f>
        <v>1</v>
      </c>
      <c r="N172" s="14" t="n">
        <f aca="false">IF(IF(前提条件!$H$14&lt;=前提条件!$I$14,AND($D172&gt;=前提条件!$H$14,$D172&lt;=前提条件!$I$14),OR($D172&gt;=前提条件!$H$14,$D172&lt;=前提条件!$I$14)),1,0)</f>
        <v>0</v>
      </c>
      <c r="O172" s="14" t="n">
        <f aca="false">IF(IF(前提条件!$H$15&lt;=前提条件!$I$15,AND($D172&gt;=前提条件!$H$15,$D172&lt;=前提条件!$I$15),OR($D172&gt;=前提条件!$H$15,$D172&lt;=前提条件!$I$15)),1,0)</f>
        <v>0</v>
      </c>
    </row>
    <row r="173" customFormat="false" ht="15" hidden="false" customHeight="false" outlineLevel="0" collapsed="false">
      <c r="A173" s="48" t="n">
        <v>6</v>
      </c>
      <c r="B173" s="48" t="n">
        <v>19</v>
      </c>
      <c r="C173" s="48" t="str">
        <f aca="false">A173&amp;"/"&amp;B173</f>
        <v>6/19</v>
      </c>
      <c r="D173" s="48" t="n">
        <f aca="false">A173*100+B173</f>
        <v>619</v>
      </c>
      <c r="E173" s="45" t="n">
        <f aca="false">IF(SUM(J173:K173)&gt;0,前提条件!$B$6,前提条件!$B$8)</f>
        <v>3</v>
      </c>
      <c r="F173" s="48" t="str">
        <f aca="false">IFERROR(INDEX(前提条件!$B$12:$B$15,MATCH(1,L173:O173,0)),"未設定")</f>
        <v>遅延形</v>
      </c>
      <c r="G173" s="48" t="str">
        <f aca="false">IFERROR(INDEX(前提条件!$C$12:$C$15,MATCH(1,L173:O173,0)),"未設定")</f>
        <v>夏期</v>
      </c>
      <c r="H173" s="44" t="str">
        <f aca="false">"S値+"&amp;E173&amp;"／"&amp;F173&amp;"（"&amp;G173&amp;"）"</f>
        <v>S値+3／遅延形（夏期）</v>
      </c>
      <c r="J173" s="14" t="n">
        <f aca="false">IF(IF(前提条件!$G$6&lt;=前提条件!$H$6,AND($D173&gt;=前提条件!$G$6,$D173&lt;=前提条件!$H$6),OR($D173&gt;=前提条件!$G$6,$D173&lt;=前提条件!$H$6)),1,0)</f>
        <v>0</v>
      </c>
      <c r="K173" s="14" t="n">
        <f aca="false">IF(IF(前提条件!$G$7&lt;=前提条件!$H$7,AND($D173&gt;=前提条件!$G$7,$D173&lt;=前提条件!$H$7),OR($D173&gt;=前提条件!$G$7,$D173&lt;=前提条件!$H$7)),1,0)</f>
        <v>0</v>
      </c>
      <c r="L173" s="14" t="n">
        <f aca="false">IF(IF(前提条件!$H$12&lt;=前提条件!$I$12,AND($D173&gt;=前提条件!$H$12,$D173&lt;=前提条件!$I$12),OR($D173&gt;=前提条件!$H$12,$D173&lt;=前提条件!$I$12)),1,0)</f>
        <v>0</v>
      </c>
      <c r="M173" s="14" t="n">
        <f aca="false">IF(IF(前提条件!$H$13&lt;=前提条件!$I$13,AND($D173&gt;=前提条件!$H$13,$D173&lt;=前提条件!$I$13),OR($D173&gt;=前提条件!$H$13,$D173&lt;=前提条件!$I$13)),1,0)</f>
        <v>1</v>
      </c>
      <c r="N173" s="14" t="n">
        <f aca="false">IF(IF(前提条件!$H$14&lt;=前提条件!$I$14,AND($D173&gt;=前提条件!$H$14,$D173&lt;=前提条件!$I$14),OR($D173&gt;=前提条件!$H$14,$D173&lt;=前提条件!$I$14)),1,0)</f>
        <v>0</v>
      </c>
      <c r="O173" s="14" t="n">
        <f aca="false">IF(IF(前提条件!$H$15&lt;=前提条件!$I$15,AND($D173&gt;=前提条件!$H$15,$D173&lt;=前提条件!$I$15),OR($D173&gt;=前提条件!$H$15,$D173&lt;=前提条件!$I$15)),1,0)</f>
        <v>0</v>
      </c>
    </row>
    <row r="174" customFormat="false" ht="15" hidden="false" customHeight="false" outlineLevel="0" collapsed="false">
      <c r="A174" s="48" t="n">
        <v>6</v>
      </c>
      <c r="B174" s="48" t="n">
        <v>20</v>
      </c>
      <c r="C174" s="48" t="str">
        <f aca="false">A174&amp;"/"&amp;B174</f>
        <v>6/20</v>
      </c>
      <c r="D174" s="48" t="n">
        <f aca="false">A174*100+B174</f>
        <v>620</v>
      </c>
      <c r="E174" s="45" t="n">
        <f aca="false">IF(SUM(J174:K174)&gt;0,前提条件!$B$6,前提条件!$B$8)</f>
        <v>3</v>
      </c>
      <c r="F174" s="48" t="str">
        <f aca="false">IFERROR(INDEX(前提条件!$B$12:$B$15,MATCH(1,L174:O174,0)),"未設定")</f>
        <v>遅延形</v>
      </c>
      <c r="G174" s="48" t="str">
        <f aca="false">IFERROR(INDEX(前提条件!$C$12:$C$15,MATCH(1,L174:O174,0)),"未設定")</f>
        <v>夏期</v>
      </c>
      <c r="H174" s="44" t="str">
        <f aca="false">"S値+"&amp;E174&amp;"／"&amp;F174&amp;"（"&amp;G174&amp;"）"</f>
        <v>S値+3／遅延形（夏期）</v>
      </c>
      <c r="J174" s="14" t="n">
        <f aca="false">IF(IF(前提条件!$G$6&lt;=前提条件!$H$6,AND($D174&gt;=前提条件!$G$6,$D174&lt;=前提条件!$H$6),OR($D174&gt;=前提条件!$G$6,$D174&lt;=前提条件!$H$6)),1,0)</f>
        <v>0</v>
      </c>
      <c r="K174" s="14" t="n">
        <f aca="false">IF(IF(前提条件!$G$7&lt;=前提条件!$H$7,AND($D174&gt;=前提条件!$G$7,$D174&lt;=前提条件!$H$7),OR($D174&gt;=前提条件!$G$7,$D174&lt;=前提条件!$H$7)),1,0)</f>
        <v>0</v>
      </c>
      <c r="L174" s="14" t="n">
        <f aca="false">IF(IF(前提条件!$H$12&lt;=前提条件!$I$12,AND($D174&gt;=前提条件!$H$12,$D174&lt;=前提条件!$I$12),OR($D174&gt;=前提条件!$H$12,$D174&lt;=前提条件!$I$12)),1,0)</f>
        <v>0</v>
      </c>
      <c r="M174" s="14" t="n">
        <f aca="false">IF(IF(前提条件!$H$13&lt;=前提条件!$I$13,AND($D174&gt;=前提条件!$H$13,$D174&lt;=前提条件!$I$13),OR($D174&gt;=前提条件!$H$13,$D174&lt;=前提条件!$I$13)),1,0)</f>
        <v>1</v>
      </c>
      <c r="N174" s="14" t="n">
        <f aca="false">IF(IF(前提条件!$H$14&lt;=前提条件!$I$14,AND($D174&gt;=前提条件!$H$14,$D174&lt;=前提条件!$I$14),OR($D174&gt;=前提条件!$H$14,$D174&lt;=前提条件!$I$14)),1,0)</f>
        <v>0</v>
      </c>
      <c r="O174" s="14" t="n">
        <f aca="false">IF(IF(前提条件!$H$15&lt;=前提条件!$I$15,AND($D174&gt;=前提条件!$H$15,$D174&lt;=前提条件!$I$15),OR($D174&gt;=前提条件!$H$15,$D174&lt;=前提条件!$I$15)),1,0)</f>
        <v>0</v>
      </c>
    </row>
    <row r="175" customFormat="false" ht="15" hidden="false" customHeight="false" outlineLevel="0" collapsed="false">
      <c r="A175" s="48" t="n">
        <v>6</v>
      </c>
      <c r="B175" s="48" t="n">
        <v>21</v>
      </c>
      <c r="C175" s="48" t="str">
        <f aca="false">A175&amp;"/"&amp;B175</f>
        <v>6/21</v>
      </c>
      <c r="D175" s="48" t="n">
        <f aca="false">A175*100+B175</f>
        <v>621</v>
      </c>
      <c r="E175" s="45" t="n">
        <f aca="false">IF(SUM(J175:K175)&gt;0,前提条件!$B$6,前提条件!$B$8)</f>
        <v>3</v>
      </c>
      <c r="F175" s="48" t="str">
        <f aca="false">IFERROR(INDEX(前提条件!$B$12:$B$15,MATCH(1,L175:O175,0)),"未設定")</f>
        <v>遅延形</v>
      </c>
      <c r="G175" s="48" t="str">
        <f aca="false">IFERROR(INDEX(前提条件!$C$12:$C$15,MATCH(1,L175:O175,0)),"未設定")</f>
        <v>夏期</v>
      </c>
      <c r="H175" s="44" t="str">
        <f aca="false">"S値+"&amp;E175&amp;"／"&amp;F175&amp;"（"&amp;G175&amp;"）"</f>
        <v>S値+3／遅延形（夏期）</v>
      </c>
      <c r="J175" s="14" t="n">
        <f aca="false">IF(IF(前提条件!$G$6&lt;=前提条件!$H$6,AND($D175&gt;=前提条件!$G$6,$D175&lt;=前提条件!$H$6),OR($D175&gt;=前提条件!$G$6,$D175&lt;=前提条件!$H$6)),1,0)</f>
        <v>0</v>
      </c>
      <c r="K175" s="14" t="n">
        <f aca="false">IF(IF(前提条件!$G$7&lt;=前提条件!$H$7,AND($D175&gt;=前提条件!$G$7,$D175&lt;=前提条件!$H$7),OR($D175&gt;=前提条件!$G$7,$D175&lt;=前提条件!$H$7)),1,0)</f>
        <v>0</v>
      </c>
      <c r="L175" s="14" t="n">
        <f aca="false">IF(IF(前提条件!$H$12&lt;=前提条件!$I$12,AND($D175&gt;=前提条件!$H$12,$D175&lt;=前提条件!$I$12),OR($D175&gt;=前提条件!$H$12,$D175&lt;=前提条件!$I$12)),1,0)</f>
        <v>0</v>
      </c>
      <c r="M175" s="14" t="n">
        <f aca="false">IF(IF(前提条件!$H$13&lt;=前提条件!$I$13,AND($D175&gt;=前提条件!$H$13,$D175&lt;=前提条件!$I$13),OR($D175&gt;=前提条件!$H$13,$D175&lt;=前提条件!$I$13)),1,0)</f>
        <v>1</v>
      </c>
      <c r="N175" s="14" t="n">
        <f aca="false">IF(IF(前提条件!$H$14&lt;=前提条件!$I$14,AND($D175&gt;=前提条件!$H$14,$D175&lt;=前提条件!$I$14),OR($D175&gt;=前提条件!$H$14,$D175&lt;=前提条件!$I$14)),1,0)</f>
        <v>0</v>
      </c>
      <c r="O175" s="14" t="n">
        <f aca="false">IF(IF(前提条件!$H$15&lt;=前提条件!$I$15,AND($D175&gt;=前提条件!$H$15,$D175&lt;=前提条件!$I$15),OR($D175&gt;=前提条件!$H$15,$D175&lt;=前提条件!$I$15)),1,0)</f>
        <v>0</v>
      </c>
    </row>
    <row r="176" customFormat="false" ht="15" hidden="false" customHeight="false" outlineLevel="0" collapsed="false">
      <c r="A176" s="48" t="n">
        <v>6</v>
      </c>
      <c r="B176" s="48" t="n">
        <v>22</v>
      </c>
      <c r="C176" s="48" t="str">
        <f aca="false">A176&amp;"/"&amp;B176</f>
        <v>6/22</v>
      </c>
      <c r="D176" s="48" t="n">
        <f aca="false">A176*100+B176</f>
        <v>622</v>
      </c>
      <c r="E176" s="45" t="n">
        <f aca="false">IF(SUM(J176:K176)&gt;0,前提条件!$B$6,前提条件!$B$8)</f>
        <v>3</v>
      </c>
      <c r="F176" s="48" t="str">
        <f aca="false">IFERROR(INDEX(前提条件!$B$12:$B$15,MATCH(1,L176:O176,0)),"未設定")</f>
        <v>遅延形</v>
      </c>
      <c r="G176" s="48" t="str">
        <f aca="false">IFERROR(INDEX(前提条件!$C$12:$C$15,MATCH(1,L176:O176,0)),"未設定")</f>
        <v>夏期</v>
      </c>
      <c r="H176" s="44" t="str">
        <f aca="false">"S値+"&amp;E176&amp;"／"&amp;F176&amp;"（"&amp;G176&amp;"）"</f>
        <v>S値+3／遅延形（夏期）</v>
      </c>
      <c r="J176" s="14" t="n">
        <f aca="false">IF(IF(前提条件!$G$6&lt;=前提条件!$H$6,AND($D176&gt;=前提条件!$G$6,$D176&lt;=前提条件!$H$6),OR($D176&gt;=前提条件!$G$6,$D176&lt;=前提条件!$H$6)),1,0)</f>
        <v>0</v>
      </c>
      <c r="K176" s="14" t="n">
        <f aca="false">IF(IF(前提条件!$G$7&lt;=前提条件!$H$7,AND($D176&gt;=前提条件!$G$7,$D176&lt;=前提条件!$H$7),OR($D176&gt;=前提条件!$G$7,$D176&lt;=前提条件!$H$7)),1,0)</f>
        <v>0</v>
      </c>
      <c r="L176" s="14" t="n">
        <f aca="false">IF(IF(前提条件!$H$12&lt;=前提条件!$I$12,AND($D176&gt;=前提条件!$H$12,$D176&lt;=前提条件!$I$12),OR($D176&gt;=前提条件!$H$12,$D176&lt;=前提条件!$I$12)),1,0)</f>
        <v>0</v>
      </c>
      <c r="M176" s="14" t="n">
        <f aca="false">IF(IF(前提条件!$H$13&lt;=前提条件!$I$13,AND($D176&gt;=前提条件!$H$13,$D176&lt;=前提条件!$I$13),OR($D176&gt;=前提条件!$H$13,$D176&lt;=前提条件!$I$13)),1,0)</f>
        <v>1</v>
      </c>
      <c r="N176" s="14" t="n">
        <f aca="false">IF(IF(前提条件!$H$14&lt;=前提条件!$I$14,AND($D176&gt;=前提条件!$H$14,$D176&lt;=前提条件!$I$14),OR($D176&gt;=前提条件!$H$14,$D176&lt;=前提条件!$I$14)),1,0)</f>
        <v>0</v>
      </c>
      <c r="O176" s="14" t="n">
        <f aca="false">IF(IF(前提条件!$H$15&lt;=前提条件!$I$15,AND($D176&gt;=前提条件!$H$15,$D176&lt;=前提条件!$I$15),OR($D176&gt;=前提条件!$H$15,$D176&lt;=前提条件!$I$15)),1,0)</f>
        <v>0</v>
      </c>
    </row>
    <row r="177" customFormat="false" ht="15" hidden="false" customHeight="false" outlineLevel="0" collapsed="false">
      <c r="A177" s="48" t="n">
        <v>6</v>
      </c>
      <c r="B177" s="48" t="n">
        <v>23</v>
      </c>
      <c r="C177" s="48" t="str">
        <f aca="false">A177&amp;"/"&amp;B177</f>
        <v>6/23</v>
      </c>
      <c r="D177" s="48" t="n">
        <f aca="false">A177*100+B177</f>
        <v>623</v>
      </c>
      <c r="E177" s="45" t="n">
        <f aca="false">IF(SUM(J177:K177)&gt;0,前提条件!$B$6,前提条件!$B$8)</f>
        <v>3</v>
      </c>
      <c r="F177" s="48" t="str">
        <f aca="false">IFERROR(INDEX(前提条件!$B$12:$B$15,MATCH(1,L177:O177,0)),"未設定")</f>
        <v>遅延形</v>
      </c>
      <c r="G177" s="48" t="str">
        <f aca="false">IFERROR(INDEX(前提条件!$C$12:$C$15,MATCH(1,L177:O177,0)),"未設定")</f>
        <v>夏期</v>
      </c>
      <c r="H177" s="44" t="str">
        <f aca="false">"S値+"&amp;E177&amp;"／"&amp;F177&amp;"（"&amp;G177&amp;"）"</f>
        <v>S値+3／遅延形（夏期）</v>
      </c>
      <c r="J177" s="14" t="n">
        <f aca="false">IF(IF(前提条件!$G$6&lt;=前提条件!$H$6,AND($D177&gt;=前提条件!$G$6,$D177&lt;=前提条件!$H$6),OR($D177&gt;=前提条件!$G$6,$D177&lt;=前提条件!$H$6)),1,0)</f>
        <v>0</v>
      </c>
      <c r="K177" s="14" t="n">
        <f aca="false">IF(IF(前提条件!$G$7&lt;=前提条件!$H$7,AND($D177&gt;=前提条件!$G$7,$D177&lt;=前提条件!$H$7),OR($D177&gt;=前提条件!$G$7,$D177&lt;=前提条件!$H$7)),1,0)</f>
        <v>0</v>
      </c>
      <c r="L177" s="14" t="n">
        <f aca="false">IF(IF(前提条件!$H$12&lt;=前提条件!$I$12,AND($D177&gt;=前提条件!$H$12,$D177&lt;=前提条件!$I$12),OR($D177&gt;=前提条件!$H$12,$D177&lt;=前提条件!$I$12)),1,0)</f>
        <v>0</v>
      </c>
      <c r="M177" s="14" t="n">
        <f aca="false">IF(IF(前提条件!$H$13&lt;=前提条件!$I$13,AND($D177&gt;=前提条件!$H$13,$D177&lt;=前提条件!$I$13),OR($D177&gt;=前提条件!$H$13,$D177&lt;=前提条件!$I$13)),1,0)</f>
        <v>1</v>
      </c>
      <c r="N177" s="14" t="n">
        <f aca="false">IF(IF(前提条件!$H$14&lt;=前提条件!$I$14,AND($D177&gt;=前提条件!$H$14,$D177&lt;=前提条件!$I$14),OR($D177&gt;=前提条件!$H$14,$D177&lt;=前提条件!$I$14)),1,0)</f>
        <v>0</v>
      </c>
      <c r="O177" s="14" t="n">
        <f aca="false">IF(IF(前提条件!$H$15&lt;=前提条件!$I$15,AND($D177&gt;=前提条件!$H$15,$D177&lt;=前提条件!$I$15),OR($D177&gt;=前提条件!$H$15,$D177&lt;=前提条件!$I$15)),1,0)</f>
        <v>0</v>
      </c>
    </row>
    <row r="178" customFormat="false" ht="15" hidden="false" customHeight="false" outlineLevel="0" collapsed="false">
      <c r="A178" s="48" t="n">
        <v>6</v>
      </c>
      <c r="B178" s="48" t="n">
        <v>24</v>
      </c>
      <c r="C178" s="48" t="str">
        <f aca="false">A178&amp;"/"&amp;B178</f>
        <v>6/24</v>
      </c>
      <c r="D178" s="48" t="n">
        <f aca="false">A178*100+B178</f>
        <v>624</v>
      </c>
      <c r="E178" s="45" t="n">
        <f aca="false">IF(SUM(J178:K178)&gt;0,前提条件!$B$6,前提条件!$B$8)</f>
        <v>3</v>
      </c>
      <c r="F178" s="48" t="str">
        <f aca="false">IFERROR(INDEX(前提条件!$B$12:$B$15,MATCH(1,L178:O178,0)),"未設定")</f>
        <v>遅延形</v>
      </c>
      <c r="G178" s="48" t="str">
        <f aca="false">IFERROR(INDEX(前提条件!$C$12:$C$15,MATCH(1,L178:O178,0)),"未設定")</f>
        <v>夏期</v>
      </c>
      <c r="H178" s="44" t="str">
        <f aca="false">"S値+"&amp;E178&amp;"／"&amp;F178&amp;"（"&amp;G178&amp;"）"</f>
        <v>S値+3／遅延形（夏期）</v>
      </c>
      <c r="J178" s="14" t="n">
        <f aca="false">IF(IF(前提条件!$G$6&lt;=前提条件!$H$6,AND($D178&gt;=前提条件!$G$6,$D178&lt;=前提条件!$H$6),OR($D178&gt;=前提条件!$G$6,$D178&lt;=前提条件!$H$6)),1,0)</f>
        <v>0</v>
      </c>
      <c r="K178" s="14" t="n">
        <f aca="false">IF(IF(前提条件!$G$7&lt;=前提条件!$H$7,AND($D178&gt;=前提条件!$G$7,$D178&lt;=前提条件!$H$7),OR($D178&gt;=前提条件!$G$7,$D178&lt;=前提条件!$H$7)),1,0)</f>
        <v>0</v>
      </c>
      <c r="L178" s="14" t="n">
        <f aca="false">IF(IF(前提条件!$H$12&lt;=前提条件!$I$12,AND($D178&gt;=前提条件!$H$12,$D178&lt;=前提条件!$I$12),OR($D178&gt;=前提条件!$H$12,$D178&lt;=前提条件!$I$12)),1,0)</f>
        <v>0</v>
      </c>
      <c r="M178" s="14" t="n">
        <f aca="false">IF(IF(前提条件!$H$13&lt;=前提条件!$I$13,AND($D178&gt;=前提条件!$H$13,$D178&lt;=前提条件!$I$13),OR($D178&gt;=前提条件!$H$13,$D178&lt;=前提条件!$I$13)),1,0)</f>
        <v>1</v>
      </c>
      <c r="N178" s="14" t="n">
        <f aca="false">IF(IF(前提条件!$H$14&lt;=前提条件!$I$14,AND($D178&gt;=前提条件!$H$14,$D178&lt;=前提条件!$I$14),OR($D178&gt;=前提条件!$H$14,$D178&lt;=前提条件!$I$14)),1,0)</f>
        <v>0</v>
      </c>
      <c r="O178" s="14" t="n">
        <f aca="false">IF(IF(前提条件!$H$15&lt;=前提条件!$I$15,AND($D178&gt;=前提条件!$H$15,$D178&lt;=前提条件!$I$15),OR($D178&gt;=前提条件!$H$15,$D178&lt;=前提条件!$I$15)),1,0)</f>
        <v>0</v>
      </c>
    </row>
    <row r="179" customFormat="false" ht="15" hidden="false" customHeight="false" outlineLevel="0" collapsed="false">
      <c r="A179" s="48" t="n">
        <v>6</v>
      </c>
      <c r="B179" s="48" t="n">
        <v>25</v>
      </c>
      <c r="C179" s="48" t="str">
        <f aca="false">A179&amp;"/"&amp;B179</f>
        <v>6/25</v>
      </c>
      <c r="D179" s="48" t="n">
        <f aca="false">A179*100+B179</f>
        <v>625</v>
      </c>
      <c r="E179" s="45" t="n">
        <f aca="false">IF(SUM(J179:K179)&gt;0,前提条件!$B$6,前提条件!$B$8)</f>
        <v>3</v>
      </c>
      <c r="F179" s="48" t="str">
        <f aca="false">IFERROR(INDEX(前提条件!$B$12:$B$15,MATCH(1,L179:O179,0)),"未設定")</f>
        <v>遅延形</v>
      </c>
      <c r="G179" s="48" t="str">
        <f aca="false">IFERROR(INDEX(前提条件!$C$12:$C$15,MATCH(1,L179:O179,0)),"未設定")</f>
        <v>夏期</v>
      </c>
      <c r="H179" s="44" t="str">
        <f aca="false">"S値+"&amp;E179&amp;"／"&amp;F179&amp;"（"&amp;G179&amp;"）"</f>
        <v>S値+3／遅延形（夏期）</v>
      </c>
      <c r="J179" s="14" t="n">
        <f aca="false">IF(IF(前提条件!$G$6&lt;=前提条件!$H$6,AND($D179&gt;=前提条件!$G$6,$D179&lt;=前提条件!$H$6),OR($D179&gt;=前提条件!$G$6,$D179&lt;=前提条件!$H$6)),1,0)</f>
        <v>0</v>
      </c>
      <c r="K179" s="14" t="n">
        <f aca="false">IF(IF(前提条件!$G$7&lt;=前提条件!$H$7,AND($D179&gt;=前提条件!$G$7,$D179&lt;=前提条件!$H$7),OR($D179&gt;=前提条件!$G$7,$D179&lt;=前提条件!$H$7)),1,0)</f>
        <v>0</v>
      </c>
      <c r="L179" s="14" t="n">
        <f aca="false">IF(IF(前提条件!$H$12&lt;=前提条件!$I$12,AND($D179&gt;=前提条件!$H$12,$D179&lt;=前提条件!$I$12),OR($D179&gt;=前提条件!$H$12,$D179&lt;=前提条件!$I$12)),1,0)</f>
        <v>0</v>
      </c>
      <c r="M179" s="14" t="n">
        <f aca="false">IF(IF(前提条件!$H$13&lt;=前提条件!$I$13,AND($D179&gt;=前提条件!$H$13,$D179&lt;=前提条件!$I$13),OR($D179&gt;=前提条件!$H$13,$D179&lt;=前提条件!$I$13)),1,0)</f>
        <v>1</v>
      </c>
      <c r="N179" s="14" t="n">
        <f aca="false">IF(IF(前提条件!$H$14&lt;=前提条件!$I$14,AND($D179&gt;=前提条件!$H$14,$D179&lt;=前提条件!$I$14),OR($D179&gt;=前提条件!$H$14,$D179&lt;=前提条件!$I$14)),1,0)</f>
        <v>0</v>
      </c>
      <c r="O179" s="14" t="n">
        <f aca="false">IF(IF(前提条件!$H$15&lt;=前提条件!$I$15,AND($D179&gt;=前提条件!$H$15,$D179&lt;=前提条件!$I$15),OR($D179&gt;=前提条件!$H$15,$D179&lt;=前提条件!$I$15)),1,0)</f>
        <v>0</v>
      </c>
    </row>
    <row r="180" customFormat="false" ht="15" hidden="false" customHeight="false" outlineLevel="0" collapsed="false">
      <c r="A180" s="48" t="n">
        <v>6</v>
      </c>
      <c r="B180" s="48" t="n">
        <v>26</v>
      </c>
      <c r="C180" s="48" t="str">
        <f aca="false">A180&amp;"/"&amp;B180</f>
        <v>6/26</v>
      </c>
      <c r="D180" s="48" t="n">
        <f aca="false">A180*100+B180</f>
        <v>626</v>
      </c>
      <c r="E180" s="45" t="n">
        <f aca="false">IF(SUM(J180:K180)&gt;0,前提条件!$B$6,前提条件!$B$8)</f>
        <v>3</v>
      </c>
      <c r="F180" s="48" t="str">
        <f aca="false">IFERROR(INDEX(前提条件!$B$12:$B$15,MATCH(1,L180:O180,0)),"未設定")</f>
        <v>遅延形</v>
      </c>
      <c r="G180" s="48" t="str">
        <f aca="false">IFERROR(INDEX(前提条件!$C$12:$C$15,MATCH(1,L180:O180,0)),"未設定")</f>
        <v>夏期</v>
      </c>
      <c r="H180" s="44" t="str">
        <f aca="false">"S値+"&amp;E180&amp;"／"&amp;F180&amp;"（"&amp;G180&amp;"）"</f>
        <v>S値+3／遅延形（夏期）</v>
      </c>
      <c r="J180" s="14" t="n">
        <f aca="false">IF(IF(前提条件!$G$6&lt;=前提条件!$H$6,AND($D180&gt;=前提条件!$G$6,$D180&lt;=前提条件!$H$6),OR($D180&gt;=前提条件!$G$6,$D180&lt;=前提条件!$H$6)),1,0)</f>
        <v>0</v>
      </c>
      <c r="K180" s="14" t="n">
        <f aca="false">IF(IF(前提条件!$G$7&lt;=前提条件!$H$7,AND($D180&gt;=前提条件!$G$7,$D180&lt;=前提条件!$H$7),OR($D180&gt;=前提条件!$G$7,$D180&lt;=前提条件!$H$7)),1,0)</f>
        <v>0</v>
      </c>
      <c r="L180" s="14" t="n">
        <f aca="false">IF(IF(前提条件!$H$12&lt;=前提条件!$I$12,AND($D180&gt;=前提条件!$H$12,$D180&lt;=前提条件!$I$12),OR($D180&gt;=前提条件!$H$12,$D180&lt;=前提条件!$I$12)),1,0)</f>
        <v>0</v>
      </c>
      <c r="M180" s="14" t="n">
        <f aca="false">IF(IF(前提条件!$H$13&lt;=前提条件!$I$13,AND($D180&gt;=前提条件!$H$13,$D180&lt;=前提条件!$I$13),OR($D180&gt;=前提条件!$H$13,$D180&lt;=前提条件!$I$13)),1,0)</f>
        <v>1</v>
      </c>
      <c r="N180" s="14" t="n">
        <f aca="false">IF(IF(前提条件!$H$14&lt;=前提条件!$I$14,AND($D180&gt;=前提条件!$H$14,$D180&lt;=前提条件!$I$14),OR($D180&gt;=前提条件!$H$14,$D180&lt;=前提条件!$I$14)),1,0)</f>
        <v>0</v>
      </c>
      <c r="O180" s="14" t="n">
        <f aca="false">IF(IF(前提条件!$H$15&lt;=前提条件!$I$15,AND($D180&gt;=前提条件!$H$15,$D180&lt;=前提条件!$I$15),OR($D180&gt;=前提条件!$H$15,$D180&lt;=前提条件!$I$15)),1,0)</f>
        <v>0</v>
      </c>
    </row>
    <row r="181" customFormat="false" ht="15" hidden="false" customHeight="false" outlineLevel="0" collapsed="false">
      <c r="A181" s="48" t="n">
        <v>6</v>
      </c>
      <c r="B181" s="48" t="n">
        <v>27</v>
      </c>
      <c r="C181" s="48" t="str">
        <f aca="false">A181&amp;"/"&amp;B181</f>
        <v>6/27</v>
      </c>
      <c r="D181" s="48" t="n">
        <f aca="false">A181*100+B181</f>
        <v>627</v>
      </c>
      <c r="E181" s="45" t="n">
        <f aca="false">IF(SUM(J181:K181)&gt;0,前提条件!$B$6,前提条件!$B$8)</f>
        <v>3</v>
      </c>
      <c r="F181" s="48" t="str">
        <f aca="false">IFERROR(INDEX(前提条件!$B$12:$B$15,MATCH(1,L181:O181,0)),"未設定")</f>
        <v>遅延形</v>
      </c>
      <c r="G181" s="48" t="str">
        <f aca="false">IFERROR(INDEX(前提条件!$C$12:$C$15,MATCH(1,L181:O181,0)),"未設定")</f>
        <v>夏期</v>
      </c>
      <c r="H181" s="44" t="str">
        <f aca="false">"S値+"&amp;E181&amp;"／"&amp;F181&amp;"（"&amp;G181&amp;"）"</f>
        <v>S値+3／遅延形（夏期）</v>
      </c>
      <c r="J181" s="14" t="n">
        <f aca="false">IF(IF(前提条件!$G$6&lt;=前提条件!$H$6,AND($D181&gt;=前提条件!$G$6,$D181&lt;=前提条件!$H$6),OR($D181&gt;=前提条件!$G$6,$D181&lt;=前提条件!$H$6)),1,0)</f>
        <v>0</v>
      </c>
      <c r="K181" s="14" t="n">
        <f aca="false">IF(IF(前提条件!$G$7&lt;=前提条件!$H$7,AND($D181&gt;=前提条件!$G$7,$D181&lt;=前提条件!$H$7),OR($D181&gt;=前提条件!$G$7,$D181&lt;=前提条件!$H$7)),1,0)</f>
        <v>0</v>
      </c>
      <c r="L181" s="14" t="n">
        <f aca="false">IF(IF(前提条件!$H$12&lt;=前提条件!$I$12,AND($D181&gt;=前提条件!$H$12,$D181&lt;=前提条件!$I$12),OR($D181&gt;=前提条件!$H$12,$D181&lt;=前提条件!$I$12)),1,0)</f>
        <v>0</v>
      </c>
      <c r="M181" s="14" t="n">
        <f aca="false">IF(IF(前提条件!$H$13&lt;=前提条件!$I$13,AND($D181&gt;=前提条件!$H$13,$D181&lt;=前提条件!$I$13),OR($D181&gt;=前提条件!$H$13,$D181&lt;=前提条件!$I$13)),1,0)</f>
        <v>1</v>
      </c>
      <c r="N181" s="14" t="n">
        <f aca="false">IF(IF(前提条件!$H$14&lt;=前提条件!$I$14,AND($D181&gt;=前提条件!$H$14,$D181&lt;=前提条件!$I$14),OR($D181&gt;=前提条件!$H$14,$D181&lt;=前提条件!$I$14)),1,0)</f>
        <v>0</v>
      </c>
      <c r="O181" s="14" t="n">
        <f aca="false">IF(IF(前提条件!$H$15&lt;=前提条件!$I$15,AND($D181&gt;=前提条件!$H$15,$D181&lt;=前提条件!$I$15),OR($D181&gt;=前提条件!$H$15,$D181&lt;=前提条件!$I$15)),1,0)</f>
        <v>0</v>
      </c>
    </row>
    <row r="182" customFormat="false" ht="15" hidden="false" customHeight="false" outlineLevel="0" collapsed="false">
      <c r="A182" s="48" t="n">
        <v>6</v>
      </c>
      <c r="B182" s="48" t="n">
        <v>28</v>
      </c>
      <c r="C182" s="48" t="str">
        <f aca="false">A182&amp;"/"&amp;B182</f>
        <v>6/28</v>
      </c>
      <c r="D182" s="48" t="n">
        <f aca="false">A182*100+B182</f>
        <v>628</v>
      </c>
      <c r="E182" s="45" t="n">
        <f aca="false">IF(SUM(J182:K182)&gt;0,前提条件!$B$6,前提条件!$B$8)</f>
        <v>3</v>
      </c>
      <c r="F182" s="48" t="str">
        <f aca="false">IFERROR(INDEX(前提条件!$B$12:$B$15,MATCH(1,L182:O182,0)),"未設定")</f>
        <v>遅延形</v>
      </c>
      <c r="G182" s="48" t="str">
        <f aca="false">IFERROR(INDEX(前提条件!$C$12:$C$15,MATCH(1,L182:O182,0)),"未設定")</f>
        <v>夏期</v>
      </c>
      <c r="H182" s="44" t="str">
        <f aca="false">"S値+"&amp;E182&amp;"／"&amp;F182&amp;"（"&amp;G182&amp;"）"</f>
        <v>S値+3／遅延形（夏期）</v>
      </c>
      <c r="J182" s="14" t="n">
        <f aca="false">IF(IF(前提条件!$G$6&lt;=前提条件!$H$6,AND($D182&gt;=前提条件!$G$6,$D182&lt;=前提条件!$H$6),OR($D182&gt;=前提条件!$G$6,$D182&lt;=前提条件!$H$6)),1,0)</f>
        <v>0</v>
      </c>
      <c r="K182" s="14" t="n">
        <f aca="false">IF(IF(前提条件!$G$7&lt;=前提条件!$H$7,AND($D182&gt;=前提条件!$G$7,$D182&lt;=前提条件!$H$7),OR($D182&gt;=前提条件!$G$7,$D182&lt;=前提条件!$H$7)),1,0)</f>
        <v>0</v>
      </c>
      <c r="L182" s="14" t="n">
        <f aca="false">IF(IF(前提条件!$H$12&lt;=前提条件!$I$12,AND($D182&gt;=前提条件!$H$12,$D182&lt;=前提条件!$I$12),OR($D182&gt;=前提条件!$H$12,$D182&lt;=前提条件!$I$12)),1,0)</f>
        <v>0</v>
      </c>
      <c r="M182" s="14" t="n">
        <f aca="false">IF(IF(前提条件!$H$13&lt;=前提条件!$I$13,AND($D182&gt;=前提条件!$H$13,$D182&lt;=前提条件!$I$13),OR($D182&gt;=前提条件!$H$13,$D182&lt;=前提条件!$I$13)),1,0)</f>
        <v>1</v>
      </c>
      <c r="N182" s="14" t="n">
        <f aca="false">IF(IF(前提条件!$H$14&lt;=前提条件!$I$14,AND($D182&gt;=前提条件!$H$14,$D182&lt;=前提条件!$I$14),OR($D182&gt;=前提条件!$H$14,$D182&lt;=前提条件!$I$14)),1,0)</f>
        <v>0</v>
      </c>
      <c r="O182" s="14" t="n">
        <f aca="false">IF(IF(前提条件!$H$15&lt;=前提条件!$I$15,AND($D182&gt;=前提条件!$H$15,$D182&lt;=前提条件!$I$15),OR($D182&gt;=前提条件!$H$15,$D182&lt;=前提条件!$I$15)),1,0)</f>
        <v>0</v>
      </c>
    </row>
    <row r="183" customFormat="false" ht="15" hidden="false" customHeight="false" outlineLevel="0" collapsed="false">
      <c r="A183" s="48" t="n">
        <v>6</v>
      </c>
      <c r="B183" s="48" t="n">
        <v>29</v>
      </c>
      <c r="C183" s="48" t="str">
        <f aca="false">A183&amp;"/"&amp;B183</f>
        <v>6/29</v>
      </c>
      <c r="D183" s="48" t="n">
        <f aca="false">A183*100+B183</f>
        <v>629</v>
      </c>
      <c r="E183" s="45" t="n">
        <f aca="false">IF(SUM(J183:K183)&gt;0,前提条件!$B$6,前提条件!$B$8)</f>
        <v>3</v>
      </c>
      <c r="F183" s="48" t="str">
        <f aca="false">IFERROR(INDEX(前提条件!$B$12:$B$15,MATCH(1,L183:O183,0)),"未設定")</f>
        <v>遅延形</v>
      </c>
      <c r="G183" s="48" t="str">
        <f aca="false">IFERROR(INDEX(前提条件!$C$12:$C$15,MATCH(1,L183:O183,0)),"未設定")</f>
        <v>夏期</v>
      </c>
      <c r="H183" s="44" t="str">
        <f aca="false">"S値+"&amp;E183&amp;"／"&amp;F183&amp;"（"&amp;G183&amp;"）"</f>
        <v>S値+3／遅延形（夏期）</v>
      </c>
      <c r="J183" s="14" t="n">
        <f aca="false">IF(IF(前提条件!$G$6&lt;=前提条件!$H$6,AND($D183&gt;=前提条件!$G$6,$D183&lt;=前提条件!$H$6),OR($D183&gt;=前提条件!$G$6,$D183&lt;=前提条件!$H$6)),1,0)</f>
        <v>0</v>
      </c>
      <c r="K183" s="14" t="n">
        <f aca="false">IF(IF(前提条件!$G$7&lt;=前提条件!$H$7,AND($D183&gt;=前提条件!$G$7,$D183&lt;=前提条件!$H$7),OR($D183&gt;=前提条件!$G$7,$D183&lt;=前提条件!$H$7)),1,0)</f>
        <v>0</v>
      </c>
      <c r="L183" s="14" t="n">
        <f aca="false">IF(IF(前提条件!$H$12&lt;=前提条件!$I$12,AND($D183&gt;=前提条件!$H$12,$D183&lt;=前提条件!$I$12),OR($D183&gt;=前提条件!$H$12,$D183&lt;=前提条件!$I$12)),1,0)</f>
        <v>0</v>
      </c>
      <c r="M183" s="14" t="n">
        <f aca="false">IF(IF(前提条件!$H$13&lt;=前提条件!$I$13,AND($D183&gt;=前提条件!$H$13,$D183&lt;=前提条件!$I$13),OR($D183&gt;=前提条件!$H$13,$D183&lt;=前提条件!$I$13)),1,0)</f>
        <v>1</v>
      </c>
      <c r="N183" s="14" t="n">
        <f aca="false">IF(IF(前提条件!$H$14&lt;=前提条件!$I$14,AND($D183&gt;=前提条件!$H$14,$D183&lt;=前提条件!$I$14),OR($D183&gt;=前提条件!$H$14,$D183&lt;=前提条件!$I$14)),1,0)</f>
        <v>0</v>
      </c>
      <c r="O183" s="14" t="n">
        <f aca="false">IF(IF(前提条件!$H$15&lt;=前提条件!$I$15,AND($D183&gt;=前提条件!$H$15,$D183&lt;=前提条件!$I$15),OR($D183&gt;=前提条件!$H$15,$D183&lt;=前提条件!$I$15)),1,0)</f>
        <v>0</v>
      </c>
    </row>
    <row r="184" customFormat="false" ht="15" hidden="false" customHeight="false" outlineLevel="0" collapsed="false">
      <c r="A184" s="48" t="n">
        <v>6</v>
      </c>
      <c r="B184" s="48" t="n">
        <v>30</v>
      </c>
      <c r="C184" s="48" t="str">
        <f aca="false">A184&amp;"/"&amp;B184</f>
        <v>6/30</v>
      </c>
      <c r="D184" s="48" t="n">
        <f aca="false">A184*100+B184</f>
        <v>630</v>
      </c>
      <c r="E184" s="45" t="n">
        <f aca="false">IF(SUM(J184:K184)&gt;0,前提条件!$B$6,前提条件!$B$8)</f>
        <v>6</v>
      </c>
      <c r="F184" s="48" t="str">
        <f aca="false">IFERROR(INDEX(前提条件!$B$12:$B$15,MATCH(1,L184:O184,0)),"未設定")</f>
        <v>遅延形</v>
      </c>
      <c r="G184" s="48" t="str">
        <f aca="false">IFERROR(INDEX(前提条件!$C$12:$C$15,MATCH(1,L184:O184,0)),"未設定")</f>
        <v>夏期</v>
      </c>
      <c r="H184" s="44" t="str">
        <f aca="false">"S値+"&amp;E184&amp;"／"&amp;F184&amp;"（"&amp;G184&amp;"）"</f>
        <v>S値+6／遅延形（夏期）</v>
      </c>
      <c r="J184" s="14" t="n">
        <f aca="false">IF(IF(前提条件!$G$6&lt;=前提条件!$H$6,AND($D184&gt;=前提条件!$G$6,$D184&lt;=前提条件!$H$6),OR($D184&gt;=前提条件!$G$6,$D184&lt;=前提条件!$H$6)),1,0)</f>
        <v>1</v>
      </c>
      <c r="K184" s="14" t="n">
        <f aca="false">IF(IF(前提条件!$G$7&lt;=前提条件!$H$7,AND($D184&gt;=前提条件!$G$7,$D184&lt;=前提条件!$H$7),OR($D184&gt;=前提条件!$G$7,$D184&lt;=前提条件!$H$7)),1,0)</f>
        <v>0</v>
      </c>
      <c r="L184" s="14" t="n">
        <f aca="false">IF(IF(前提条件!$H$12&lt;=前提条件!$I$12,AND($D184&gt;=前提条件!$H$12,$D184&lt;=前提条件!$I$12),OR($D184&gt;=前提条件!$H$12,$D184&lt;=前提条件!$I$12)),1,0)</f>
        <v>0</v>
      </c>
      <c r="M184" s="14" t="n">
        <f aca="false">IF(IF(前提条件!$H$13&lt;=前提条件!$I$13,AND($D184&gt;=前提条件!$H$13,$D184&lt;=前提条件!$I$13),OR($D184&gt;=前提条件!$H$13,$D184&lt;=前提条件!$I$13)),1,0)</f>
        <v>1</v>
      </c>
      <c r="N184" s="14" t="n">
        <f aca="false">IF(IF(前提条件!$H$14&lt;=前提条件!$I$14,AND($D184&gt;=前提条件!$H$14,$D184&lt;=前提条件!$I$14),OR($D184&gt;=前提条件!$H$14,$D184&lt;=前提条件!$I$14)),1,0)</f>
        <v>0</v>
      </c>
      <c r="O184" s="14" t="n">
        <f aca="false">IF(IF(前提条件!$H$15&lt;=前提条件!$I$15,AND($D184&gt;=前提条件!$H$15,$D184&lt;=前提条件!$I$15),OR($D184&gt;=前提条件!$H$15,$D184&lt;=前提条件!$I$15)),1,0)</f>
        <v>0</v>
      </c>
    </row>
    <row r="185" customFormat="false" ht="15" hidden="false" customHeight="false" outlineLevel="0" collapsed="false">
      <c r="A185" s="48" t="n">
        <v>7</v>
      </c>
      <c r="B185" s="48" t="n">
        <v>1</v>
      </c>
      <c r="C185" s="48" t="str">
        <f aca="false">A185&amp;"/"&amp;B185</f>
        <v>7/1</v>
      </c>
      <c r="D185" s="48" t="n">
        <f aca="false">A185*100+B185</f>
        <v>701</v>
      </c>
      <c r="E185" s="45" t="n">
        <f aca="false">IF(SUM(J185:K185)&gt;0,前提条件!$B$6,前提条件!$B$8)</f>
        <v>6</v>
      </c>
      <c r="F185" s="48" t="str">
        <f aca="false">IFERROR(INDEX(前提条件!$B$12:$B$15,MATCH(1,L185:O185,0)),"未設定")</f>
        <v>遅延形</v>
      </c>
      <c r="G185" s="48" t="str">
        <f aca="false">IFERROR(INDEX(前提条件!$C$12:$C$15,MATCH(1,L185:O185,0)),"未設定")</f>
        <v>夏期</v>
      </c>
      <c r="H185" s="44" t="str">
        <f aca="false">"S値+"&amp;E185&amp;"／"&amp;F185&amp;"（"&amp;G185&amp;"）"</f>
        <v>S値+6／遅延形（夏期）</v>
      </c>
      <c r="J185" s="14" t="n">
        <f aca="false">IF(IF(前提条件!$G$6&lt;=前提条件!$H$6,AND($D185&gt;=前提条件!$G$6,$D185&lt;=前提条件!$H$6),OR($D185&gt;=前提条件!$G$6,$D185&lt;=前提条件!$H$6)),1,0)</f>
        <v>1</v>
      </c>
      <c r="K185" s="14" t="n">
        <f aca="false">IF(IF(前提条件!$G$7&lt;=前提条件!$H$7,AND($D185&gt;=前提条件!$G$7,$D185&lt;=前提条件!$H$7),OR($D185&gt;=前提条件!$G$7,$D185&lt;=前提条件!$H$7)),1,0)</f>
        <v>0</v>
      </c>
      <c r="L185" s="14" t="n">
        <f aca="false">IF(IF(前提条件!$H$12&lt;=前提条件!$I$12,AND($D185&gt;=前提条件!$H$12,$D185&lt;=前提条件!$I$12),OR($D185&gt;=前提条件!$H$12,$D185&lt;=前提条件!$I$12)),1,0)</f>
        <v>0</v>
      </c>
      <c r="M185" s="14" t="n">
        <f aca="false">IF(IF(前提条件!$H$13&lt;=前提条件!$I$13,AND($D185&gt;=前提条件!$H$13,$D185&lt;=前提条件!$I$13),OR($D185&gt;=前提条件!$H$13,$D185&lt;=前提条件!$I$13)),1,0)</f>
        <v>1</v>
      </c>
      <c r="N185" s="14" t="n">
        <f aca="false">IF(IF(前提条件!$H$14&lt;=前提条件!$I$14,AND($D185&gt;=前提条件!$H$14,$D185&lt;=前提条件!$I$14),OR($D185&gt;=前提条件!$H$14,$D185&lt;=前提条件!$I$14)),1,0)</f>
        <v>0</v>
      </c>
      <c r="O185" s="14" t="n">
        <f aca="false">IF(IF(前提条件!$H$15&lt;=前提条件!$I$15,AND($D185&gt;=前提条件!$H$15,$D185&lt;=前提条件!$I$15),OR($D185&gt;=前提条件!$H$15,$D185&lt;=前提条件!$I$15)),1,0)</f>
        <v>0</v>
      </c>
    </row>
    <row r="186" customFormat="false" ht="15" hidden="false" customHeight="false" outlineLevel="0" collapsed="false">
      <c r="A186" s="48" t="n">
        <v>7</v>
      </c>
      <c r="B186" s="48" t="n">
        <v>2</v>
      </c>
      <c r="C186" s="48" t="str">
        <f aca="false">A186&amp;"/"&amp;B186</f>
        <v>7/2</v>
      </c>
      <c r="D186" s="48" t="n">
        <f aca="false">A186*100+B186</f>
        <v>702</v>
      </c>
      <c r="E186" s="45" t="n">
        <f aca="false">IF(SUM(J186:K186)&gt;0,前提条件!$B$6,前提条件!$B$8)</f>
        <v>6</v>
      </c>
      <c r="F186" s="48" t="str">
        <f aca="false">IFERROR(INDEX(前提条件!$B$12:$B$15,MATCH(1,L186:O186,0)),"未設定")</f>
        <v>遅延形</v>
      </c>
      <c r="G186" s="48" t="str">
        <f aca="false">IFERROR(INDEX(前提条件!$C$12:$C$15,MATCH(1,L186:O186,0)),"未設定")</f>
        <v>夏期</v>
      </c>
      <c r="H186" s="44" t="str">
        <f aca="false">"S値+"&amp;E186&amp;"／"&amp;F186&amp;"（"&amp;G186&amp;"）"</f>
        <v>S値+6／遅延形（夏期）</v>
      </c>
      <c r="J186" s="14" t="n">
        <f aca="false">IF(IF(前提条件!$G$6&lt;=前提条件!$H$6,AND($D186&gt;=前提条件!$G$6,$D186&lt;=前提条件!$H$6),OR($D186&gt;=前提条件!$G$6,$D186&lt;=前提条件!$H$6)),1,0)</f>
        <v>1</v>
      </c>
      <c r="K186" s="14" t="n">
        <f aca="false">IF(IF(前提条件!$G$7&lt;=前提条件!$H$7,AND($D186&gt;=前提条件!$G$7,$D186&lt;=前提条件!$H$7),OR($D186&gt;=前提条件!$G$7,$D186&lt;=前提条件!$H$7)),1,0)</f>
        <v>0</v>
      </c>
      <c r="L186" s="14" t="n">
        <f aca="false">IF(IF(前提条件!$H$12&lt;=前提条件!$I$12,AND($D186&gt;=前提条件!$H$12,$D186&lt;=前提条件!$I$12),OR($D186&gt;=前提条件!$H$12,$D186&lt;=前提条件!$I$12)),1,0)</f>
        <v>0</v>
      </c>
      <c r="M186" s="14" t="n">
        <f aca="false">IF(IF(前提条件!$H$13&lt;=前提条件!$I$13,AND($D186&gt;=前提条件!$H$13,$D186&lt;=前提条件!$I$13),OR($D186&gt;=前提条件!$H$13,$D186&lt;=前提条件!$I$13)),1,0)</f>
        <v>1</v>
      </c>
      <c r="N186" s="14" t="n">
        <f aca="false">IF(IF(前提条件!$H$14&lt;=前提条件!$I$14,AND($D186&gt;=前提条件!$H$14,$D186&lt;=前提条件!$I$14),OR($D186&gt;=前提条件!$H$14,$D186&lt;=前提条件!$I$14)),1,0)</f>
        <v>0</v>
      </c>
      <c r="O186" s="14" t="n">
        <f aca="false">IF(IF(前提条件!$H$15&lt;=前提条件!$I$15,AND($D186&gt;=前提条件!$H$15,$D186&lt;=前提条件!$I$15),OR($D186&gt;=前提条件!$H$15,$D186&lt;=前提条件!$I$15)),1,0)</f>
        <v>0</v>
      </c>
    </row>
    <row r="187" customFormat="false" ht="15" hidden="false" customHeight="false" outlineLevel="0" collapsed="false">
      <c r="A187" s="48" t="n">
        <v>7</v>
      </c>
      <c r="B187" s="48" t="n">
        <v>3</v>
      </c>
      <c r="C187" s="48" t="str">
        <f aca="false">A187&amp;"/"&amp;B187</f>
        <v>7/3</v>
      </c>
      <c r="D187" s="48" t="n">
        <f aca="false">A187*100+B187</f>
        <v>703</v>
      </c>
      <c r="E187" s="45" t="n">
        <f aca="false">IF(SUM(J187:K187)&gt;0,前提条件!$B$6,前提条件!$B$8)</f>
        <v>6</v>
      </c>
      <c r="F187" s="48" t="str">
        <f aca="false">IFERROR(INDEX(前提条件!$B$12:$B$15,MATCH(1,L187:O187,0)),"未設定")</f>
        <v>遅延形</v>
      </c>
      <c r="G187" s="48" t="str">
        <f aca="false">IFERROR(INDEX(前提条件!$C$12:$C$15,MATCH(1,L187:O187,0)),"未設定")</f>
        <v>夏期</v>
      </c>
      <c r="H187" s="44" t="str">
        <f aca="false">"S値+"&amp;E187&amp;"／"&amp;F187&amp;"（"&amp;G187&amp;"）"</f>
        <v>S値+6／遅延形（夏期）</v>
      </c>
      <c r="J187" s="14" t="n">
        <f aca="false">IF(IF(前提条件!$G$6&lt;=前提条件!$H$6,AND($D187&gt;=前提条件!$G$6,$D187&lt;=前提条件!$H$6),OR($D187&gt;=前提条件!$G$6,$D187&lt;=前提条件!$H$6)),1,0)</f>
        <v>1</v>
      </c>
      <c r="K187" s="14" t="n">
        <f aca="false">IF(IF(前提条件!$G$7&lt;=前提条件!$H$7,AND($D187&gt;=前提条件!$G$7,$D187&lt;=前提条件!$H$7),OR($D187&gt;=前提条件!$G$7,$D187&lt;=前提条件!$H$7)),1,0)</f>
        <v>0</v>
      </c>
      <c r="L187" s="14" t="n">
        <f aca="false">IF(IF(前提条件!$H$12&lt;=前提条件!$I$12,AND($D187&gt;=前提条件!$H$12,$D187&lt;=前提条件!$I$12),OR($D187&gt;=前提条件!$H$12,$D187&lt;=前提条件!$I$12)),1,0)</f>
        <v>0</v>
      </c>
      <c r="M187" s="14" t="n">
        <f aca="false">IF(IF(前提条件!$H$13&lt;=前提条件!$I$13,AND($D187&gt;=前提条件!$H$13,$D187&lt;=前提条件!$I$13),OR($D187&gt;=前提条件!$H$13,$D187&lt;=前提条件!$I$13)),1,0)</f>
        <v>1</v>
      </c>
      <c r="N187" s="14" t="n">
        <f aca="false">IF(IF(前提条件!$H$14&lt;=前提条件!$I$14,AND($D187&gt;=前提条件!$H$14,$D187&lt;=前提条件!$I$14),OR($D187&gt;=前提条件!$H$14,$D187&lt;=前提条件!$I$14)),1,0)</f>
        <v>0</v>
      </c>
      <c r="O187" s="14" t="n">
        <f aca="false">IF(IF(前提条件!$H$15&lt;=前提条件!$I$15,AND($D187&gt;=前提条件!$H$15,$D187&lt;=前提条件!$I$15),OR($D187&gt;=前提条件!$H$15,$D187&lt;=前提条件!$I$15)),1,0)</f>
        <v>0</v>
      </c>
    </row>
    <row r="188" customFormat="false" ht="15" hidden="false" customHeight="false" outlineLevel="0" collapsed="false">
      <c r="A188" s="48" t="n">
        <v>7</v>
      </c>
      <c r="B188" s="48" t="n">
        <v>4</v>
      </c>
      <c r="C188" s="48" t="str">
        <f aca="false">A188&amp;"/"&amp;B188</f>
        <v>7/4</v>
      </c>
      <c r="D188" s="48" t="n">
        <f aca="false">A188*100+B188</f>
        <v>704</v>
      </c>
      <c r="E188" s="45" t="n">
        <f aca="false">IF(SUM(J188:K188)&gt;0,前提条件!$B$6,前提条件!$B$8)</f>
        <v>6</v>
      </c>
      <c r="F188" s="48" t="str">
        <f aca="false">IFERROR(INDEX(前提条件!$B$12:$B$15,MATCH(1,L188:O188,0)),"未設定")</f>
        <v>遅延形</v>
      </c>
      <c r="G188" s="48" t="str">
        <f aca="false">IFERROR(INDEX(前提条件!$C$12:$C$15,MATCH(1,L188:O188,0)),"未設定")</f>
        <v>夏期</v>
      </c>
      <c r="H188" s="44" t="str">
        <f aca="false">"S値+"&amp;E188&amp;"／"&amp;F188&amp;"（"&amp;G188&amp;"）"</f>
        <v>S値+6／遅延形（夏期）</v>
      </c>
      <c r="J188" s="14" t="n">
        <f aca="false">IF(IF(前提条件!$G$6&lt;=前提条件!$H$6,AND($D188&gt;=前提条件!$G$6,$D188&lt;=前提条件!$H$6),OR($D188&gt;=前提条件!$G$6,$D188&lt;=前提条件!$H$6)),1,0)</f>
        <v>1</v>
      </c>
      <c r="K188" s="14" t="n">
        <f aca="false">IF(IF(前提条件!$G$7&lt;=前提条件!$H$7,AND($D188&gt;=前提条件!$G$7,$D188&lt;=前提条件!$H$7),OR($D188&gt;=前提条件!$G$7,$D188&lt;=前提条件!$H$7)),1,0)</f>
        <v>0</v>
      </c>
      <c r="L188" s="14" t="n">
        <f aca="false">IF(IF(前提条件!$H$12&lt;=前提条件!$I$12,AND($D188&gt;=前提条件!$H$12,$D188&lt;=前提条件!$I$12),OR($D188&gt;=前提条件!$H$12,$D188&lt;=前提条件!$I$12)),1,0)</f>
        <v>0</v>
      </c>
      <c r="M188" s="14" t="n">
        <f aca="false">IF(IF(前提条件!$H$13&lt;=前提条件!$I$13,AND($D188&gt;=前提条件!$H$13,$D188&lt;=前提条件!$I$13),OR($D188&gt;=前提条件!$H$13,$D188&lt;=前提条件!$I$13)),1,0)</f>
        <v>1</v>
      </c>
      <c r="N188" s="14" t="n">
        <f aca="false">IF(IF(前提条件!$H$14&lt;=前提条件!$I$14,AND($D188&gt;=前提条件!$H$14,$D188&lt;=前提条件!$I$14),OR($D188&gt;=前提条件!$H$14,$D188&lt;=前提条件!$I$14)),1,0)</f>
        <v>0</v>
      </c>
      <c r="O188" s="14" t="n">
        <f aca="false">IF(IF(前提条件!$H$15&lt;=前提条件!$I$15,AND($D188&gt;=前提条件!$H$15,$D188&lt;=前提条件!$I$15),OR($D188&gt;=前提条件!$H$15,$D188&lt;=前提条件!$I$15)),1,0)</f>
        <v>0</v>
      </c>
    </row>
    <row r="189" customFormat="false" ht="15" hidden="false" customHeight="false" outlineLevel="0" collapsed="false">
      <c r="A189" s="48" t="n">
        <v>7</v>
      </c>
      <c r="B189" s="48" t="n">
        <v>5</v>
      </c>
      <c r="C189" s="48" t="str">
        <f aca="false">A189&amp;"/"&amp;B189</f>
        <v>7/5</v>
      </c>
      <c r="D189" s="48" t="n">
        <f aca="false">A189*100+B189</f>
        <v>705</v>
      </c>
      <c r="E189" s="45" t="n">
        <f aca="false">IF(SUM(J189:K189)&gt;0,前提条件!$B$6,前提条件!$B$8)</f>
        <v>6</v>
      </c>
      <c r="F189" s="48" t="str">
        <f aca="false">IFERROR(INDEX(前提条件!$B$12:$B$15,MATCH(1,L189:O189,0)),"未設定")</f>
        <v>遅延形</v>
      </c>
      <c r="G189" s="48" t="str">
        <f aca="false">IFERROR(INDEX(前提条件!$C$12:$C$15,MATCH(1,L189:O189,0)),"未設定")</f>
        <v>夏期</v>
      </c>
      <c r="H189" s="44" t="str">
        <f aca="false">"S値+"&amp;E189&amp;"／"&amp;F189&amp;"（"&amp;G189&amp;"）"</f>
        <v>S値+6／遅延形（夏期）</v>
      </c>
      <c r="J189" s="14" t="n">
        <f aca="false">IF(IF(前提条件!$G$6&lt;=前提条件!$H$6,AND($D189&gt;=前提条件!$G$6,$D189&lt;=前提条件!$H$6),OR($D189&gt;=前提条件!$G$6,$D189&lt;=前提条件!$H$6)),1,0)</f>
        <v>1</v>
      </c>
      <c r="K189" s="14" t="n">
        <f aca="false">IF(IF(前提条件!$G$7&lt;=前提条件!$H$7,AND($D189&gt;=前提条件!$G$7,$D189&lt;=前提条件!$H$7),OR($D189&gt;=前提条件!$G$7,$D189&lt;=前提条件!$H$7)),1,0)</f>
        <v>0</v>
      </c>
      <c r="L189" s="14" t="n">
        <f aca="false">IF(IF(前提条件!$H$12&lt;=前提条件!$I$12,AND($D189&gt;=前提条件!$H$12,$D189&lt;=前提条件!$I$12),OR($D189&gt;=前提条件!$H$12,$D189&lt;=前提条件!$I$12)),1,0)</f>
        <v>0</v>
      </c>
      <c r="M189" s="14" t="n">
        <f aca="false">IF(IF(前提条件!$H$13&lt;=前提条件!$I$13,AND($D189&gt;=前提条件!$H$13,$D189&lt;=前提条件!$I$13),OR($D189&gt;=前提条件!$H$13,$D189&lt;=前提条件!$I$13)),1,0)</f>
        <v>1</v>
      </c>
      <c r="N189" s="14" t="n">
        <f aca="false">IF(IF(前提条件!$H$14&lt;=前提条件!$I$14,AND($D189&gt;=前提条件!$H$14,$D189&lt;=前提条件!$I$14),OR($D189&gt;=前提条件!$H$14,$D189&lt;=前提条件!$I$14)),1,0)</f>
        <v>0</v>
      </c>
      <c r="O189" s="14" t="n">
        <f aca="false">IF(IF(前提条件!$H$15&lt;=前提条件!$I$15,AND($D189&gt;=前提条件!$H$15,$D189&lt;=前提条件!$I$15),OR($D189&gt;=前提条件!$H$15,$D189&lt;=前提条件!$I$15)),1,0)</f>
        <v>0</v>
      </c>
    </row>
    <row r="190" customFormat="false" ht="15" hidden="false" customHeight="false" outlineLevel="0" collapsed="false">
      <c r="A190" s="48" t="n">
        <v>7</v>
      </c>
      <c r="B190" s="48" t="n">
        <v>6</v>
      </c>
      <c r="C190" s="48" t="str">
        <f aca="false">A190&amp;"/"&amp;B190</f>
        <v>7/6</v>
      </c>
      <c r="D190" s="48" t="n">
        <f aca="false">A190*100+B190</f>
        <v>706</v>
      </c>
      <c r="E190" s="45" t="n">
        <f aca="false">IF(SUM(J190:K190)&gt;0,前提条件!$B$6,前提条件!$B$8)</f>
        <v>6</v>
      </c>
      <c r="F190" s="48" t="str">
        <f aca="false">IFERROR(INDEX(前提条件!$B$12:$B$15,MATCH(1,L190:O190,0)),"未設定")</f>
        <v>遅延形</v>
      </c>
      <c r="G190" s="48" t="str">
        <f aca="false">IFERROR(INDEX(前提条件!$C$12:$C$15,MATCH(1,L190:O190,0)),"未設定")</f>
        <v>夏期</v>
      </c>
      <c r="H190" s="44" t="str">
        <f aca="false">"S値+"&amp;E190&amp;"／"&amp;F190&amp;"（"&amp;G190&amp;"）"</f>
        <v>S値+6／遅延形（夏期）</v>
      </c>
      <c r="J190" s="14" t="n">
        <f aca="false">IF(IF(前提条件!$G$6&lt;=前提条件!$H$6,AND($D190&gt;=前提条件!$G$6,$D190&lt;=前提条件!$H$6),OR($D190&gt;=前提条件!$G$6,$D190&lt;=前提条件!$H$6)),1,0)</f>
        <v>1</v>
      </c>
      <c r="K190" s="14" t="n">
        <f aca="false">IF(IF(前提条件!$G$7&lt;=前提条件!$H$7,AND($D190&gt;=前提条件!$G$7,$D190&lt;=前提条件!$H$7),OR($D190&gt;=前提条件!$G$7,$D190&lt;=前提条件!$H$7)),1,0)</f>
        <v>0</v>
      </c>
      <c r="L190" s="14" t="n">
        <f aca="false">IF(IF(前提条件!$H$12&lt;=前提条件!$I$12,AND($D190&gt;=前提条件!$H$12,$D190&lt;=前提条件!$I$12),OR($D190&gt;=前提条件!$H$12,$D190&lt;=前提条件!$I$12)),1,0)</f>
        <v>0</v>
      </c>
      <c r="M190" s="14" t="n">
        <f aca="false">IF(IF(前提条件!$H$13&lt;=前提条件!$I$13,AND($D190&gt;=前提条件!$H$13,$D190&lt;=前提条件!$I$13),OR($D190&gt;=前提条件!$H$13,$D190&lt;=前提条件!$I$13)),1,0)</f>
        <v>1</v>
      </c>
      <c r="N190" s="14" t="n">
        <f aca="false">IF(IF(前提条件!$H$14&lt;=前提条件!$I$14,AND($D190&gt;=前提条件!$H$14,$D190&lt;=前提条件!$I$14),OR($D190&gt;=前提条件!$H$14,$D190&lt;=前提条件!$I$14)),1,0)</f>
        <v>0</v>
      </c>
      <c r="O190" s="14" t="n">
        <f aca="false">IF(IF(前提条件!$H$15&lt;=前提条件!$I$15,AND($D190&gt;=前提条件!$H$15,$D190&lt;=前提条件!$I$15),OR($D190&gt;=前提条件!$H$15,$D190&lt;=前提条件!$I$15)),1,0)</f>
        <v>0</v>
      </c>
    </row>
    <row r="191" customFormat="false" ht="15" hidden="false" customHeight="false" outlineLevel="0" collapsed="false">
      <c r="A191" s="48" t="n">
        <v>7</v>
      </c>
      <c r="B191" s="48" t="n">
        <v>7</v>
      </c>
      <c r="C191" s="48" t="str">
        <f aca="false">A191&amp;"/"&amp;B191</f>
        <v>7/7</v>
      </c>
      <c r="D191" s="48" t="n">
        <f aca="false">A191*100+B191</f>
        <v>707</v>
      </c>
      <c r="E191" s="45" t="n">
        <f aca="false">IF(SUM(J191:K191)&gt;0,前提条件!$B$6,前提条件!$B$8)</f>
        <v>6</v>
      </c>
      <c r="F191" s="48" t="str">
        <f aca="false">IFERROR(INDEX(前提条件!$B$12:$B$15,MATCH(1,L191:O191,0)),"未設定")</f>
        <v>遅延形</v>
      </c>
      <c r="G191" s="48" t="str">
        <f aca="false">IFERROR(INDEX(前提条件!$C$12:$C$15,MATCH(1,L191:O191,0)),"未設定")</f>
        <v>夏期</v>
      </c>
      <c r="H191" s="44" t="str">
        <f aca="false">"S値+"&amp;E191&amp;"／"&amp;F191&amp;"（"&amp;G191&amp;"）"</f>
        <v>S値+6／遅延形（夏期）</v>
      </c>
      <c r="J191" s="14" t="n">
        <f aca="false">IF(IF(前提条件!$G$6&lt;=前提条件!$H$6,AND($D191&gt;=前提条件!$G$6,$D191&lt;=前提条件!$H$6),OR($D191&gt;=前提条件!$G$6,$D191&lt;=前提条件!$H$6)),1,0)</f>
        <v>1</v>
      </c>
      <c r="K191" s="14" t="n">
        <f aca="false">IF(IF(前提条件!$G$7&lt;=前提条件!$H$7,AND($D191&gt;=前提条件!$G$7,$D191&lt;=前提条件!$H$7),OR($D191&gt;=前提条件!$G$7,$D191&lt;=前提条件!$H$7)),1,0)</f>
        <v>0</v>
      </c>
      <c r="L191" s="14" t="n">
        <f aca="false">IF(IF(前提条件!$H$12&lt;=前提条件!$I$12,AND($D191&gt;=前提条件!$H$12,$D191&lt;=前提条件!$I$12),OR($D191&gt;=前提条件!$H$12,$D191&lt;=前提条件!$I$12)),1,0)</f>
        <v>0</v>
      </c>
      <c r="M191" s="14" t="n">
        <f aca="false">IF(IF(前提条件!$H$13&lt;=前提条件!$I$13,AND($D191&gt;=前提条件!$H$13,$D191&lt;=前提条件!$I$13),OR($D191&gt;=前提条件!$H$13,$D191&lt;=前提条件!$I$13)),1,0)</f>
        <v>1</v>
      </c>
      <c r="N191" s="14" t="n">
        <f aca="false">IF(IF(前提条件!$H$14&lt;=前提条件!$I$14,AND($D191&gt;=前提条件!$H$14,$D191&lt;=前提条件!$I$14),OR($D191&gt;=前提条件!$H$14,$D191&lt;=前提条件!$I$14)),1,0)</f>
        <v>0</v>
      </c>
      <c r="O191" s="14" t="n">
        <f aca="false">IF(IF(前提条件!$H$15&lt;=前提条件!$I$15,AND($D191&gt;=前提条件!$H$15,$D191&lt;=前提条件!$I$15),OR($D191&gt;=前提条件!$H$15,$D191&lt;=前提条件!$I$15)),1,0)</f>
        <v>0</v>
      </c>
    </row>
    <row r="192" customFormat="false" ht="15" hidden="false" customHeight="false" outlineLevel="0" collapsed="false">
      <c r="A192" s="48" t="n">
        <v>7</v>
      </c>
      <c r="B192" s="48" t="n">
        <v>8</v>
      </c>
      <c r="C192" s="48" t="str">
        <f aca="false">A192&amp;"/"&amp;B192</f>
        <v>7/8</v>
      </c>
      <c r="D192" s="48" t="n">
        <f aca="false">A192*100+B192</f>
        <v>708</v>
      </c>
      <c r="E192" s="45" t="n">
        <f aca="false">IF(SUM(J192:K192)&gt;0,前提条件!$B$6,前提条件!$B$8)</f>
        <v>6</v>
      </c>
      <c r="F192" s="48" t="str">
        <f aca="false">IFERROR(INDEX(前提条件!$B$12:$B$15,MATCH(1,L192:O192,0)),"未設定")</f>
        <v>遅延形</v>
      </c>
      <c r="G192" s="48" t="str">
        <f aca="false">IFERROR(INDEX(前提条件!$C$12:$C$15,MATCH(1,L192:O192,0)),"未設定")</f>
        <v>夏期</v>
      </c>
      <c r="H192" s="44" t="str">
        <f aca="false">"S値+"&amp;E192&amp;"／"&amp;F192&amp;"（"&amp;G192&amp;"）"</f>
        <v>S値+6／遅延形（夏期）</v>
      </c>
      <c r="J192" s="14" t="n">
        <f aca="false">IF(IF(前提条件!$G$6&lt;=前提条件!$H$6,AND($D192&gt;=前提条件!$G$6,$D192&lt;=前提条件!$H$6),OR($D192&gt;=前提条件!$G$6,$D192&lt;=前提条件!$H$6)),1,0)</f>
        <v>1</v>
      </c>
      <c r="K192" s="14" t="n">
        <f aca="false">IF(IF(前提条件!$G$7&lt;=前提条件!$H$7,AND($D192&gt;=前提条件!$G$7,$D192&lt;=前提条件!$H$7),OR($D192&gt;=前提条件!$G$7,$D192&lt;=前提条件!$H$7)),1,0)</f>
        <v>0</v>
      </c>
      <c r="L192" s="14" t="n">
        <f aca="false">IF(IF(前提条件!$H$12&lt;=前提条件!$I$12,AND($D192&gt;=前提条件!$H$12,$D192&lt;=前提条件!$I$12),OR($D192&gt;=前提条件!$H$12,$D192&lt;=前提条件!$I$12)),1,0)</f>
        <v>0</v>
      </c>
      <c r="M192" s="14" t="n">
        <f aca="false">IF(IF(前提条件!$H$13&lt;=前提条件!$I$13,AND($D192&gt;=前提条件!$H$13,$D192&lt;=前提条件!$I$13),OR($D192&gt;=前提条件!$H$13,$D192&lt;=前提条件!$I$13)),1,0)</f>
        <v>1</v>
      </c>
      <c r="N192" s="14" t="n">
        <f aca="false">IF(IF(前提条件!$H$14&lt;=前提条件!$I$14,AND($D192&gt;=前提条件!$H$14,$D192&lt;=前提条件!$I$14),OR($D192&gt;=前提条件!$H$14,$D192&lt;=前提条件!$I$14)),1,0)</f>
        <v>0</v>
      </c>
      <c r="O192" s="14" t="n">
        <f aca="false">IF(IF(前提条件!$H$15&lt;=前提条件!$I$15,AND($D192&gt;=前提条件!$H$15,$D192&lt;=前提条件!$I$15),OR($D192&gt;=前提条件!$H$15,$D192&lt;=前提条件!$I$15)),1,0)</f>
        <v>0</v>
      </c>
    </row>
    <row r="193" customFormat="false" ht="15" hidden="false" customHeight="false" outlineLevel="0" collapsed="false">
      <c r="A193" s="48" t="n">
        <v>7</v>
      </c>
      <c r="B193" s="48" t="n">
        <v>9</v>
      </c>
      <c r="C193" s="48" t="str">
        <f aca="false">A193&amp;"/"&amp;B193</f>
        <v>7/9</v>
      </c>
      <c r="D193" s="48" t="n">
        <f aca="false">A193*100+B193</f>
        <v>709</v>
      </c>
      <c r="E193" s="45" t="n">
        <f aca="false">IF(SUM(J193:K193)&gt;0,前提条件!$B$6,前提条件!$B$8)</f>
        <v>6</v>
      </c>
      <c r="F193" s="48" t="str">
        <f aca="false">IFERROR(INDEX(前提条件!$B$12:$B$15,MATCH(1,L193:O193,0)),"未設定")</f>
        <v>遅延形</v>
      </c>
      <c r="G193" s="48" t="str">
        <f aca="false">IFERROR(INDEX(前提条件!$C$12:$C$15,MATCH(1,L193:O193,0)),"未設定")</f>
        <v>夏期</v>
      </c>
      <c r="H193" s="44" t="str">
        <f aca="false">"S値+"&amp;E193&amp;"／"&amp;F193&amp;"（"&amp;G193&amp;"）"</f>
        <v>S値+6／遅延形（夏期）</v>
      </c>
      <c r="J193" s="14" t="n">
        <f aca="false">IF(IF(前提条件!$G$6&lt;=前提条件!$H$6,AND($D193&gt;=前提条件!$G$6,$D193&lt;=前提条件!$H$6),OR($D193&gt;=前提条件!$G$6,$D193&lt;=前提条件!$H$6)),1,0)</f>
        <v>1</v>
      </c>
      <c r="K193" s="14" t="n">
        <f aca="false">IF(IF(前提条件!$G$7&lt;=前提条件!$H$7,AND($D193&gt;=前提条件!$G$7,$D193&lt;=前提条件!$H$7),OR($D193&gt;=前提条件!$G$7,$D193&lt;=前提条件!$H$7)),1,0)</f>
        <v>0</v>
      </c>
      <c r="L193" s="14" t="n">
        <f aca="false">IF(IF(前提条件!$H$12&lt;=前提条件!$I$12,AND($D193&gt;=前提条件!$H$12,$D193&lt;=前提条件!$I$12),OR($D193&gt;=前提条件!$H$12,$D193&lt;=前提条件!$I$12)),1,0)</f>
        <v>0</v>
      </c>
      <c r="M193" s="14" t="n">
        <f aca="false">IF(IF(前提条件!$H$13&lt;=前提条件!$I$13,AND($D193&gt;=前提条件!$H$13,$D193&lt;=前提条件!$I$13),OR($D193&gt;=前提条件!$H$13,$D193&lt;=前提条件!$I$13)),1,0)</f>
        <v>1</v>
      </c>
      <c r="N193" s="14" t="n">
        <f aca="false">IF(IF(前提条件!$H$14&lt;=前提条件!$I$14,AND($D193&gt;=前提条件!$H$14,$D193&lt;=前提条件!$I$14),OR($D193&gt;=前提条件!$H$14,$D193&lt;=前提条件!$I$14)),1,0)</f>
        <v>0</v>
      </c>
      <c r="O193" s="14" t="n">
        <f aca="false">IF(IF(前提条件!$H$15&lt;=前提条件!$I$15,AND($D193&gt;=前提条件!$H$15,$D193&lt;=前提条件!$I$15),OR($D193&gt;=前提条件!$H$15,$D193&lt;=前提条件!$I$15)),1,0)</f>
        <v>0</v>
      </c>
    </row>
    <row r="194" customFormat="false" ht="15" hidden="false" customHeight="false" outlineLevel="0" collapsed="false">
      <c r="A194" s="48" t="n">
        <v>7</v>
      </c>
      <c r="B194" s="48" t="n">
        <v>10</v>
      </c>
      <c r="C194" s="48" t="str">
        <f aca="false">A194&amp;"/"&amp;B194</f>
        <v>7/10</v>
      </c>
      <c r="D194" s="48" t="n">
        <f aca="false">A194*100+B194</f>
        <v>710</v>
      </c>
      <c r="E194" s="45" t="n">
        <f aca="false">IF(SUM(J194:K194)&gt;0,前提条件!$B$6,前提条件!$B$8)</f>
        <v>6</v>
      </c>
      <c r="F194" s="48" t="str">
        <f aca="false">IFERROR(INDEX(前提条件!$B$12:$B$15,MATCH(1,L194:O194,0)),"未設定")</f>
        <v>遅延形</v>
      </c>
      <c r="G194" s="48" t="str">
        <f aca="false">IFERROR(INDEX(前提条件!$C$12:$C$15,MATCH(1,L194:O194,0)),"未設定")</f>
        <v>夏期</v>
      </c>
      <c r="H194" s="44" t="str">
        <f aca="false">"S値+"&amp;E194&amp;"／"&amp;F194&amp;"（"&amp;G194&amp;"）"</f>
        <v>S値+6／遅延形（夏期）</v>
      </c>
      <c r="J194" s="14" t="n">
        <f aca="false">IF(IF(前提条件!$G$6&lt;=前提条件!$H$6,AND($D194&gt;=前提条件!$G$6,$D194&lt;=前提条件!$H$6),OR($D194&gt;=前提条件!$G$6,$D194&lt;=前提条件!$H$6)),1,0)</f>
        <v>1</v>
      </c>
      <c r="K194" s="14" t="n">
        <f aca="false">IF(IF(前提条件!$G$7&lt;=前提条件!$H$7,AND($D194&gt;=前提条件!$G$7,$D194&lt;=前提条件!$H$7),OR($D194&gt;=前提条件!$G$7,$D194&lt;=前提条件!$H$7)),1,0)</f>
        <v>0</v>
      </c>
      <c r="L194" s="14" t="n">
        <f aca="false">IF(IF(前提条件!$H$12&lt;=前提条件!$I$12,AND($D194&gt;=前提条件!$H$12,$D194&lt;=前提条件!$I$12),OR($D194&gt;=前提条件!$H$12,$D194&lt;=前提条件!$I$12)),1,0)</f>
        <v>0</v>
      </c>
      <c r="M194" s="14" t="n">
        <f aca="false">IF(IF(前提条件!$H$13&lt;=前提条件!$I$13,AND($D194&gt;=前提条件!$H$13,$D194&lt;=前提条件!$I$13),OR($D194&gt;=前提条件!$H$13,$D194&lt;=前提条件!$I$13)),1,0)</f>
        <v>1</v>
      </c>
      <c r="N194" s="14" t="n">
        <f aca="false">IF(IF(前提条件!$H$14&lt;=前提条件!$I$14,AND($D194&gt;=前提条件!$H$14,$D194&lt;=前提条件!$I$14),OR($D194&gt;=前提条件!$H$14,$D194&lt;=前提条件!$I$14)),1,0)</f>
        <v>0</v>
      </c>
      <c r="O194" s="14" t="n">
        <f aca="false">IF(IF(前提条件!$H$15&lt;=前提条件!$I$15,AND($D194&gt;=前提条件!$H$15,$D194&lt;=前提条件!$I$15),OR($D194&gt;=前提条件!$H$15,$D194&lt;=前提条件!$I$15)),1,0)</f>
        <v>0</v>
      </c>
    </row>
    <row r="195" customFormat="false" ht="15" hidden="false" customHeight="false" outlineLevel="0" collapsed="false">
      <c r="A195" s="48" t="n">
        <v>7</v>
      </c>
      <c r="B195" s="48" t="n">
        <v>11</v>
      </c>
      <c r="C195" s="48" t="str">
        <f aca="false">A195&amp;"/"&amp;B195</f>
        <v>7/11</v>
      </c>
      <c r="D195" s="48" t="n">
        <f aca="false">A195*100+B195</f>
        <v>711</v>
      </c>
      <c r="E195" s="45" t="n">
        <f aca="false">IF(SUM(J195:K195)&gt;0,前提条件!$B$6,前提条件!$B$8)</f>
        <v>6</v>
      </c>
      <c r="F195" s="48" t="str">
        <f aca="false">IFERROR(INDEX(前提条件!$B$12:$B$15,MATCH(1,L195:O195,0)),"未設定")</f>
        <v>遅延形</v>
      </c>
      <c r="G195" s="48" t="str">
        <f aca="false">IFERROR(INDEX(前提条件!$C$12:$C$15,MATCH(1,L195:O195,0)),"未設定")</f>
        <v>夏期</v>
      </c>
      <c r="H195" s="44" t="str">
        <f aca="false">"S値+"&amp;E195&amp;"／"&amp;F195&amp;"（"&amp;G195&amp;"）"</f>
        <v>S値+6／遅延形（夏期）</v>
      </c>
      <c r="J195" s="14" t="n">
        <f aca="false">IF(IF(前提条件!$G$6&lt;=前提条件!$H$6,AND($D195&gt;=前提条件!$G$6,$D195&lt;=前提条件!$H$6),OR($D195&gt;=前提条件!$G$6,$D195&lt;=前提条件!$H$6)),1,0)</f>
        <v>1</v>
      </c>
      <c r="K195" s="14" t="n">
        <f aca="false">IF(IF(前提条件!$G$7&lt;=前提条件!$H$7,AND($D195&gt;=前提条件!$G$7,$D195&lt;=前提条件!$H$7),OR($D195&gt;=前提条件!$G$7,$D195&lt;=前提条件!$H$7)),1,0)</f>
        <v>0</v>
      </c>
      <c r="L195" s="14" t="n">
        <f aca="false">IF(IF(前提条件!$H$12&lt;=前提条件!$I$12,AND($D195&gt;=前提条件!$H$12,$D195&lt;=前提条件!$I$12),OR($D195&gt;=前提条件!$H$12,$D195&lt;=前提条件!$I$12)),1,0)</f>
        <v>0</v>
      </c>
      <c r="M195" s="14" t="n">
        <f aca="false">IF(IF(前提条件!$H$13&lt;=前提条件!$I$13,AND($D195&gt;=前提条件!$H$13,$D195&lt;=前提条件!$I$13),OR($D195&gt;=前提条件!$H$13,$D195&lt;=前提条件!$I$13)),1,0)</f>
        <v>1</v>
      </c>
      <c r="N195" s="14" t="n">
        <f aca="false">IF(IF(前提条件!$H$14&lt;=前提条件!$I$14,AND($D195&gt;=前提条件!$H$14,$D195&lt;=前提条件!$I$14),OR($D195&gt;=前提条件!$H$14,$D195&lt;=前提条件!$I$14)),1,0)</f>
        <v>0</v>
      </c>
      <c r="O195" s="14" t="n">
        <f aca="false">IF(IF(前提条件!$H$15&lt;=前提条件!$I$15,AND($D195&gt;=前提条件!$H$15,$D195&lt;=前提条件!$I$15),OR($D195&gt;=前提条件!$H$15,$D195&lt;=前提条件!$I$15)),1,0)</f>
        <v>0</v>
      </c>
    </row>
    <row r="196" customFormat="false" ht="15" hidden="false" customHeight="false" outlineLevel="0" collapsed="false">
      <c r="A196" s="48" t="n">
        <v>7</v>
      </c>
      <c r="B196" s="48" t="n">
        <v>12</v>
      </c>
      <c r="C196" s="48" t="str">
        <f aca="false">A196&amp;"/"&amp;B196</f>
        <v>7/12</v>
      </c>
      <c r="D196" s="48" t="n">
        <f aca="false">A196*100+B196</f>
        <v>712</v>
      </c>
      <c r="E196" s="45" t="n">
        <f aca="false">IF(SUM(J196:K196)&gt;0,前提条件!$B$6,前提条件!$B$8)</f>
        <v>6</v>
      </c>
      <c r="F196" s="48" t="str">
        <f aca="false">IFERROR(INDEX(前提条件!$B$12:$B$15,MATCH(1,L196:O196,0)),"未設定")</f>
        <v>遅延形</v>
      </c>
      <c r="G196" s="48" t="str">
        <f aca="false">IFERROR(INDEX(前提条件!$C$12:$C$15,MATCH(1,L196:O196,0)),"未設定")</f>
        <v>夏期</v>
      </c>
      <c r="H196" s="44" t="str">
        <f aca="false">"S値+"&amp;E196&amp;"／"&amp;F196&amp;"（"&amp;G196&amp;"）"</f>
        <v>S値+6／遅延形（夏期）</v>
      </c>
      <c r="J196" s="14" t="n">
        <f aca="false">IF(IF(前提条件!$G$6&lt;=前提条件!$H$6,AND($D196&gt;=前提条件!$G$6,$D196&lt;=前提条件!$H$6),OR($D196&gt;=前提条件!$G$6,$D196&lt;=前提条件!$H$6)),1,0)</f>
        <v>1</v>
      </c>
      <c r="K196" s="14" t="n">
        <f aca="false">IF(IF(前提条件!$G$7&lt;=前提条件!$H$7,AND($D196&gt;=前提条件!$G$7,$D196&lt;=前提条件!$H$7),OR($D196&gt;=前提条件!$G$7,$D196&lt;=前提条件!$H$7)),1,0)</f>
        <v>0</v>
      </c>
      <c r="L196" s="14" t="n">
        <f aca="false">IF(IF(前提条件!$H$12&lt;=前提条件!$I$12,AND($D196&gt;=前提条件!$H$12,$D196&lt;=前提条件!$I$12),OR($D196&gt;=前提条件!$H$12,$D196&lt;=前提条件!$I$12)),1,0)</f>
        <v>0</v>
      </c>
      <c r="M196" s="14" t="n">
        <f aca="false">IF(IF(前提条件!$H$13&lt;=前提条件!$I$13,AND($D196&gt;=前提条件!$H$13,$D196&lt;=前提条件!$I$13),OR($D196&gt;=前提条件!$H$13,$D196&lt;=前提条件!$I$13)),1,0)</f>
        <v>1</v>
      </c>
      <c r="N196" s="14" t="n">
        <f aca="false">IF(IF(前提条件!$H$14&lt;=前提条件!$I$14,AND($D196&gt;=前提条件!$H$14,$D196&lt;=前提条件!$I$14),OR($D196&gt;=前提条件!$H$14,$D196&lt;=前提条件!$I$14)),1,0)</f>
        <v>0</v>
      </c>
      <c r="O196" s="14" t="n">
        <f aca="false">IF(IF(前提条件!$H$15&lt;=前提条件!$I$15,AND($D196&gt;=前提条件!$H$15,$D196&lt;=前提条件!$I$15),OR($D196&gt;=前提条件!$H$15,$D196&lt;=前提条件!$I$15)),1,0)</f>
        <v>0</v>
      </c>
    </row>
    <row r="197" customFormat="false" ht="15" hidden="false" customHeight="false" outlineLevel="0" collapsed="false">
      <c r="A197" s="48" t="n">
        <v>7</v>
      </c>
      <c r="B197" s="48" t="n">
        <v>13</v>
      </c>
      <c r="C197" s="48" t="str">
        <f aca="false">A197&amp;"/"&amp;B197</f>
        <v>7/13</v>
      </c>
      <c r="D197" s="48" t="n">
        <f aca="false">A197*100+B197</f>
        <v>713</v>
      </c>
      <c r="E197" s="45" t="n">
        <f aca="false">IF(SUM(J197:K197)&gt;0,前提条件!$B$6,前提条件!$B$8)</f>
        <v>6</v>
      </c>
      <c r="F197" s="48" t="str">
        <f aca="false">IFERROR(INDEX(前提条件!$B$12:$B$15,MATCH(1,L197:O197,0)),"未設定")</f>
        <v>遅延形</v>
      </c>
      <c r="G197" s="48" t="str">
        <f aca="false">IFERROR(INDEX(前提条件!$C$12:$C$15,MATCH(1,L197:O197,0)),"未設定")</f>
        <v>夏期</v>
      </c>
      <c r="H197" s="44" t="str">
        <f aca="false">"S値+"&amp;E197&amp;"／"&amp;F197&amp;"（"&amp;G197&amp;"）"</f>
        <v>S値+6／遅延形（夏期）</v>
      </c>
      <c r="J197" s="14" t="n">
        <f aca="false">IF(IF(前提条件!$G$6&lt;=前提条件!$H$6,AND($D197&gt;=前提条件!$G$6,$D197&lt;=前提条件!$H$6),OR($D197&gt;=前提条件!$G$6,$D197&lt;=前提条件!$H$6)),1,0)</f>
        <v>1</v>
      </c>
      <c r="K197" s="14" t="n">
        <f aca="false">IF(IF(前提条件!$G$7&lt;=前提条件!$H$7,AND($D197&gt;=前提条件!$G$7,$D197&lt;=前提条件!$H$7),OR($D197&gt;=前提条件!$G$7,$D197&lt;=前提条件!$H$7)),1,0)</f>
        <v>0</v>
      </c>
      <c r="L197" s="14" t="n">
        <f aca="false">IF(IF(前提条件!$H$12&lt;=前提条件!$I$12,AND($D197&gt;=前提条件!$H$12,$D197&lt;=前提条件!$I$12),OR($D197&gt;=前提条件!$H$12,$D197&lt;=前提条件!$I$12)),1,0)</f>
        <v>0</v>
      </c>
      <c r="M197" s="14" t="n">
        <f aca="false">IF(IF(前提条件!$H$13&lt;=前提条件!$I$13,AND($D197&gt;=前提条件!$H$13,$D197&lt;=前提条件!$I$13),OR($D197&gt;=前提条件!$H$13,$D197&lt;=前提条件!$I$13)),1,0)</f>
        <v>1</v>
      </c>
      <c r="N197" s="14" t="n">
        <f aca="false">IF(IF(前提条件!$H$14&lt;=前提条件!$I$14,AND($D197&gt;=前提条件!$H$14,$D197&lt;=前提条件!$I$14),OR($D197&gt;=前提条件!$H$14,$D197&lt;=前提条件!$I$14)),1,0)</f>
        <v>0</v>
      </c>
      <c r="O197" s="14" t="n">
        <f aca="false">IF(IF(前提条件!$H$15&lt;=前提条件!$I$15,AND($D197&gt;=前提条件!$H$15,$D197&lt;=前提条件!$I$15),OR($D197&gt;=前提条件!$H$15,$D197&lt;=前提条件!$I$15)),1,0)</f>
        <v>0</v>
      </c>
    </row>
    <row r="198" customFormat="false" ht="15" hidden="false" customHeight="false" outlineLevel="0" collapsed="false">
      <c r="A198" s="48" t="n">
        <v>7</v>
      </c>
      <c r="B198" s="48" t="n">
        <v>14</v>
      </c>
      <c r="C198" s="48" t="str">
        <f aca="false">A198&amp;"/"&amp;B198</f>
        <v>7/14</v>
      </c>
      <c r="D198" s="48" t="n">
        <f aca="false">A198*100+B198</f>
        <v>714</v>
      </c>
      <c r="E198" s="45" t="n">
        <f aca="false">IF(SUM(J198:K198)&gt;0,前提条件!$B$6,前提条件!$B$8)</f>
        <v>6</v>
      </c>
      <c r="F198" s="48" t="str">
        <f aca="false">IFERROR(INDEX(前提条件!$B$12:$B$15,MATCH(1,L198:O198,0)),"未設定")</f>
        <v>遅延形</v>
      </c>
      <c r="G198" s="48" t="str">
        <f aca="false">IFERROR(INDEX(前提条件!$C$12:$C$15,MATCH(1,L198:O198,0)),"未設定")</f>
        <v>夏期</v>
      </c>
      <c r="H198" s="44" t="str">
        <f aca="false">"S値+"&amp;E198&amp;"／"&amp;F198&amp;"（"&amp;G198&amp;"）"</f>
        <v>S値+6／遅延形（夏期）</v>
      </c>
      <c r="J198" s="14" t="n">
        <f aca="false">IF(IF(前提条件!$G$6&lt;=前提条件!$H$6,AND($D198&gt;=前提条件!$G$6,$D198&lt;=前提条件!$H$6),OR($D198&gt;=前提条件!$G$6,$D198&lt;=前提条件!$H$6)),1,0)</f>
        <v>1</v>
      </c>
      <c r="K198" s="14" t="n">
        <f aca="false">IF(IF(前提条件!$G$7&lt;=前提条件!$H$7,AND($D198&gt;=前提条件!$G$7,$D198&lt;=前提条件!$H$7),OR($D198&gt;=前提条件!$G$7,$D198&lt;=前提条件!$H$7)),1,0)</f>
        <v>0</v>
      </c>
      <c r="L198" s="14" t="n">
        <f aca="false">IF(IF(前提条件!$H$12&lt;=前提条件!$I$12,AND($D198&gt;=前提条件!$H$12,$D198&lt;=前提条件!$I$12),OR($D198&gt;=前提条件!$H$12,$D198&lt;=前提条件!$I$12)),1,0)</f>
        <v>0</v>
      </c>
      <c r="M198" s="14" t="n">
        <f aca="false">IF(IF(前提条件!$H$13&lt;=前提条件!$I$13,AND($D198&gt;=前提条件!$H$13,$D198&lt;=前提条件!$I$13),OR($D198&gt;=前提条件!$H$13,$D198&lt;=前提条件!$I$13)),1,0)</f>
        <v>1</v>
      </c>
      <c r="N198" s="14" t="n">
        <f aca="false">IF(IF(前提条件!$H$14&lt;=前提条件!$I$14,AND($D198&gt;=前提条件!$H$14,$D198&lt;=前提条件!$I$14),OR($D198&gt;=前提条件!$H$14,$D198&lt;=前提条件!$I$14)),1,0)</f>
        <v>0</v>
      </c>
      <c r="O198" s="14" t="n">
        <f aca="false">IF(IF(前提条件!$H$15&lt;=前提条件!$I$15,AND($D198&gt;=前提条件!$H$15,$D198&lt;=前提条件!$I$15),OR($D198&gt;=前提条件!$H$15,$D198&lt;=前提条件!$I$15)),1,0)</f>
        <v>0</v>
      </c>
    </row>
    <row r="199" customFormat="false" ht="15" hidden="false" customHeight="false" outlineLevel="0" collapsed="false">
      <c r="A199" s="48" t="n">
        <v>7</v>
      </c>
      <c r="B199" s="48" t="n">
        <v>15</v>
      </c>
      <c r="C199" s="48" t="str">
        <f aca="false">A199&amp;"/"&amp;B199</f>
        <v>7/15</v>
      </c>
      <c r="D199" s="48" t="n">
        <f aca="false">A199*100+B199</f>
        <v>715</v>
      </c>
      <c r="E199" s="45" t="n">
        <f aca="false">IF(SUM(J199:K199)&gt;0,前提条件!$B$6,前提条件!$B$8)</f>
        <v>6</v>
      </c>
      <c r="F199" s="48" t="str">
        <f aca="false">IFERROR(INDEX(前提条件!$B$12:$B$15,MATCH(1,L199:O199,0)),"未設定")</f>
        <v>遅延形</v>
      </c>
      <c r="G199" s="48" t="str">
        <f aca="false">IFERROR(INDEX(前提条件!$C$12:$C$15,MATCH(1,L199:O199,0)),"未設定")</f>
        <v>夏期</v>
      </c>
      <c r="H199" s="44" t="str">
        <f aca="false">"S値+"&amp;E199&amp;"／"&amp;F199&amp;"（"&amp;G199&amp;"）"</f>
        <v>S値+6／遅延形（夏期）</v>
      </c>
      <c r="J199" s="14" t="n">
        <f aca="false">IF(IF(前提条件!$G$6&lt;=前提条件!$H$6,AND($D199&gt;=前提条件!$G$6,$D199&lt;=前提条件!$H$6),OR($D199&gt;=前提条件!$G$6,$D199&lt;=前提条件!$H$6)),1,0)</f>
        <v>1</v>
      </c>
      <c r="K199" s="14" t="n">
        <f aca="false">IF(IF(前提条件!$G$7&lt;=前提条件!$H$7,AND($D199&gt;=前提条件!$G$7,$D199&lt;=前提条件!$H$7),OR($D199&gt;=前提条件!$G$7,$D199&lt;=前提条件!$H$7)),1,0)</f>
        <v>0</v>
      </c>
      <c r="L199" s="14" t="n">
        <f aca="false">IF(IF(前提条件!$H$12&lt;=前提条件!$I$12,AND($D199&gt;=前提条件!$H$12,$D199&lt;=前提条件!$I$12),OR($D199&gt;=前提条件!$H$12,$D199&lt;=前提条件!$I$12)),1,0)</f>
        <v>0</v>
      </c>
      <c r="M199" s="14" t="n">
        <f aca="false">IF(IF(前提条件!$H$13&lt;=前提条件!$I$13,AND($D199&gt;=前提条件!$H$13,$D199&lt;=前提条件!$I$13),OR($D199&gt;=前提条件!$H$13,$D199&lt;=前提条件!$I$13)),1,0)</f>
        <v>1</v>
      </c>
      <c r="N199" s="14" t="n">
        <f aca="false">IF(IF(前提条件!$H$14&lt;=前提条件!$I$14,AND($D199&gt;=前提条件!$H$14,$D199&lt;=前提条件!$I$14),OR($D199&gt;=前提条件!$H$14,$D199&lt;=前提条件!$I$14)),1,0)</f>
        <v>0</v>
      </c>
      <c r="O199" s="14" t="n">
        <f aca="false">IF(IF(前提条件!$H$15&lt;=前提条件!$I$15,AND($D199&gt;=前提条件!$H$15,$D199&lt;=前提条件!$I$15),OR($D199&gt;=前提条件!$H$15,$D199&lt;=前提条件!$I$15)),1,0)</f>
        <v>0</v>
      </c>
    </row>
    <row r="200" customFormat="false" ht="15" hidden="false" customHeight="false" outlineLevel="0" collapsed="false">
      <c r="A200" s="48" t="n">
        <v>7</v>
      </c>
      <c r="B200" s="48" t="n">
        <v>16</v>
      </c>
      <c r="C200" s="48" t="str">
        <f aca="false">A200&amp;"/"&amp;B200</f>
        <v>7/16</v>
      </c>
      <c r="D200" s="48" t="n">
        <f aca="false">A200*100+B200</f>
        <v>716</v>
      </c>
      <c r="E200" s="45" t="n">
        <f aca="false">IF(SUM(J200:K200)&gt;0,前提条件!$B$6,前提条件!$B$8)</f>
        <v>6</v>
      </c>
      <c r="F200" s="48" t="str">
        <f aca="false">IFERROR(INDEX(前提条件!$B$12:$B$15,MATCH(1,L200:O200,0)),"未設定")</f>
        <v>遅延形</v>
      </c>
      <c r="G200" s="48" t="str">
        <f aca="false">IFERROR(INDEX(前提条件!$C$12:$C$15,MATCH(1,L200:O200,0)),"未設定")</f>
        <v>夏期</v>
      </c>
      <c r="H200" s="44" t="str">
        <f aca="false">"S値+"&amp;E200&amp;"／"&amp;F200&amp;"（"&amp;G200&amp;"）"</f>
        <v>S値+6／遅延形（夏期）</v>
      </c>
      <c r="J200" s="14" t="n">
        <f aca="false">IF(IF(前提条件!$G$6&lt;=前提条件!$H$6,AND($D200&gt;=前提条件!$G$6,$D200&lt;=前提条件!$H$6),OR($D200&gt;=前提条件!$G$6,$D200&lt;=前提条件!$H$6)),1,0)</f>
        <v>1</v>
      </c>
      <c r="K200" s="14" t="n">
        <f aca="false">IF(IF(前提条件!$G$7&lt;=前提条件!$H$7,AND($D200&gt;=前提条件!$G$7,$D200&lt;=前提条件!$H$7),OR($D200&gt;=前提条件!$G$7,$D200&lt;=前提条件!$H$7)),1,0)</f>
        <v>0</v>
      </c>
      <c r="L200" s="14" t="n">
        <f aca="false">IF(IF(前提条件!$H$12&lt;=前提条件!$I$12,AND($D200&gt;=前提条件!$H$12,$D200&lt;=前提条件!$I$12),OR($D200&gt;=前提条件!$H$12,$D200&lt;=前提条件!$I$12)),1,0)</f>
        <v>0</v>
      </c>
      <c r="M200" s="14" t="n">
        <f aca="false">IF(IF(前提条件!$H$13&lt;=前提条件!$I$13,AND($D200&gt;=前提条件!$H$13,$D200&lt;=前提条件!$I$13),OR($D200&gt;=前提条件!$H$13,$D200&lt;=前提条件!$I$13)),1,0)</f>
        <v>1</v>
      </c>
      <c r="N200" s="14" t="n">
        <f aca="false">IF(IF(前提条件!$H$14&lt;=前提条件!$I$14,AND($D200&gt;=前提条件!$H$14,$D200&lt;=前提条件!$I$14),OR($D200&gt;=前提条件!$H$14,$D200&lt;=前提条件!$I$14)),1,0)</f>
        <v>0</v>
      </c>
      <c r="O200" s="14" t="n">
        <f aca="false">IF(IF(前提条件!$H$15&lt;=前提条件!$I$15,AND($D200&gt;=前提条件!$H$15,$D200&lt;=前提条件!$I$15),OR($D200&gt;=前提条件!$H$15,$D200&lt;=前提条件!$I$15)),1,0)</f>
        <v>0</v>
      </c>
    </row>
    <row r="201" customFormat="false" ht="15" hidden="false" customHeight="false" outlineLevel="0" collapsed="false">
      <c r="A201" s="48" t="n">
        <v>7</v>
      </c>
      <c r="B201" s="48" t="n">
        <v>17</v>
      </c>
      <c r="C201" s="48" t="str">
        <f aca="false">A201&amp;"/"&amp;B201</f>
        <v>7/17</v>
      </c>
      <c r="D201" s="48" t="n">
        <f aca="false">A201*100+B201</f>
        <v>717</v>
      </c>
      <c r="E201" s="45" t="n">
        <f aca="false">IF(SUM(J201:K201)&gt;0,前提条件!$B$6,前提条件!$B$8)</f>
        <v>6</v>
      </c>
      <c r="F201" s="48" t="str">
        <f aca="false">IFERROR(INDEX(前提条件!$B$12:$B$15,MATCH(1,L201:O201,0)),"未設定")</f>
        <v>遅延形</v>
      </c>
      <c r="G201" s="48" t="str">
        <f aca="false">IFERROR(INDEX(前提条件!$C$12:$C$15,MATCH(1,L201:O201,0)),"未設定")</f>
        <v>夏期</v>
      </c>
      <c r="H201" s="44" t="str">
        <f aca="false">"S値+"&amp;E201&amp;"／"&amp;F201&amp;"（"&amp;G201&amp;"）"</f>
        <v>S値+6／遅延形（夏期）</v>
      </c>
      <c r="J201" s="14" t="n">
        <f aca="false">IF(IF(前提条件!$G$6&lt;=前提条件!$H$6,AND($D201&gt;=前提条件!$G$6,$D201&lt;=前提条件!$H$6),OR($D201&gt;=前提条件!$G$6,$D201&lt;=前提条件!$H$6)),1,0)</f>
        <v>1</v>
      </c>
      <c r="K201" s="14" t="n">
        <f aca="false">IF(IF(前提条件!$G$7&lt;=前提条件!$H$7,AND($D201&gt;=前提条件!$G$7,$D201&lt;=前提条件!$H$7),OR($D201&gt;=前提条件!$G$7,$D201&lt;=前提条件!$H$7)),1,0)</f>
        <v>0</v>
      </c>
      <c r="L201" s="14" t="n">
        <f aca="false">IF(IF(前提条件!$H$12&lt;=前提条件!$I$12,AND($D201&gt;=前提条件!$H$12,$D201&lt;=前提条件!$I$12),OR($D201&gt;=前提条件!$H$12,$D201&lt;=前提条件!$I$12)),1,0)</f>
        <v>0</v>
      </c>
      <c r="M201" s="14" t="n">
        <f aca="false">IF(IF(前提条件!$H$13&lt;=前提条件!$I$13,AND($D201&gt;=前提条件!$H$13,$D201&lt;=前提条件!$I$13),OR($D201&gt;=前提条件!$H$13,$D201&lt;=前提条件!$I$13)),1,0)</f>
        <v>1</v>
      </c>
      <c r="N201" s="14" t="n">
        <f aca="false">IF(IF(前提条件!$H$14&lt;=前提条件!$I$14,AND($D201&gt;=前提条件!$H$14,$D201&lt;=前提条件!$I$14),OR($D201&gt;=前提条件!$H$14,$D201&lt;=前提条件!$I$14)),1,0)</f>
        <v>0</v>
      </c>
      <c r="O201" s="14" t="n">
        <f aca="false">IF(IF(前提条件!$H$15&lt;=前提条件!$I$15,AND($D201&gt;=前提条件!$H$15,$D201&lt;=前提条件!$I$15),OR($D201&gt;=前提条件!$H$15,$D201&lt;=前提条件!$I$15)),1,0)</f>
        <v>0</v>
      </c>
    </row>
    <row r="202" customFormat="false" ht="15" hidden="false" customHeight="false" outlineLevel="0" collapsed="false">
      <c r="A202" s="48" t="n">
        <v>7</v>
      </c>
      <c r="B202" s="48" t="n">
        <v>18</v>
      </c>
      <c r="C202" s="48" t="str">
        <f aca="false">A202&amp;"/"&amp;B202</f>
        <v>7/18</v>
      </c>
      <c r="D202" s="48" t="n">
        <f aca="false">A202*100+B202</f>
        <v>718</v>
      </c>
      <c r="E202" s="45" t="n">
        <f aca="false">IF(SUM(J202:K202)&gt;0,前提条件!$B$6,前提条件!$B$8)</f>
        <v>6</v>
      </c>
      <c r="F202" s="48" t="str">
        <f aca="false">IFERROR(INDEX(前提条件!$B$12:$B$15,MATCH(1,L202:O202,0)),"未設定")</f>
        <v>遅延形</v>
      </c>
      <c r="G202" s="48" t="str">
        <f aca="false">IFERROR(INDEX(前提条件!$C$12:$C$15,MATCH(1,L202:O202,0)),"未設定")</f>
        <v>夏期</v>
      </c>
      <c r="H202" s="44" t="str">
        <f aca="false">"S値+"&amp;E202&amp;"／"&amp;F202&amp;"（"&amp;G202&amp;"）"</f>
        <v>S値+6／遅延形（夏期）</v>
      </c>
      <c r="J202" s="14" t="n">
        <f aca="false">IF(IF(前提条件!$G$6&lt;=前提条件!$H$6,AND($D202&gt;=前提条件!$G$6,$D202&lt;=前提条件!$H$6),OR($D202&gt;=前提条件!$G$6,$D202&lt;=前提条件!$H$6)),1,0)</f>
        <v>1</v>
      </c>
      <c r="K202" s="14" t="n">
        <f aca="false">IF(IF(前提条件!$G$7&lt;=前提条件!$H$7,AND($D202&gt;=前提条件!$G$7,$D202&lt;=前提条件!$H$7),OR($D202&gt;=前提条件!$G$7,$D202&lt;=前提条件!$H$7)),1,0)</f>
        <v>0</v>
      </c>
      <c r="L202" s="14" t="n">
        <f aca="false">IF(IF(前提条件!$H$12&lt;=前提条件!$I$12,AND($D202&gt;=前提条件!$H$12,$D202&lt;=前提条件!$I$12),OR($D202&gt;=前提条件!$H$12,$D202&lt;=前提条件!$I$12)),1,0)</f>
        <v>0</v>
      </c>
      <c r="M202" s="14" t="n">
        <f aca="false">IF(IF(前提条件!$H$13&lt;=前提条件!$I$13,AND($D202&gt;=前提条件!$H$13,$D202&lt;=前提条件!$I$13),OR($D202&gt;=前提条件!$H$13,$D202&lt;=前提条件!$I$13)),1,0)</f>
        <v>1</v>
      </c>
      <c r="N202" s="14" t="n">
        <f aca="false">IF(IF(前提条件!$H$14&lt;=前提条件!$I$14,AND($D202&gt;=前提条件!$H$14,$D202&lt;=前提条件!$I$14),OR($D202&gt;=前提条件!$H$14,$D202&lt;=前提条件!$I$14)),1,0)</f>
        <v>0</v>
      </c>
      <c r="O202" s="14" t="n">
        <f aca="false">IF(IF(前提条件!$H$15&lt;=前提条件!$I$15,AND($D202&gt;=前提条件!$H$15,$D202&lt;=前提条件!$I$15),OR($D202&gt;=前提条件!$H$15,$D202&lt;=前提条件!$I$15)),1,0)</f>
        <v>0</v>
      </c>
    </row>
    <row r="203" customFormat="false" ht="15" hidden="false" customHeight="false" outlineLevel="0" collapsed="false">
      <c r="A203" s="48" t="n">
        <v>7</v>
      </c>
      <c r="B203" s="48" t="n">
        <v>19</v>
      </c>
      <c r="C203" s="48" t="str">
        <f aca="false">A203&amp;"/"&amp;B203</f>
        <v>7/19</v>
      </c>
      <c r="D203" s="48" t="n">
        <f aca="false">A203*100+B203</f>
        <v>719</v>
      </c>
      <c r="E203" s="45" t="n">
        <f aca="false">IF(SUM(J203:K203)&gt;0,前提条件!$B$6,前提条件!$B$8)</f>
        <v>6</v>
      </c>
      <c r="F203" s="48" t="str">
        <f aca="false">IFERROR(INDEX(前提条件!$B$12:$B$15,MATCH(1,L203:O203,0)),"未設定")</f>
        <v>遅延形</v>
      </c>
      <c r="G203" s="48" t="str">
        <f aca="false">IFERROR(INDEX(前提条件!$C$12:$C$15,MATCH(1,L203:O203,0)),"未設定")</f>
        <v>夏期</v>
      </c>
      <c r="H203" s="44" t="str">
        <f aca="false">"S値+"&amp;E203&amp;"／"&amp;F203&amp;"（"&amp;G203&amp;"）"</f>
        <v>S値+6／遅延形（夏期）</v>
      </c>
      <c r="J203" s="14" t="n">
        <f aca="false">IF(IF(前提条件!$G$6&lt;=前提条件!$H$6,AND($D203&gt;=前提条件!$G$6,$D203&lt;=前提条件!$H$6),OR($D203&gt;=前提条件!$G$6,$D203&lt;=前提条件!$H$6)),1,0)</f>
        <v>1</v>
      </c>
      <c r="K203" s="14" t="n">
        <f aca="false">IF(IF(前提条件!$G$7&lt;=前提条件!$H$7,AND($D203&gt;=前提条件!$G$7,$D203&lt;=前提条件!$H$7),OR($D203&gt;=前提条件!$G$7,$D203&lt;=前提条件!$H$7)),1,0)</f>
        <v>0</v>
      </c>
      <c r="L203" s="14" t="n">
        <f aca="false">IF(IF(前提条件!$H$12&lt;=前提条件!$I$12,AND($D203&gt;=前提条件!$H$12,$D203&lt;=前提条件!$I$12),OR($D203&gt;=前提条件!$H$12,$D203&lt;=前提条件!$I$12)),1,0)</f>
        <v>0</v>
      </c>
      <c r="M203" s="14" t="n">
        <f aca="false">IF(IF(前提条件!$H$13&lt;=前提条件!$I$13,AND($D203&gt;=前提条件!$H$13,$D203&lt;=前提条件!$I$13),OR($D203&gt;=前提条件!$H$13,$D203&lt;=前提条件!$I$13)),1,0)</f>
        <v>1</v>
      </c>
      <c r="N203" s="14" t="n">
        <f aca="false">IF(IF(前提条件!$H$14&lt;=前提条件!$I$14,AND($D203&gt;=前提条件!$H$14,$D203&lt;=前提条件!$I$14),OR($D203&gt;=前提条件!$H$14,$D203&lt;=前提条件!$I$14)),1,0)</f>
        <v>0</v>
      </c>
      <c r="O203" s="14" t="n">
        <f aca="false">IF(IF(前提条件!$H$15&lt;=前提条件!$I$15,AND($D203&gt;=前提条件!$H$15,$D203&lt;=前提条件!$I$15),OR($D203&gt;=前提条件!$H$15,$D203&lt;=前提条件!$I$15)),1,0)</f>
        <v>0</v>
      </c>
    </row>
    <row r="204" customFormat="false" ht="15" hidden="false" customHeight="false" outlineLevel="0" collapsed="false">
      <c r="A204" s="48" t="n">
        <v>7</v>
      </c>
      <c r="B204" s="48" t="n">
        <v>20</v>
      </c>
      <c r="C204" s="48" t="str">
        <f aca="false">A204&amp;"/"&amp;B204</f>
        <v>7/20</v>
      </c>
      <c r="D204" s="48" t="n">
        <f aca="false">A204*100+B204</f>
        <v>720</v>
      </c>
      <c r="E204" s="45" t="n">
        <f aca="false">IF(SUM(J204:K204)&gt;0,前提条件!$B$6,前提条件!$B$8)</f>
        <v>6</v>
      </c>
      <c r="F204" s="48" t="str">
        <f aca="false">IFERROR(INDEX(前提条件!$B$12:$B$15,MATCH(1,L204:O204,0)),"未設定")</f>
        <v>遅延形</v>
      </c>
      <c r="G204" s="48" t="str">
        <f aca="false">IFERROR(INDEX(前提条件!$C$12:$C$15,MATCH(1,L204:O204,0)),"未設定")</f>
        <v>夏期</v>
      </c>
      <c r="H204" s="44" t="str">
        <f aca="false">"S値+"&amp;E204&amp;"／"&amp;F204&amp;"（"&amp;G204&amp;"）"</f>
        <v>S値+6／遅延形（夏期）</v>
      </c>
      <c r="J204" s="14" t="n">
        <f aca="false">IF(IF(前提条件!$G$6&lt;=前提条件!$H$6,AND($D204&gt;=前提条件!$G$6,$D204&lt;=前提条件!$H$6),OR($D204&gt;=前提条件!$G$6,$D204&lt;=前提条件!$H$6)),1,0)</f>
        <v>1</v>
      </c>
      <c r="K204" s="14" t="n">
        <f aca="false">IF(IF(前提条件!$G$7&lt;=前提条件!$H$7,AND($D204&gt;=前提条件!$G$7,$D204&lt;=前提条件!$H$7),OR($D204&gt;=前提条件!$G$7,$D204&lt;=前提条件!$H$7)),1,0)</f>
        <v>0</v>
      </c>
      <c r="L204" s="14" t="n">
        <f aca="false">IF(IF(前提条件!$H$12&lt;=前提条件!$I$12,AND($D204&gt;=前提条件!$H$12,$D204&lt;=前提条件!$I$12),OR($D204&gt;=前提条件!$H$12,$D204&lt;=前提条件!$I$12)),1,0)</f>
        <v>0</v>
      </c>
      <c r="M204" s="14" t="n">
        <f aca="false">IF(IF(前提条件!$H$13&lt;=前提条件!$I$13,AND($D204&gt;=前提条件!$H$13,$D204&lt;=前提条件!$I$13),OR($D204&gt;=前提条件!$H$13,$D204&lt;=前提条件!$I$13)),1,0)</f>
        <v>1</v>
      </c>
      <c r="N204" s="14" t="n">
        <f aca="false">IF(IF(前提条件!$H$14&lt;=前提条件!$I$14,AND($D204&gt;=前提条件!$H$14,$D204&lt;=前提条件!$I$14),OR($D204&gt;=前提条件!$H$14,$D204&lt;=前提条件!$I$14)),1,0)</f>
        <v>0</v>
      </c>
      <c r="O204" s="14" t="n">
        <f aca="false">IF(IF(前提条件!$H$15&lt;=前提条件!$I$15,AND($D204&gt;=前提条件!$H$15,$D204&lt;=前提条件!$I$15),OR($D204&gt;=前提条件!$H$15,$D204&lt;=前提条件!$I$15)),1,0)</f>
        <v>0</v>
      </c>
    </row>
    <row r="205" customFormat="false" ht="15" hidden="false" customHeight="false" outlineLevel="0" collapsed="false">
      <c r="A205" s="48" t="n">
        <v>7</v>
      </c>
      <c r="B205" s="48" t="n">
        <v>21</v>
      </c>
      <c r="C205" s="48" t="str">
        <f aca="false">A205&amp;"/"&amp;B205</f>
        <v>7/21</v>
      </c>
      <c r="D205" s="48" t="n">
        <f aca="false">A205*100+B205</f>
        <v>721</v>
      </c>
      <c r="E205" s="45" t="n">
        <f aca="false">IF(SUM(J205:K205)&gt;0,前提条件!$B$6,前提条件!$B$8)</f>
        <v>6</v>
      </c>
      <c r="F205" s="48" t="str">
        <f aca="false">IFERROR(INDEX(前提条件!$B$12:$B$15,MATCH(1,L205:O205,0)),"未設定")</f>
        <v>遅延形</v>
      </c>
      <c r="G205" s="48" t="str">
        <f aca="false">IFERROR(INDEX(前提条件!$C$12:$C$15,MATCH(1,L205:O205,0)),"未設定")</f>
        <v>夏期</v>
      </c>
      <c r="H205" s="44" t="str">
        <f aca="false">"S値+"&amp;E205&amp;"／"&amp;F205&amp;"（"&amp;G205&amp;"）"</f>
        <v>S値+6／遅延形（夏期）</v>
      </c>
      <c r="J205" s="14" t="n">
        <f aca="false">IF(IF(前提条件!$G$6&lt;=前提条件!$H$6,AND($D205&gt;=前提条件!$G$6,$D205&lt;=前提条件!$H$6),OR($D205&gt;=前提条件!$G$6,$D205&lt;=前提条件!$H$6)),1,0)</f>
        <v>1</v>
      </c>
      <c r="K205" s="14" t="n">
        <f aca="false">IF(IF(前提条件!$G$7&lt;=前提条件!$H$7,AND($D205&gt;=前提条件!$G$7,$D205&lt;=前提条件!$H$7),OR($D205&gt;=前提条件!$G$7,$D205&lt;=前提条件!$H$7)),1,0)</f>
        <v>0</v>
      </c>
      <c r="L205" s="14" t="n">
        <f aca="false">IF(IF(前提条件!$H$12&lt;=前提条件!$I$12,AND($D205&gt;=前提条件!$H$12,$D205&lt;=前提条件!$I$12),OR($D205&gt;=前提条件!$H$12,$D205&lt;=前提条件!$I$12)),1,0)</f>
        <v>0</v>
      </c>
      <c r="M205" s="14" t="n">
        <f aca="false">IF(IF(前提条件!$H$13&lt;=前提条件!$I$13,AND($D205&gt;=前提条件!$H$13,$D205&lt;=前提条件!$I$13),OR($D205&gt;=前提条件!$H$13,$D205&lt;=前提条件!$I$13)),1,0)</f>
        <v>1</v>
      </c>
      <c r="N205" s="14" t="n">
        <f aca="false">IF(IF(前提条件!$H$14&lt;=前提条件!$I$14,AND($D205&gt;=前提条件!$H$14,$D205&lt;=前提条件!$I$14),OR($D205&gt;=前提条件!$H$14,$D205&lt;=前提条件!$I$14)),1,0)</f>
        <v>0</v>
      </c>
      <c r="O205" s="14" t="n">
        <f aca="false">IF(IF(前提条件!$H$15&lt;=前提条件!$I$15,AND($D205&gt;=前提条件!$H$15,$D205&lt;=前提条件!$I$15),OR($D205&gt;=前提条件!$H$15,$D205&lt;=前提条件!$I$15)),1,0)</f>
        <v>0</v>
      </c>
    </row>
    <row r="206" customFormat="false" ht="15" hidden="false" customHeight="false" outlineLevel="0" collapsed="false">
      <c r="A206" s="48" t="n">
        <v>7</v>
      </c>
      <c r="B206" s="48" t="n">
        <v>22</v>
      </c>
      <c r="C206" s="48" t="str">
        <f aca="false">A206&amp;"/"&amp;B206</f>
        <v>7/22</v>
      </c>
      <c r="D206" s="48" t="n">
        <f aca="false">A206*100+B206</f>
        <v>722</v>
      </c>
      <c r="E206" s="45" t="n">
        <f aca="false">IF(SUM(J206:K206)&gt;0,前提条件!$B$6,前提条件!$B$8)</f>
        <v>6</v>
      </c>
      <c r="F206" s="48" t="str">
        <f aca="false">IFERROR(INDEX(前提条件!$B$12:$B$15,MATCH(1,L206:O206,0)),"未設定")</f>
        <v>遅延形</v>
      </c>
      <c r="G206" s="48" t="str">
        <f aca="false">IFERROR(INDEX(前提条件!$C$12:$C$15,MATCH(1,L206:O206,0)),"未設定")</f>
        <v>夏期</v>
      </c>
      <c r="H206" s="44" t="str">
        <f aca="false">"S値+"&amp;E206&amp;"／"&amp;F206&amp;"（"&amp;G206&amp;"）"</f>
        <v>S値+6／遅延形（夏期）</v>
      </c>
      <c r="J206" s="14" t="n">
        <f aca="false">IF(IF(前提条件!$G$6&lt;=前提条件!$H$6,AND($D206&gt;=前提条件!$G$6,$D206&lt;=前提条件!$H$6),OR($D206&gt;=前提条件!$G$6,$D206&lt;=前提条件!$H$6)),1,0)</f>
        <v>1</v>
      </c>
      <c r="K206" s="14" t="n">
        <f aca="false">IF(IF(前提条件!$G$7&lt;=前提条件!$H$7,AND($D206&gt;=前提条件!$G$7,$D206&lt;=前提条件!$H$7),OR($D206&gt;=前提条件!$G$7,$D206&lt;=前提条件!$H$7)),1,0)</f>
        <v>0</v>
      </c>
      <c r="L206" s="14" t="n">
        <f aca="false">IF(IF(前提条件!$H$12&lt;=前提条件!$I$12,AND($D206&gt;=前提条件!$H$12,$D206&lt;=前提条件!$I$12),OR($D206&gt;=前提条件!$H$12,$D206&lt;=前提条件!$I$12)),1,0)</f>
        <v>0</v>
      </c>
      <c r="M206" s="14" t="n">
        <f aca="false">IF(IF(前提条件!$H$13&lt;=前提条件!$I$13,AND($D206&gt;=前提条件!$H$13,$D206&lt;=前提条件!$I$13),OR($D206&gt;=前提条件!$H$13,$D206&lt;=前提条件!$I$13)),1,0)</f>
        <v>1</v>
      </c>
      <c r="N206" s="14" t="n">
        <f aca="false">IF(IF(前提条件!$H$14&lt;=前提条件!$I$14,AND($D206&gt;=前提条件!$H$14,$D206&lt;=前提条件!$I$14),OR($D206&gt;=前提条件!$H$14,$D206&lt;=前提条件!$I$14)),1,0)</f>
        <v>0</v>
      </c>
      <c r="O206" s="14" t="n">
        <f aca="false">IF(IF(前提条件!$H$15&lt;=前提条件!$I$15,AND($D206&gt;=前提条件!$H$15,$D206&lt;=前提条件!$I$15),OR($D206&gt;=前提条件!$H$15,$D206&lt;=前提条件!$I$15)),1,0)</f>
        <v>0</v>
      </c>
    </row>
    <row r="207" customFormat="false" ht="15" hidden="false" customHeight="false" outlineLevel="0" collapsed="false">
      <c r="A207" s="48" t="n">
        <v>7</v>
      </c>
      <c r="B207" s="48" t="n">
        <v>23</v>
      </c>
      <c r="C207" s="48" t="str">
        <f aca="false">A207&amp;"/"&amp;B207</f>
        <v>7/23</v>
      </c>
      <c r="D207" s="48" t="n">
        <f aca="false">A207*100+B207</f>
        <v>723</v>
      </c>
      <c r="E207" s="45" t="n">
        <f aca="false">IF(SUM(J207:K207)&gt;0,前提条件!$B$6,前提条件!$B$8)</f>
        <v>6</v>
      </c>
      <c r="F207" s="48" t="str">
        <f aca="false">IFERROR(INDEX(前提条件!$B$12:$B$15,MATCH(1,L207:O207,0)),"未設定")</f>
        <v>遅延形</v>
      </c>
      <c r="G207" s="48" t="str">
        <f aca="false">IFERROR(INDEX(前提条件!$C$12:$C$15,MATCH(1,L207:O207,0)),"未設定")</f>
        <v>夏期</v>
      </c>
      <c r="H207" s="44" t="str">
        <f aca="false">"S値+"&amp;E207&amp;"／"&amp;F207&amp;"（"&amp;G207&amp;"）"</f>
        <v>S値+6／遅延形（夏期）</v>
      </c>
      <c r="J207" s="14" t="n">
        <f aca="false">IF(IF(前提条件!$G$6&lt;=前提条件!$H$6,AND($D207&gt;=前提条件!$G$6,$D207&lt;=前提条件!$H$6),OR($D207&gt;=前提条件!$G$6,$D207&lt;=前提条件!$H$6)),1,0)</f>
        <v>1</v>
      </c>
      <c r="K207" s="14" t="n">
        <f aca="false">IF(IF(前提条件!$G$7&lt;=前提条件!$H$7,AND($D207&gt;=前提条件!$G$7,$D207&lt;=前提条件!$H$7),OR($D207&gt;=前提条件!$G$7,$D207&lt;=前提条件!$H$7)),1,0)</f>
        <v>0</v>
      </c>
      <c r="L207" s="14" t="n">
        <f aca="false">IF(IF(前提条件!$H$12&lt;=前提条件!$I$12,AND($D207&gt;=前提条件!$H$12,$D207&lt;=前提条件!$I$12),OR($D207&gt;=前提条件!$H$12,$D207&lt;=前提条件!$I$12)),1,0)</f>
        <v>0</v>
      </c>
      <c r="M207" s="14" t="n">
        <f aca="false">IF(IF(前提条件!$H$13&lt;=前提条件!$I$13,AND($D207&gt;=前提条件!$H$13,$D207&lt;=前提条件!$I$13),OR($D207&gt;=前提条件!$H$13,$D207&lt;=前提条件!$I$13)),1,0)</f>
        <v>1</v>
      </c>
      <c r="N207" s="14" t="n">
        <f aca="false">IF(IF(前提条件!$H$14&lt;=前提条件!$I$14,AND($D207&gt;=前提条件!$H$14,$D207&lt;=前提条件!$I$14),OR($D207&gt;=前提条件!$H$14,$D207&lt;=前提条件!$I$14)),1,0)</f>
        <v>0</v>
      </c>
      <c r="O207" s="14" t="n">
        <f aca="false">IF(IF(前提条件!$H$15&lt;=前提条件!$I$15,AND($D207&gt;=前提条件!$H$15,$D207&lt;=前提条件!$I$15),OR($D207&gt;=前提条件!$H$15,$D207&lt;=前提条件!$I$15)),1,0)</f>
        <v>0</v>
      </c>
    </row>
    <row r="208" customFormat="false" ht="15" hidden="false" customHeight="false" outlineLevel="0" collapsed="false">
      <c r="A208" s="48" t="n">
        <v>7</v>
      </c>
      <c r="B208" s="48" t="n">
        <v>24</v>
      </c>
      <c r="C208" s="48" t="str">
        <f aca="false">A208&amp;"/"&amp;B208</f>
        <v>7/24</v>
      </c>
      <c r="D208" s="48" t="n">
        <f aca="false">A208*100+B208</f>
        <v>724</v>
      </c>
      <c r="E208" s="45" t="n">
        <f aca="false">IF(SUM(J208:K208)&gt;0,前提条件!$B$6,前提条件!$B$8)</f>
        <v>6</v>
      </c>
      <c r="F208" s="48" t="str">
        <f aca="false">IFERROR(INDEX(前提条件!$B$12:$B$15,MATCH(1,L208:O208,0)),"未設定")</f>
        <v>遅延形</v>
      </c>
      <c r="G208" s="48" t="str">
        <f aca="false">IFERROR(INDEX(前提条件!$C$12:$C$15,MATCH(1,L208:O208,0)),"未設定")</f>
        <v>夏期</v>
      </c>
      <c r="H208" s="44" t="str">
        <f aca="false">"S値+"&amp;E208&amp;"／"&amp;F208&amp;"（"&amp;G208&amp;"）"</f>
        <v>S値+6／遅延形（夏期）</v>
      </c>
      <c r="J208" s="14" t="n">
        <f aca="false">IF(IF(前提条件!$G$6&lt;=前提条件!$H$6,AND($D208&gt;=前提条件!$G$6,$D208&lt;=前提条件!$H$6),OR($D208&gt;=前提条件!$G$6,$D208&lt;=前提条件!$H$6)),1,0)</f>
        <v>1</v>
      </c>
      <c r="K208" s="14" t="n">
        <f aca="false">IF(IF(前提条件!$G$7&lt;=前提条件!$H$7,AND($D208&gt;=前提条件!$G$7,$D208&lt;=前提条件!$H$7),OR($D208&gt;=前提条件!$G$7,$D208&lt;=前提条件!$H$7)),1,0)</f>
        <v>0</v>
      </c>
      <c r="L208" s="14" t="n">
        <f aca="false">IF(IF(前提条件!$H$12&lt;=前提条件!$I$12,AND($D208&gt;=前提条件!$H$12,$D208&lt;=前提条件!$I$12),OR($D208&gt;=前提条件!$H$12,$D208&lt;=前提条件!$I$12)),1,0)</f>
        <v>0</v>
      </c>
      <c r="M208" s="14" t="n">
        <f aca="false">IF(IF(前提条件!$H$13&lt;=前提条件!$I$13,AND($D208&gt;=前提条件!$H$13,$D208&lt;=前提条件!$I$13),OR($D208&gt;=前提条件!$H$13,$D208&lt;=前提条件!$I$13)),1,0)</f>
        <v>1</v>
      </c>
      <c r="N208" s="14" t="n">
        <f aca="false">IF(IF(前提条件!$H$14&lt;=前提条件!$I$14,AND($D208&gt;=前提条件!$H$14,$D208&lt;=前提条件!$I$14),OR($D208&gt;=前提条件!$H$14,$D208&lt;=前提条件!$I$14)),1,0)</f>
        <v>0</v>
      </c>
      <c r="O208" s="14" t="n">
        <f aca="false">IF(IF(前提条件!$H$15&lt;=前提条件!$I$15,AND($D208&gt;=前提条件!$H$15,$D208&lt;=前提条件!$I$15),OR($D208&gt;=前提条件!$H$15,$D208&lt;=前提条件!$I$15)),1,0)</f>
        <v>0</v>
      </c>
    </row>
    <row r="209" customFormat="false" ht="15" hidden="false" customHeight="false" outlineLevel="0" collapsed="false">
      <c r="A209" s="48" t="n">
        <v>7</v>
      </c>
      <c r="B209" s="48" t="n">
        <v>25</v>
      </c>
      <c r="C209" s="48" t="str">
        <f aca="false">A209&amp;"/"&amp;B209</f>
        <v>7/25</v>
      </c>
      <c r="D209" s="48" t="n">
        <f aca="false">A209*100+B209</f>
        <v>725</v>
      </c>
      <c r="E209" s="45" t="n">
        <f aca="false">IF(SUM(J209:K209)&gt;0,前提条件!$B$6,前提条件!$B$8)</f>
        <v>6</v>
      </c>
      <c r="F209" s="48" t="str">
        <f aca="false">IFERROR(INDEX(前提条件!$B$12:$B$15,MATCH(1,L209:O209,0)),"未設定")</f>
        <v>遅延形</v>
      </c>
      <c r="G209" s="48" t="str">
        <f aca="false">IFERROR(INDEX(前提条件!$C$12:$C$15,MATCH(1,L209:O209,0)),"未設定")</f>
        <v>夏期</v>
      </c>
      <c r="H209" s="44" t="str">
        <f aca="false">"S値+"&amp;E209&amp;"／"&amp;F209&amp;"（"&amp;G209&amp;"）"</f>
        <v>S値+6／遅延形（夏期）</v>
      </c>
      <c r="J209" s="14" t="n">
        <f aca="false">IF(IF(前提条件!$G$6&lt;=前提条件!$H$6,AND($D209&gt;=前提条件!$G$6,$D209&lt;=前提条件!$H$6),OR($D209&gt;=前提条件!$G$6,$D209&lt;=前提条件!$H$6)),1,0)</f>
        <v>1</v>
      </c>
      <c r="K209" s="14" t="n">
        <f aca="false">IF(IF(前提条件!$G$7&lt;=前提条件!$H$7,AND($D209&gt;=前提条件!$G$7,$D209&lt;=前提条件!$H$7),OR($D209&gt;=前提条件!$G$7,$D209&lt;=前提条件!$H$7)),1,0)</f>
        <v>0</v>
      </c>
      <c r="L209" s="14" t="n">
        <f aca="false">IF(IF(前提条件!$H$12&lt;=前提条件!$I$12,AND($D209&gt;=前提条件!$H$12,$D209&lt;=前提条件!$I$12),OR($D209&gt;=前提条件!$H$12,$D209&lt;=前提条件!$I$12)),1,0)</f>
        <v>0</v>
      </c>
      <c r="M209" s="14" t="n">
        <f aca="false">IF(IF(前提条件!$H$13&lt;=前提条件!$I$13,AND($D209&gt;=前提条件!$H$13,$D209&lt;=前提条件!$I$13),OR($D209&gt;=前提条件!$H$13,$D209&lt;=前提条件!$I$13)),1,0)</f>
        <v>1</v>
      </c>
      <c r="N209" s="14" t="n">
        <f aca="false">IF(IF(前提条件!$H$14&lt;=前提条件!$I$14,AND($D209&gt;=前提条件!$H$14,$D209&lt;=前提条件!$I$14),OR($D209&gt;=前提条件!$H$14,$D209&lt;=前提条件!$I$14)),1,0)</f>
        <v>0</v>
      </c>
      <c r="O209" s="14" t="n">
        <f aca="false">IF(IF(前提条件!$H$15&lt;=前提条件!$I$15,AND($D209&gt;=前提条件!$H$15,$D209&lt;=前提条件!$I$15),OR($D209&gt;=前提条件!$H$15,$D209&lt;=前提条件!$I$15)),1,0)</f>
        <v>0</v>
      </c>
    </row>
    <row r="210" customFormat="false" ht="15" hidden="false" customHeight="false" outlineLevel="0" collapsed="false">
      <c r="A210" s="48" t="n">
        <v>7</v>
      </c>
      <c r="B210" s="48" t="n">
        <v>26</v>
      </c>
      <c r="C210" s="48" t="str">
        <f aca="false">A210&amp;"/"&amp;B210</f>
        <v>7/26</v>
      </c>
      <c r="D210" s="48" t="n">
        <f aca="false">A210*100+B210</f>
        <v>726</v>
      </c>
      <c r="E210" s="45" t="n">
        <f aca="false">IF(SUM(J210:K210)&gt;0,前提条件!$B$6,前提条件!$B$8)</f>
        <v>6</v>
      </c>
      <c r="F210" s="48" t="str">
        <f aca="false">IFERROR(INDEX(前提条件!$B$12:$B$15,MATCH(1,L210:O210,0)),"未設定")</f>
        <v>遅延形</v>
      </c>
      <c r="G210" s="48" t="str">
        <f aca="false">IFERROR(INDEX(前提条件!$C$12:$C$15,MATCH(1,L210:O210,0)),"未設定")</f>
        <v>夏期</v>
      </c>
      <c r="H210" s="44" t="str">
        <f aca="false">"S値+"&amp;E210&amp;"／"&amp;F210&amp;"（"&amp;G210&amp;"）"</f>
        <v>S値+6／遅延形（夏期）</v>
      </c>
      <c r="J210" s="14" t="n">
        <f aca="false">IF(IF(前提条件!$G$6&lt;=前提条件!$H$6,AND($D210&gt;=前提条件!$G$6,$D210&lt;=前提条件!$H$6),OR($D210&gt;=前提条件!$G$6,$D210&lt;=前提条件!$H$6)),1,0)</f>
        <v>1</v>
      </c>
      <c r="K210" s="14" t="n">
        <f aca="false">IF(IF(前提条件!$G$7&lt;=前提条件!$H$7,AND($D210&gt;=前提条件!$G$7,$D210&lt;=前提条件!$H$7),OR($D210&gt;=前提条件!$G$7,$D210&lt;=前提条件!$H$7)),1,0)</f>
        <v>0</v>
      </c>
      <c r="L210" s="14" t="n">
        <f aca="false">IF(IF(前提条件!$H$12&lt;=前提条件!$I$12,AND($D210&gt;=前提条件!$H$12,$D210&lt;=前提条件!$I$12),OR($D210&gt;=前提条件!$H$12,$D210&lt;=前提条件!$I$12)),1,0)</f>
        <v>0</v>
      </c>
      <c r="M210" s="14" t="n">
        <f aca="false">IF(IF(前提条件!$H$13&lt;=前提条件!$I$13,AND($D210&gt;=前提条件!$H$13,$D210&lt;=前提条件!$I$13),OR($D210&gt;=前提条件!$H$13,$D210&lt;=前提条件!$I$13)),1,0)</f>
        <v>1</v>
      </c>
      <c r="N210" s="14" t="n">
        <f aca="false">IF(IF(前提条件!$H$14&lt;=前提条件!$I$14,AND($D210&gt;=前提条件!$H$14,$D210&lt;=前提条件!$I$14),OR($D210&gt;=前提条件!$H$14,$D210&lt;=前提条件!$I$14)),1,0)</f>
        <v>0</v>
      </c>
      <c r="O210" s="14" t="n">
        <f aca="false">IF(IF(前提条件!$H$15&lt;=前提条件!$I$15,AND($D210&gt;=前提条件!$H$15,$D210&lt;=前提条件!$I$15),OR($D210&gt;=前提条件!$H$15,$D210&lt;=前提条件!$I$15)),1,0)</f>
        <v>0</v>
      </c>
    </row>
    <row r="211" customFormat="false" ht="15" hidden="false" customHeight="false" outlineLevel="0" collapsed="false">
      <c r="A211" s="48" t="n">
        <v>7</v>
      </c>
      <c r="B211" s="48" t="n">
        <v>27</v>
      </c>
      <c r="C211" s="48" t="str">
        <f aca="false">A211&amp;"/"&amp;B211</f>
        <v>7/27</v>
      </c>
      <c r="D211" s="48" t="n">
        <f aca="false">A211*100+B211</f>
        <v>727</v>
      </c>
      <c r="E211" s="45" t="n">
        <f aca="false">IF(SUM(J211:K211)&gt;0,前提条件!$B$6,前提条件!$B$8)</f>
        <v>6</v>
      </c>
      <c r="F211" s="48" t="str">
        <f aca="false">IFERROR(INDEX(前提条件!$B$12:$B$15,MATCH(1,L211:O211,0)),"未設定")</f>
        <v>遅延形</v>
      </c>
      <c r="G211" s="48" t="str">
        <f aca="false">IFERROR(INDEX(前提条件!$C$12:$C$15,MATCH(1,L211:O211,0)),"未設定")</f>
        <v>夏期</v>
      </c>
      <c r="H211" s="44" t="str">
        <f aca="false">"S値+"&amp;E211&amp;"／"&amp;F211&amp;"（"&amp;G211&amp;"）"</f>
        <v>S値+6／遅延形（夏期）</v>
      </c>
      <c r="J211" s="14" t="n">
        <f aca="false">IF(IF(前提条件!$G$6&lt;=前提条件!$H$6,AND($D211&gt;=前提条件!$G$6,$D211&lt;=前提条件!$H$6),OR($D211&gt;=前提条件!$G$6,$D211&lt;=前提条件!$H$6)),1,0)</f>
        <v>1</v>
      </c>
      <c r="K211" s="14" t="n">
        <f aca="false">IF(IF(前提条件!$G$7&lt;=前提条件!$H$7,AND($D211&gt;=前提条件!$G$7,$D211&lt;=前提条件!$H$7),OR($D211&gt;=前提条件!$G$7,$D211&lt;=前提条件!$H$7)),1,0)</f>
        <v>0</v>
      </c>
      <c r="L211" s="14" t="n">
        <f aca="false">IF(IF(前提条件!$H$12&lt;=前提条件!$I$12,AND($D211&gt;=前提条件!$H$12,$D211&lt;=前提条件!$I$12),OR($D211&gt;=前提条件!$H$12,$D211&lt;=前提条件!$I$12)),1,0)</f>
        <v>0</v>
      </c>
      <c r="M211" s="14" t="n">
        <f aca="false">IF(IF(前提条件!$H$13&lt;=前提条件!$I$13,AND($D211&gt;=前提条件!$H$13,$D211&lt;=前提条件!$I$13),OR($D211&gt;=前提条件!$H$13,$D211&lt;=前提条件!$I$13)),1,0)</f>
        <v>1</v>
      </c>
      <c r="N211" s="14" t="n">
        <f aca="false">IF(IF(前提条件!$H$14&lt;=前提条件!$I$14,AND($D211&gt;=前提条件!$H$14,$D211&lt;=前提条件!$I$14),OR($D211&gt;=前提条件!$H$14,$D211&lt;=前提条件!$I$14)),1,0)</f>
        <v>0</v>
      </c>
      <c r="O211" s="14" t="n">
        <f aca="false">IF(IF(前提条件!$H$15&lt;=前提条件!$I$15,AND($D211&gt;=前提条件!$H$15,$D211&lt;=前提条件!$I$15),OR($D211&gt;=前提条件!$H$15,$D211&lt;=前提条件!$I$15)),1,0)</f>
        <v>0</v>
      </c>
    </row>
    <row r="212" customFormat="false" ht="15" hidden="false" customHeight="false" outlineLevel="0" collapsed="false">
      <c r="A212" s="48" t="n">
        <v>7</v>
      </c>
      <c r="B212" s="48" t="n">
        <v>28</v>
      </c>
      <c r="C212" s="48" t="str">
        <f aca="false">A212&amp;"/"&amp;B212</f>
        <v>7/28</v>
      </c>
      <c r="D212" s="48" t="n">
        <f aca="false">A212*100+B212</f>
        <v>728</v>
      </c>
      <c r="E212" s="45" t="n">
        <f aca="false">IF(SUM(J212:K212)&gt;0,前提条件!$B$6,前提条件!$B$8)</f>
        <v>6</v>
      </c>
      <c r="F212" s="48" t="str">
        <f aca="false">IFERROR(INDEX(前提条件!$B$12:$B$15,MATCH(1,L212:O212,0)),"未設定")</f>
        <v>遅延形</v>
      </c>
      <c r="G212" s="48" t="str">
        <f aca="false">IFERROR(INDEX(前提条件!$C$12:$C$15,MATCH(1,L212:O212,0)),"未設定")</f>
        <v>夏期</v>
      </c>
      <c r="H212" s="44" t="str">
        <f aca="false">"S値+"&amp;E212&amp;"／"&amp;F212&amp;"（"&amp;G212&amp;"）"</f>
        <v>S値+6／遅延形（夏期）</v>
      </c>
      <c r="J212" s="14" t="n">
        <f aca="false">IF(IF(前提条件!$G$6&lt;=前提条件!$H$6,AND($D212&gt;=前提条件!$G$6,$D212&lt;=前提条件!$H$6),OR($D212&gt;=前提条件!$G$6,$D212&lt;=前提条件!$H$6)),1,0)</f>
        <v>1</v>
      </c>
      <c r="K212" s="14" t="n">
        <f aca="false">IF(IF(前提条件!$G$7&lt;=前提条件!$H$7,AND($D212&gt;=前提条件!$G$7,$D212&lt;=前提条件!$H$7),OR($D212&gt;=前提条件!$G$7,$D212&lt;=前提条件!$H$7)),1,0)</f>
        <v>0</v>
      </c>
      <c r="L212" s="14" t="n">
        <f aca="false">IF(IF(前提条件!$H$12&lt;=前提条件!$I$12,AND($D212&gt;=前提条件!$H$12,$D212&lt;=前提条件!$I$12),OR($D212&gt;=前提条件!$H$12,$D212&lt;=前提条件!$I$12)),1,0)</f>
        <v>0</v>
      </c>
      <c r="M212" s="14" t="n">
        <f aca="false">IF(IF(前提条件!$H$13&lt;=前提条件!$I$13,AND($D212&gt;=前提条件!$H$13,$D212&lt;=前提条件!$I$13),OR($D212&gt;=前提条件!$H$13,$D212&lt;=前提条件!$I$13)),1,0)</f>
        <v>1</v>
      </c>
      <c r="N212" s="14" t="n">
        <f aca="false">IF(IF(前提条件!$H$14&lt;=前提条件!$I$14,AND($D212&gt;=前提条件!$H$14,$D212&lt;=前提条件!$I$14),OR($D212&gt;=前提条件!$H$14,$D212&lt;=前提条件!$I$14)),1,0)</f>
        <v>0</v>
      </c>
      <c r="O212" s="14" t="n">
        <f aca="false">IF(IF(前提条件!$H$15&lt;=前提条件!$I$15,AND($D212&gt;=前提条件!$H$15,$D212&lt;=前提条件!$I$15),OR($D212&gt;=前提条件!$H$15,$D212&lt;=前提条件!$I$15)),1,0)</f>
        <v>0</v>
      </c>
    </row>
    <row r="213" customFormat="false" ht="15" hidden="false" customHeight="false" outlineLevel="0" collapsed="false">
      <c r="A213" s="48" t="n">
        <v>7</v>
      </c>
      <c r="B213" s="48" t="n">
        <v>29</v>
      </c>
      <c r="C213" s="48" t="str">
        <f aca="false">A213&amp;"/"&amp;B213</f>
        <v>7/29</v>
      </c>
      <c r="D213" s="48" t="n">
        <f aca="false">A213*100+B213</f>
        <v>729</v>
      </c>
      <c r="E213" s="45" t="n">
        <f aca="false">IF(SUM(J213:K213)&gt;0,前提条件!$B$6,前提条件!$B$8)</f>
        <v>6</v>
      </c>
      <c r="F213" s="48" t="str">
        <f aca="false">IFERROR(INDEX(前提条件!$B$12:$B$15,MATCH(1,L213:O213,0)),"未設定")</f>
        <v>遅延形</v>
      </c>
      <c r="G213" s="48" t="str">
        <f aca="false">IFERROR(INDEX(前提条件!$C$12:$C$15,MATCH(1,L213:O213,0)),"未設定")</f>
        <v>夏期</v>
      </c>
      <c r="H213" s="44" t="str">
        <f aca="false">"S値+"&amp;E213&amp;"／"&amp;F213&amp;"（"&amp;G213&amp;"）"</f>
        <v>S値+6／遅延形（夏期）</v>
      </c>
      <c r="J213" s="14" t="n">
        <f aca="false">IF(IF(前提条件!$G$6&lt;=前提条件!$H$6,AND($D213&gt;=前提条件!$G$6,$D213&lt;=前提条件!$H$6),OR($D213&gt;=前提条件!$G$6,$D213&lt;=前提条件!$H$6)),1,0)</f>
        <v>1</v>
      </c>
      <c r="K213" s="14" t="n">
        <f aca="false">IF(IF(前提条件!$G$7&lt;=前提条件!$H$7,AND($D213&gt;=前提条件!$G$7,$D213&lt;=前提条件!$H$7),OR($D213&gt;=前提条件!$G$7,$D213&lt;=前提条件!$H$7)),1,0)</f>
        <v>0</v>
      </c>
      <c r="L213" s="14" t="n">
        <f aca="false">IF(IF(前提条件!$H$12&lt;=前提条件!$I$12,AND($D213&gt;=前提条件!$H$12,$D213&lt;=前提条件!$I$12),OR($D213&gt;=前提条件!$H$12,$D213&lt;=前提条件!$I$12)),1,0)</f>
        <v>0</v>
      </c>
      <c r="M213" s="14" t="n">
        <f aca="false">IF(IF(前提条件!$H$13&lt;=前提条件!$I$13,AND($D213&gt;=前提条件!$H$13,$D213&lt;=前提条件!$I$13),OR($D213&gt;=前提条件!$H$13,$D213&lt;=前提条件!$I$13)),1,0)</f>
        <v>1</v>
      </c>
      <c r="N213" s="14" t="n">
        <f aca="false">IF(IF(前提条件!$H$14&lt;=前提条件!$I$14,AND($D213&gt;=前提条件!$H$14,$D213&lt;=前提条件!$I$14),OR($D213&gt;=前提条件!$H$14,$D213&lt;=前提条件!$I$14)),1,0)</f>
        <v>0</v>
      </c>
      <c r="O213" s="14" t="n">
        <f aca="false">IF(IF(前提条件!$H$15&lt;=前提条件!$I$15,AND($D213&gt;=前提条件!$H$15,$D213&lt;=前提条件!$I$15),OR($D213&gt;=前提条件!$H$15,$D213&lt;=前提条件!$I$15)),1,0)</f>
        <v>0</v>
      </c>
    </row>
    <row r="214" customFormat="false" ht="15" hidden="false" customHeight="false" outlineLevel="0" collapsed="false">
      <c r="A214" s="48" t="n">
        <v>7</v>
      </c>
      <c r="B214" s="48" t="n">
        <v>30</v>
      </c>
      <c r="C214" s="48" t="str">
        <f aca="false">A214&amp;"/"&amp;B214</f>
        <v>7/30</v>
      </c>
      <c r="D214" s="48" t="n">
        <f aca="false">A214*100+B214</f>
        <v>730</v>
      </c>
      <c r="E214" s="45" t="n">
        <f aca="false">IF(SUM(J214:K214)&gt;0,前提条件!$B$6,前提条件!$B$8)</f>
        <v>6</v>
      </c>
      <c r="F214" s="48" t="str">
        <f aca="false">IFERROR(INDEX(前提条件!$B$12:$B$15,MATCH(1,L214:O214,0)),"未設定")</f>
        <v>遅延形</v>
      </c>
      <c r="G214" s="48" t="str">
        <f aca="false">IFERROR(INDEX(前提条件!$C$12:$C$15,MATCH(1,L214:O214,0)),"未設定")</f>
        <v>夏期</v>
      </c>
      <c r="H214" s="44" t="str">
        <f aca="false">"S値+"&amp;E214&amp;"／"&amp;F214&amp;"（"&amp;G214&amp;"）"</f>
        <v>S値+6／遅延形（夏期）</v>
      </c>
      <c r="J214" s="14" t="n">
        <f aca="false">IF(IF(前提条件!$G$6&lt;=前提条件!$H$6,AND($D214&gt;=前提条件!$G$6,$D214&lt;=前提条件!$H$6),OR($D214&gt;=前提条件!$G$6,$D214&lt;=前提条件!$H$6)),1,0)</f>
        <v>1</v>
      </c>
      <c r="K214" s="14" t="n">
        <f aca="false">IF(IF(前提条件!$G$7&lt;=前提条件!$H$7,AND($D214&gt;=前提条件!$G$7,$D214&lt;=前提条件!$H$7),OR($D214&gt;=前提条件!$G$7,$D214&lt;=前提条件!$H$7)),1,0)</f>
        <v>0</v>
      </c>
      <c r="L214" s="14" t="n">
        <f aca="false">IF(IF(前提条件!$H$12&lt;=前提条件!$I$12,AND($D214&gt;=前提条件!$H$12,$D214&lt;=前提条件!$I$12),OR($D214&gt;=前提条件!$H$12,$D214&lt;=前提条件!$I$12)),1,0)</f>
        <v>0</v>
      </c>
      <c r="M214" s="14" t="n">
        <f aca="false">IF(IF(前提条件!$H$13&lt;=前提条件!$I$13,AND($D214&gt;=前提条件!$H$13,$D214&lt;=前提条件!$I$13),OR($D214&gt;=前提条件!$H$13,$D214&lt;=前提条件!$I$13)),1,0)</f>
        <v>1</v>
      </c>
      <c r="N214" s="14" t="n">
        <f aca="false">IF(IF(前提条件!$H$14&lt;=前提条件!$I$14,AND($D214&gt;=前提条件!$H$14,$D214&lt;=前提条件!$I$14),OR($D214&gt;=前提条件!$H$14,$D214&lt;=前提条件!$I$14)),1,0)</f>
        <v>0</v>
      </c>
      <c r="O214" s="14" t="n">
        <f aca="false">IF(IF(前提条件!$H$15&lt;=前提条件!$I$15,AND($D214&gt;=前提条件!$H$15,$D214&lt;=前提条件!$I$15),OR($D214&gt;=前提条件!$H$15,$D214&lt;=前提条件!$I$15)),1,0)</f>
        <v>0</v>
      </c>
    </row>
    <row r="215" customFormat="false" ht="15" hidden="false" customHeight="false" outlineLevel="0" collapsed="false">
      <c r="A215" s="48" t="n">
        <v>7</v>
      </c>
      <c r="B215" s="48" t="n">
        <v>31</v>
      </c>
      <c r="C215" s="48" t="str">
        <f aca="false">A215&amp;"/"&amp;B215</f>
        <v>7/31</v>
      </c>
      <c r="D215" s="48" t="n">
        <f aca="false">A215*100+B215</f>
        <v>731</v>
      </c>
      <c r="E215" s="45" t="n">
        <f aca="false">IF(SUM(J215:K215)&gt;0,前提条件!$B$6,前提条件!$B$8)</f>
        <v>6</v>
      </c>
      <c r="F215" s="48" t="str">
        <f aca="false">IFERROR(INDEX(前提条件!$B$12:$B$15,MATCH(1,L215:O215,0)),"未設定")</f>
        <v>遅延形</v>
      </c>
      <c r="G215" s="48" t="str">
        <f aca="false">IFERROR(INDEX(前提条件!$C$12:$C$15,MATCH(1,L215:O215,0)),"未設定")</f>
        <v>夏期</v>
      </c>
      <c r="H215" s="44" t="str">
        <f aca="false">"S値+"&amp;E215&amp;"／"&amp;F215&amp;"（"&amp;G215&amp;"）"</f>
        <v>S値+6／遅延形（夏期）</v>
      </c>
      <c r="J215" s="14" t="n">
        <f aca="false">IF(IF(前提条件!$G$6&lt;=前提条件!$H$6,AND($D215&gt;=前提条件!$G$6,$D215&lt;=前提条件!$H$6),OR($D215&gt;=前提条件!$G$6,$D215&lt;=前提条件!$H$6)),1,0)</f>
        <v>1</v>
      </c>
      <c r="K215" s="14" t="n">
        <f aca="false">IF(IF(前提条件!$G$7&lt;=前提条件!$H$7,AND($D215&gt;=前提条件!$G$7,$D215&lt;=前提条件!$H$7),OR($D215&gt;=前提条件!$G$7,$D215&lt;=前提条件!$H$7)),1,0)</f>
        <v>0</v>
      </c>
      <c r="L215" s="14" t="n">
        <f aca="false">IF(IF(前提条件!$H$12&lt;=前提条件!$I$12,AND($D215&gt;=前提条件!$H$12,$D215&lt;=前提条件!$I$12),OR($D215&gt;=前提条件!$H$12,$D215&lt;=前提条件!$I$12)),1,0)</f>
        <v>0</v>
      </c>
      <c r="M215" s="14" t="n">
        <f aca="false">IF(IF(前提条件!$H$13&lt;=前提条件!$I$13,AND($D215&gt;=前提条件!$H$13,$D215&lt;=前提条件!$I$13),OR($D215&gt;=前提条件!$H$13,$D215&lt;=前提条件!$I$13)),1,0)</f>
        <v>1</v>
      </c>
      <c r="N215" s="14" t="n">
        <f aca="false">IF(IF(前提条件!$H$14&lt;=前提条件!$I$14,AND($D215&gt;=前提条件!$H$14,$D215&lt;=前提条件!$I$14),OR($D215&gt;=前提条件!$H$14,$D215&lt;=前提条件!$I$14)),1,0)</f>
        <v>0</v>
      </c>
      <c r="O215" s="14" t="n">
        <f aca="false">IF(IF(前提条件!$H$15&lt;=前提条件!$I$15,AND($D215&gt;=前提条件!$H$15,$D215&lt;=前提条件!$I$15),OR($D215&gt;=前提条件!$H$15,$D215&lt;=前提条件!$I$15)),1,0)</f>
        <v>0</v>
      </c>
    </row>
    <row r="216" customFormat="false" ht="15" hidden="false" customHeight="false" outlineLevel="0" collapsed="false">
      <c r="A216" s="48" t="n">
        <v>8</v>
      </c>
      <c r="B216" s="48" t="n">
        <v>1</v>
      </c>
      <c r="C216" s="48" t="str">
        <f aca="false">A216&amp;"/"&amp;B216</f>
        <v>8/1</v>
      </c>
      <c r="D216" s="48" t="n">
        <f aca="false">A216*100+B216</f>
        <v>801</v>
      </c>
      <c r="E216" s="45" t="n">
        <f aca="false">IF(SUM(J216:K216)&gt;0,前提条件!$B$6,前提条件!$B$8)</f>
        <v>6</v>
      </c>
      <c r="F216" s="48" t="str">
        <f aca="false">IFERROR(INDEX(前提条件!$B$12:$B$15,MATCH(1,L216:O216,0)),"未設定")</f>
        <v>遅延形</v>
      </c>
      <c r="G216" s="48" t="str">
        <f aca="false">IFERROR(INDEX(前提条件!$C$12:$C$15,MATCH(1,L216:O216,0)),"未設定")</f>
        <v>夏期</v>
      </c>
      <c r="H216" s="44" t="str">
        <f aca="false">"S値+"&amp;E216&amp;"／"&amp;F216&amp;"（"&amp;G216&amp;"）"</f>
        <v>S値+6／遅延形（夏期）</v>
      </c>
      <c r="J216" s="14" t="n">
        <f aca="false">IF(IF(前提条件!$G$6&lt;=前提条件!$H$6,AND($D216&gt;=前提条件!$G$6,$D216&lt;=前提条件!$H$6),OR($D216&gt;=前提条件!$G$6,$D216&lt;=前提条件!$H$6)),1,0)</f>
        <v>1</v>
      </c>
      <c r="K216" s="14" t="n">
        <f aca="false">IF(IF(前提条件!$G$7&lt;=前提条件!$H$7,AND($D216&gt;=前提条件!$G$7,$D216&lt;=前提条件!$H$7),OR($D216&gt;=前提条件!$G$7,$D216&lt;=前提条件!$H$7)),1,0)</f>
        <v>0</v>
      </c>
      <c r="L216" s="14" t="n">
        <f aca="false">IF(IF(前提条件!$H$12&lt;=前提条件!$I$12,AND($D216&gt;=前提条件!$H$12,$D216&lt;=前提条件!$I$12),OR($D216&gt;=前提条件!$H$12,$D216&lt;=前提条件!$I$12)),1,0)</f>
        <v>0</v>
      </c>
      <c r="M216" s="14" t="n">
        <f aca="false">IF(IF(前提条件!$H$13&lt;=前提条件!$I$13,AND($D216&gt;=前提条件!$H$13,$D216&lt;=前提条件!$I$13),OR($D216&gt;=前提条件!$H$13,$D216&lt;=前提条件!$I$13)),1,0)</f>
        <v>1</v>
      </c>
      <c r="N216" s="14" t="n">
        <f aca="false">IF(IF(前提条件!$H$14&lt;=前提条件!$I$14,AND($D216&gt;=前提条件!$H$14,$D216&lt;=前提条件!$I$14),OR($D216&gt;=前提条件!$H$14,$D216&lt;=前提条件!$I$14)),1,0)</f>
        <v>0</v>
      </c>
      <c r="O216" s="14" t="n">
        <f aca="false">IF(IF(前提条件!$H$15&lt;=前提条件!$I$15,AND($D216&gt;=前提条件!$H$15,$D216&lt;=前提条件!$I$15),OR($D216&gt;=前提条件!$H$15,$D216&lt;=前提条件!$I$15)),1,0)</f>
        <v>0</v>
      </c>
    </row>
    <row r="217" customFormat="false" ht="15" hidden="false" customHeight="false" outlineLevel="0" collapsed="false">
      <c r="A217" s="48" t="n">
        <v>8</v>
      </c>
      <c r="B217" s="48" t="n">
        <v>2</v>
      </c>
      <c r="C217" s="48" t="str">
        <f aca="false">A217&amp;"/"&amp;B217</f>
        <v>8/2</v>
      </c>
      <c r="D217" s="48" t="n">
        <f aca="false">A217*100+B217</f>
        <v>802</v>
      </c>
      <c r="E217" s="45" t="n">
        <f aca="false">IF(SUM(J217:K217)&gt;0,前提条件!$B$6,前提条件!$B$8)</f>
        <v>6</v>
      </c>
      <c r="F217" s="48" t="str">
        <f aca="false">IFERROR(INDEX(前提条件!$B$12:$B$15,MATCH(1,L217:O217,0)),"未設定")</f>
        <v>遅延形</v>
      </c>
      <c r="G217" s="48" t="str">
        <f aca="false">IFERROR(INDEX(前提条件!$C$12:$C$15,MATCH(1,L217:O217,0)),"未設定")</f>
        <v>夏期</v>
      </c>
      <c r="H217" s="44" t="str">
        <f aca="false">"S値+"&amp;E217&amp;"／"&amp;F217&amp;"（"&amp;G217&amp;"）"</f>
        <v>S値+6／遅延形（夏期）</v>
      </c>
      <c r="J217" s="14" t="n">
        <f aca="false">IF(IF(前提条件!$G$6&lt;=前提条件!$H$6,AND($D217&gt;=前提条件!$G$6,$D217&lt;=前提条件!$H$6),OR($D217&gt;=前提条件!$G$6,$D217&lt;=前提条件!$H$6)),1,0)</f>
        <v>1</v>
      </c>
      <c r="K217" s="14" t="n">
        <f aca="false">IF(IF(前提条件!$G$7&lt;=前提条件!$H$7,AND($D217&gt;=前提条件!$G$7,$D217&lt;=前提条件!$H$7),OR($D217&gt;=前提条件!$G$7,$D217&lt;=前提条件!$H$7)),1,0)</f>
        <v>0</v>
      </c>
      <c r="L217" s="14" t="n">
        <f aca="false">IF(IF(前提条件!$H$12&lt;=前提条件!$I$12,AND($D217&gt;=前提条件!$H$12,$D217&lt;=前提条件!$I$12),OR($D217&gt;=前提条件!$H$12,$D217&lt;=前提条件!$I$12)),1,0)</f>
        <v>0</v>
      </c>
      <c r="M217" s="14" t="n">
        <f aca="false">IF(IF(前提条件!$H$13&lt;=前提条件!$I$13,AND($D217&gt;=前提条件!$H$13,$D217&lt;=前提条件!$I$13),OR($D217&gt;=前提条件!$H$13,$D217&lt;=前提条件!$I$13)),1,0)</f>
        <v>1</v>
      </c>
      <c r="N217" s="14" t="n">
        <f aca="false">IF(IF(前提条件!$H$14&lt;=前提条件!$I$14,AND($D217&gt;=前提条件!$H$14,$D217&lt;=前提条件!$I$14),OR($D217&gt;=前提条件!$H$14,$D217&lt;=前提条件!$I$14)),1,0)</f>
        <v>0</v>
      </c>
      <c r="O217" s="14" t="n">
        <f aca="false">IF(IF(前提条件!$H$15&lt;=前提条件!$I$15,AND($D217&gt;=前提条件!$H$15,$D217&lt;=前提条件!$I$15),OR($D217&gt;=前提条件!$H$15,$D217&lt;=前提条件!$I$15)),1,0)</f>
        <v>0</v>
      </c>
    </row>
    <row r="218" customFormat="false" ht="15" hidden="false" customHeight="false" outlineLevel="0" collapsed="false">
      <c r="A218" s="48" t="n">
        <v>8</v>
      </c>
      <c r="B218" s="48" t="n">
        <v>3</v>
      </c>
      <c r="C218" s="48" t="str">
        <f aca="false">A218&amp;"/"&amp;B218</f>
        <v>8/3</v>
      </c>
      <c r="D218" s="48" t="n">
        <f aca="false">A218*100+B218</f>
        <v>803</v>
      </c>
      <c r="E218" s="45" t="n">
        <f aca="false">IF(SUM(J218:K218)&gt;0,前提条件!$B$6,前提条件!$B$8)</f>
        <v>6</v>
      </c>
      <c r="F218" s="48" t="str">
        <f aca="false">IFERROR(INDEX(前提条件!$B$12:$B$15,MATCH(1,L218:O218,0)),"未設定")</f>
        <v>遅延形</v>
      </c>
      <c r="G218" s="48" t="str">
        <f aca="false">IFERROR(INDEX(前提条件!$C$12:$C$15,MATCH(1,L218:O218,0)),"未設定")</f>
        <v>夏期</v>
      </c>
      <c r="H218" s="44" t="str">
        <f aca="false">"S値+"&amp;E218&amp;"／"&amp;F218&amp;"（"&amp;G218&amp;"）"</f>
        <v>S値+6／遅延形（夏期）</v>
      </c>
      <c r="J218" s="14" t="n">
        <f aca="false">IF(IF(前提条件!$G$6&lt;=前提条件!$H$6,AND($D218&gt;=前提条件!$G$6,$D218&lt;=前提条件!$H$6),OR($D218&gt;=前提条件!$G$6,$D218&lt;=前提条件!$H$6)),1,0)</f>
        <v>1</v>
      </c>
      <c r="K218" s="14" t="n">
        <f aca="false">IF(IF(前提条件!$G$7&lt;=前提条件!$H$7,AND($D218&gt;=前提条件!$G$7,$D218&lt;=前提条件!$H$7),OR($D218&gt;=前提条件!$G$7,$D218&lt;=前提条件!$H$7)),1,0)</f>
        <v>0</v>
      </c>
      <c r="L218" s="14" t="n">
        <f aca="false">IF(IF(前提条件!$H$12&lt;=前提条件!$I$12,AND($D218&gt;=前提条件!$H$12,$D218&lt;=前提条件!$I$12),OR($D218&gt;=前提条件!$H$12,$D218&lt;=前提条件!$I$12)),1,0)</f>
        <v>0</v>
      </c>
      <c r="M218" s="14" t="n">
        <f aca="false">IF(IF(前提条件!$H$13&lt;=前提条件!$I$13,AND($D218&gt;=前提条件!$H$13,$D218&lt;=前提条件!$I$13),OR($D218&gt;=前提条件!$H$13,$D218&lt;=前提条件!$I$13)),1,0)</f>
        <v>1</v>
      </c>
      <c r="N218" s="14" t="n">
        <f aca="false">IF(IF(前提条件!$H$14&lt;=前提条件!$I$14,AND($D218&gt;=前提条件!$H$14,$D218&lt;=前提条件!$I$14),OR($D218&gt;=前提条件!$H$14,$D218&lt;=前提条件!$I$14)),1,0)</f>
        <v>0</v>
      </c>
      <c r="O218" s="14" t="n">
        <f aca="false">IF(IF(前提条件!$H$15&lt;=前提条件!$I$15,AND($D218&gt;=前提条件!$H$15,$D218&lt;=前提条件!$I$15),OR($D218&gt;=前提条件!$H$15,$D218&lt;=前提条件!$I$15)),1,0)</f>
        <v>0</v>
      </c>
    </row>
    <row r="219" customFormat="false" ht="15" hidden="false" customHeight="false" outlineLevel="0" collapsed="false">
      <c r="A219" s="48" t="n">
        <v>8</v>
      </c>
      <c r="B219" s="48" t="n">
        <v>4</v>
      </c>
      <c r="C219" s="48" t="str">
        <f aca="false">A219&amp;"/"&amp;B219</f>
        <v>8/4</v>
      </c>
      <c r="D219" s="48" t="n">
        <f aca="false">A219*100+B219</f>
        <v>804</v>
      </c>
      <c r="E219" s="45" t="n">
        <f aca="false">IF(SUM(J219:K219)&gt;0,前提条件!$B$6,前提条件!$B$8)</f>
        <v>6</v>
      </c>
      <c r="F219" s="48" t="str">
        <f aca="false">IFERROR(INDEX(前提条件!$B$12:$B$15,MATCH(1,L219:O219,0)),"未設定")</f>
        <v>遅延形</v>
      </c>
      <c r="G219" s="48" t="str">
        <f aca="false">IFERROR(INDEX(前提条件!$C$12:$C$15,MATCH(1,L219:O219,0)),"未設定")</f>
        <v>夏期</v>
      </c>
      <c r="H219" s="44" t="str">
        <f aca="false">"S値+"&amp;E219&amp;"／"&amp;F219&amp;"（"&amp;G219&amp;"）"</f>
        <v>S値+6／遅延形（夏期）</v>
      </c>
      <c r="J219" s="14" t="n">
        <f aca="false">IF(IF(前提条件!$G$6&lt;=前提条件!$H$6,AND($D219&gt;=前提条件!$G$6,$D219&lt;=前提条件!$H$6),OR($D219&gt;=前提条件!$G$6,$D219&lt;=前提条件!$H$6)),1,0)</f>
        <v>1</v>
      </c>
      <c r="K219" s="14" t="n">
        <f aca="false">IF(IF(前提条件!$G$7&lt;=前提条件!$H$7,AND($D219&gt;=前提条件!$G$7,$D219&lt;=前提条件!$H$7),OR($D219&gt;=前提条件!$G$7,$D219&lt;=前提条件!$H$7)),1,0)</f>
        <v>0</v>
      </c>
      <c r="L219" s="14" t="n">
        <f aca="false">IF(IF(前提条件!$H$12&lt;=前提条件!$I$12,AND($D219&gt;=前提条件!$H$12,$D219&lt;=前提条件!$I$12),OR($D219&gt;=前提条件!$H$12,$D219&lt;=前提条件!$I$12)),1,0)</f>
        <v>0</v>
      </c>
      <c r="M219" s="14" t="n">
        <f aca="false">IF(IF(前提条件!$H$13&lt;=前提条件!$I$13,AND($D219&gt;=前提条件!$H$13,$D219&lt;=前提条件!$I$13),OR($D219&gt;=前提条件!$H$13,$D219&lt;=前提条件!$I$13)),1,0)</f>
        <v>1</v>
      </c>
      <c r="N219" s="14" t="n">
        <f aca="false">IF(IF(前提条件!$H$14&lt;=前提条件!$I$14,AND($D219&gt;=前提条件!$H$14,$D219&lt;=前提条件!$I$14),OR($D219&gt;=前提条件!$H$14,$D219&lt;=前提条件!$I$14)),1,0)</f>
        <v>0</v>
      </c>
      <c r="O219" s="14" t="n">
        <f aca="false">IF(IF(前提条件!$H$15&lt;=前提条件!$I$15,AND($D219&gt;=前提条件!$H$15,$D219&lt;=前提条件!$I$15),OR($D219&gt;=前提条件!$H$15,$D219&lt;=前提条件!$I$15)),1,0)</f>
        <v>0</v>
      </c>
    </row>
    <row r="220" customFormat="false" ht="15" hidden="false" customHeight="false" outlineLevel="0" collapsed="false">
      <c r="A220" s="48" t="n">
        <v>8</v>
      </c>
      <c r="B220" s="48" t="n">
        <v>5</v>
      </c>
      <c r="C220" s="48" t="str">
        <f aca="false">A220&amp;"/"&amp;B220</f>
        <v>8/5</v>
      </c>
      <c r="D220" s="48" t="n">
        <f aca="false">A220*100+B220</f>
        <v>805</v>
      </c>
      <c r="E220" s="45" t="n">
        <f aca="false">IF(SUM(J220:K220)&gt;0,前提条件!$B$6,前提条件!$B$8)</f>
        <v>6</v>
      </c>
      <c r="F220" s="48" t="str">
        <f aca="false">IFERROR(INDEX(前提条件!$B$12:$B$15,MATCH(1,L220:O220,0)),"未設定")</f>
        <v>遅延形</v>
      </c>
      <c r="G220" s="48" t="str">
        <f aca="false">IFERROR(INDEX(前提条件!$C$12:$C$15,MATCH(1,L220:O220,0)),"未設定")</f>
        <v>夏期</v>
      </c>
      <c r="H220" s="44" t="str">
        <f aca="false">"S値+"&amp;E220&amp;"／"&amp;F220&amp;"（"&amp;G220&amp;"）"</f>
        <v>S値+6／遅延形（夏期）</v>
      </c>
      <c r="J220" s="14" t="n">
        <f aca="false">IF(IF(前提条件!$G$6&lt;=前提条件!$H$6,AND($D220&gt;=前提条件!$G$6,$D220&lt;=前提条件!$H$6),OR($D220&gt;=前提条件!$G$6,$D220&lt;=前提条件!$H$6)),1,0)</f>
        <v>1</v>
      </c>
      <c r="K220" s="14" t="n">
        <f aca="false">IF(IF(前提条件!$G$7&lt;=前提条件!$H$7,AND($D220&gt;=前提条件!$G$7,$D220&lt;=前提条件!$H$7),OR($D220&gt;=前提条件!$G$7,$D220&lt;=前提条件!$H$7)),1,0)</f>
        <v>0</v>
      </c>
      <c r="L220" s="14" t="n">
        <f aca="false">IF(IF(前提条件!$H$12&lt;=前提条件!$I$12,AND($D220&gt;=前提条件!$H$12,$D220&lt;=前提条件!$I$12),OR($D220&gt;=前提条件!$H$12,$D220&lt;=前提条件!$I$12)),1,0)</f>
        <v>0</v>
      </c>
      <c r="M220" s="14" t="n">
        <f aca="false">IF(IF(前提条件!$H$13&lt;=前提条件!$I$13,AND($D220&gt;=前提条件!$H$13,$D220&lt;=前提条件!$I$13),OR($D220&gt;=前提条件!$H$13,$D220&lt;=前提条件!$I$13)),1,0)</f>
        <v>1</v>
      </c>
      <c r="N220" s="14" t="n">
        <f aca="false">IF(IF(前提条件!$H$14&lt;=前提条件!$I$14,AND($D220&gt;=前提条件!$H$14,$D220&lt;=前提条件!$I$14),OR($D220&gt;=前提条件!$H$14,$D220&lt;=前提条件!$I$14)),1,0)</f>
        <v>0</v>
      </c>
      <c r="O220" s="14" t="n">
        <f aca="false">IF(IF(前提条件!$H$15&lt;=前提条件!$I$15,AND($D220&gt;=前提条件!$H$15,$D220&lt;=前提条件!$I$15),OR($D220&gt;=前提条件!$H$15,$D220&lt;=前提条件!$I$15)),1,0)</f>
        <v>0</v>
      </c>
    </row>
    <row r="221" customFormat="false" ht="15" hidden="false" customHeight="false" outlineLevel="0" collapsed="false">
      <c r="A221" s="48" t="n">
        <v>8</v>
      </c>
      <c r="B221" s="48" t="n">
        <v>6</v>
      </c>
      <c r="C221" s="48" t="str">
        <f aca="false">A221&amp;"/"&amp;B221</f>
        <v>8/6</v>
      </c>
      <c r="D221" s="48" t="n">
        <f aca="false">A221*100+B221</f>
        <v>806</v>
      </c>
      <c r="E221" s="45" t="n">
        <f aca="false">IF(SUM(J221:K221)&gt;0,前提条件!$B$6,前提条件!$B$8)</f>
        <v>6</v>
      </c>
      <c r="F221" s="48" t="str">
        <f aca="false">IFERROR(INDEX(前提条件!$B$12:$B$15,MATCH(1,L221:O221,0)),"未設定")</f>
        <v>遅延形</v>
      </c>
      <c r="G221" s="48" t="str">
        <f aca="false">IFERROR(INDEX(前提条件!$C$12:$C$15,MATCH(1,L221:O221,0)),"未設定")</f>
        <v>夏期</v>
      </c>
      <c r="H221" s="44" t="str">
        <f aca="false">"S値+"&amp;E221&amp;"／"&amp;F221&amp;"（"&amp;G221&amp;"）"</f>
        <v>S値+6／遅延形（夏期）</v>
      </c>
      <c r="J221" s="14" t="n">
        <f aca="false">IF(IF(前提条件!$G$6&lt;=前提条件!$H$6,AND($D221&gt;=前提条件!$G$6,$D221&lt;=前提条件!$H$6),OR($D221&gt;=前提条件!$G$6,$D221&lt;=前提条件!$H$6)),1,0)</f>
        <v>1</v>
      </c>
      <c r="K221" s="14" t="n">
        <f aca="false">IF(IF(前提条件!$G$7&lt;=前提条件!$H$7,AND($D221&gt;=前提条件!$G$7,$D221&lt;=前提条件!$H$7),OR($D221&gt;=前提条件!$G$7,$D221&lt;=前提条件!$H$7)),1,0)</f>
        <v>0</v>
      </c>
      <c r="L221" s="14" t="n">
        <f aca="false">IF(IF(前提条件!$H$12&lt;=前提条件!$I$12,AND($D221&gt;=前提条件!$H$12,$D221&lt;=前提条件!$I$12),OR($D221&gt;=前提条件!$H$12,$D221&lt;=前提条件!$I$12)),1,0)</f>
        <v>0</v>
      </c>
      <c r="M221" s="14" t="n">
        <f aca="false">IF(IF(前提条件!$H$13&lt;=前提条件!$I$13,AND($D221&gt;=前提条件!$H$13,$D221&lt;=前提条件!$I$13),OR($D221&gt;=前提条件!$H$13,$D221&lt;=前提条件!$I$13)),1,0)</f>
        <v>1</v>
      </c>
      <c r="N221" s="14" t="n">
        <f aca="false">IF(IF(前提条件!$H$14&lt;=前提条件!$I$14,AND($D221&gt;=前提条件!$H$14,$D221&lt;=前提条件!$I$14),OR($D221&gt;=前提条件!$H$14,$D221&lt;=前提条件!$I$14)),1,0)</f>
        <v>0</v>
      </c>
      <c r="O221" s="14" t="n">
        <f aca="false">IF(IF(前提条件!$H$15&lt;=前提条件!$I$15,AND($D221&gt;=前提条件!$H$15,$D221&lt;=前提条件!$I$15),OR($D221&gt;=前提条件!$H$15,$D221&lt;=前提条件!$I$15)),1,0)</f>
        <v>0</v>
      </c>
    </row>
    <row r="222" customFormat="false" ht="15" hidden="false" customHeight="false" outlineLevel="0" collapsed="false">
      <c r="A222" s="48" t="n">
        <v>8</v>
      </c>
      <c r="B222" s="48" t="n">
        <v>7</v>
      </c>
      <c r="C222" s="48" t="str">
        <f aca="false">A222&amp;"/"&amp;B222</f>
        <v>8/7</v>
      </c>
      <c r="D222" s="48" t="n">
        <f aca="false">A222*100+B222</f>
        <v>807</v>
      </c>
      <c r="E222" s="45" t="n">
        <f aca="false">IF(SUM(J222:K222)&gt;0,前提条件!$B$6,前提条件!$B$8)</f>
        <v>6</v>
      </c>
      <c r="F222" s="48" t="str">
        <f aca="false">IFERROR(INDEX(前提条件!$B$12:$B$15,MATCH(1,L222:O222,0)),"未設定")</f>
        <v>遅延形</v>
      </c>
      <c r="G222" s="48" t="str">
        <f aca="false">IFERROR(INDEX(前提条件!$C$12:$C$15,MATCH(1,L222:O222,0)),"未設定")</f>
        <v>夏期</v>
      </c>
      <c r="H222" s="44" t="str">
        <f aca="false">"S値+"&amp;E222&amp;"／"&amp;F222&amp;"（"&amp;G222&amp;"）"</f>
        <v>S値+6／遅延形（夏期）</v>
      </c>
      <c r="J222" s="14" t="n">
        <f aca="false">IF(IF(前提条件!$G$6&lt;=前提条件!$H$6,AND($D222&gt;=前提条件!$G$6,$D222&lt;=前提条件!$H$6),OR($D222&gt;=前提条件!$G$6,$D222&lt;=前提条件!$H$6)),1,0)</f>
        <v>1</v>
      </c>
      <c r="K222" s="14" t="n">
        <f aca="false">IF(IF(前提条件!$G$7&lt;=前提条件!$H$7,AND($D222&gt;=前提条件!$G$7,$D222&lt;=前提条件!$H$7),OR($D222&gt;=前提条件!$G$7,$D222&lt;=前提条件!$H$7)),1,0)</f>
        <v>0</v>
      </c>
      <c r="L222" s="14" t="n">
        <f aca="false">IF(IF(前提条件!$H$12&lt;=前提条件!$I$12,AND($D222&gt;=前提条件!$H$12,$D222&lt;=前提条件!$I$12),OR($D222&gt;=前提条件!$H$12,$D222&lt;=前提条件!$I$12)),1,0)</f>
        <v>0</v>
      </c>
      <c r="M222" s="14" t="n">
        <f aca="false">IF(IF(前提条件!$H$13&lt;=前提条件!$I$13,AND($D222&gt;=前提条件!$H$13,$D222&lt;=前提条件!$I$13),OR($D222&gt;=前提条件!$H$13,$D222&lt;=前提条件!$I$13)),1,0)</f>
        <v>1</v>
      </c>
      <c r="N222" s="14" t="n">
        <f aca="false">IF(IF(前提条件!$H$14&lt;=前提条件!$I$14,AND($D222&gt;=前提条件!$H$14,$D222&lt;=前提条件!$I$14),OR($D222&gt;=前提条件!$H$14,$D222&lt;=前提条件!$I$14)),1,0)</f>
        <v>0</v>
      </c>
      <c r="O222" s="14" t="n">
        <f aca="false">IF(IF(前提条件!$H$15&lt;=前提条件!$I$15,AND($D222&gt;=前提条件!$H$15,$D222&lt;=前提条件!$I$15),OR($D222&gt;=前提条件!$H$15,$D222&lt;=前提条件!$I$15)),1,0)</f>
        <v>0</v>
      </c>
    </row>
    <row r="223" customFormat="false" ht="15" hidden="false" customHeight="false" outlineLevel="0" collapsed="false">
      <c r="A223" s="48" t="n">
        <v>8</v>
      </c>
      <c r="B223" s="48" t="n">
        <v>8</v>
      </c>
      <c r="C223" s="48" t="str">
        <f aca="false">A223&amp;"/"&amp;B223</f>
        <v>8/8</v>
      </c>
      <c r="D223" s="48" t="n">
        <f aca="false">A223*100+B223</f>
        <v>808</v>
      </c>
      <c r="E223" s="45" t="n">
        <f aca="false">IF(SUM(J223:K223)&gt;0,前提条件!$B$6,前提条件!$B$8)</f>
        <v>6</v>
      </c>
      <c r="F223" s="48" t="str">
        <f aca="false">IFERROR(INDEX(前提条件!$B$12:$B$15,MATCH(1,L223:O223,0)),"未設定")</f>
        <v>遅延形</v>
      </c>
      <c r="G223" s="48" t="str">
        <f aca="false">IFERROR(INDEX(前提条件!$C$12:$C$15,MATCH(1,L223:O223,0)),"未設定")</f>
        <v>夏期</v>
      </c>
      <c r="H223" s="44" t="str">
        <f aca="false">"S値+"&amp;E223&amp;"／"&amp;F223&amp;"（"&amp;G223&amp;"）"</f>
        <v>S値+6／遅延形（夏期）</v>
      </c>
      <c r="J223" s="14" t="n">
        <f aca="false">IF(IF(前提条件!$G$6&lt;=前提条件!$H$6,AND($D223&gt;=前提条件!$G$6,$D223&lt;=前提条件!$H$6),OR($D223&gt;=前提条件!$G$6,$D223&lt;=前提条件!$H$6)),1,0)</f>
        <v>1</v>
      </c>
      <c r="K223" s="14" t="n">
        <f aca="false">IF(IF(前提条件!$G$7&lt;=前提条件!$H$7,AND($D223&gt;=前提条件!$G$7,$D223&lt;=前提条件!$H$7),OR($D223&gt;=前提条件!$G$7,$D223&lt;=前提条件!$H$7)),1,0)</f>
        <v>0</v>
      </c>
      <c r="L223" s="14" t="n">
        <f aca="false">IF(IF(前提条件!$H$12&lt;=前提条件!$I$12,AND($D223&gt;=前提条件!$H$12,$D223&lt;=前提条件!$I$12),OR($D223&gt;=前提条件!$H$12,$D223&lt;=前提条件!$I$12)),1,0)</f>
        <v>0</v>
      </c>
      <c r="M223" s="14" t="n">
        <f aca="false">IF(IF(前提条件!$H$13&lt;=前提条件!$I$13,AND($D223&gt;=前提条件!$H$13,$D223&lt;=前提条件!$I$13),OR($D223&gt;=前提条件!$H$13,$D223&lt;=前提条件!$I$13)),1,0)</f>
        <v>1</v>
      </c>
      <c r="N223" s="14" t="n">
        <f aca="false">IF(IF(前提条件!$H$14&lt;=前提条件!$I$14,AND($D223&gt;=前提条件!$H$14,$D223&lt;=前提条件!$I$14),OR($D223&gt;=前提条件!$H$14,$D223&lt;=前提条件!$I$14)),1,0)</f>
        <v>0</v>
      </c>
      <c r="O223" s="14" t="n">
        <f aca="false">IF(IF(前提条件!$H$15&lt;=前提条件!$I$15,AND($D223&gt;=前提条件!$H$15,$D223&lt;=前提条件!$I$15),OR($D223&gt;=前提条件!$H$15,$D223&lt;=前提条件!$I$15)),1,0)</f>
        <v>0</v>
      </c>
    </row>
    <row r="224" customFormat="false" ht="15" hidden="false" customHeight="false" outlineLevel="0" collapsed="false">
      <c r="A224" s="48" t="n">
        <v>8</v>
      </c>
      <c r="B224" s="48" t="n">
        <v>9</v>
      </c>
      <c r="C224" s="48" t="str">
        <f aca="false">A224&amp;"/"&amp;B224</f>
        <v>8/9</v>
      </c>
      <c r="D224" s="48" t="n">
        <f aca="false">A224*100+B224</f>
        <v>809</v>
      </c>
      <c r="E224" s="45" t="n">
        <f aca="false">IF(SUM(J224:K224)&gt;0,前提条件!$B$6,前提条件!$B$8)</f>
        <v>6</v>
      </c>
      <c r="F224" s="48" t="str">
        <f aca="false">IFERROR(INDEX(前提条件!$B$12:$B$15,MATCH(1,L224:O224,0)),"未設定")</f>
        <v>遅延形</v>
      </c>
      <c r="G224" s="48" t="str">
        <f aca="false">IFERROR(INDEX(前提条件!$C$12:$C$15,MATCH(1,L224:O224,0)),"未設定")</f>
        <v>夏期</v>
      </c>
      <c r="H224" s="44" t="str">
        <f aca="false">"S値+"&amp;E224&amp;"／"&amp;F224&amp;"（"&amp;G224&amp;"）"</f>
        <v>S値+6／遅延形（夏期）</v>
      </c>
      <c r="J224" s="14" t="n">
        <f aca="false">IF(IF(前提条件!$G$6&lt;=前提条件!$H$6,AND($D224&gt;=前提条件!$G$6,$D224&lt;=前提条件!$H$6),OR($D224&gt;=前提条件!$G$6,$D224&lt;=前提条件!$H$6)),1,0)</f>
        <v>1</v>
      </c>
      <c r="K224" s="14" t="n">
        <f aca="false">IF(IF(前提条件!$G$7&lt;=前提条件!$H$7,AND($D224&gt;=前提条件!$G$7,$D224&lt;=前提条件!$H$7),OR($D224&gt;=前提条件!$G$7,$D224&lt;=前提条件!$H$7)),1,0)</f>
        <v>0</v>
      </c>
      <c r="L224" s="14" t="n">
        <f aca="false">IF(IF(前提条件!$H$12&lt;=前提条件!$I$12,AND($D224&gt;=前提条件!$H$12,$D224&lt;=前提条件!$I$12),OR($D224&gt;=前提条件!$H$12,$D224&lt;=前提条件!$I$12)),1,0)</f>
        <v>0</v>
      </c>
      <c r="M224" s="14" t="n">
        <f aca="false">IF(IF(前提条件!$H$13&lt;=前提条件!$I$13,AND($D224&gt;=前提条件!$H$13,$D224&lt;=前提条件!$I$13),OR($D224&gt;=前提条件!$H$13,$D224&lt;=前提条件!$I$13)),1,0)</f>
        <v>1</v>
      </c>
      <c r="N224" s="14" t="n">
        <f aca="false">IF(IF(前提条件!$H$14&lt;=前提条件!$I$14,AND($D224&gt;=前提条件!$H$14,$D224&lt;=前提条件!$I$14),OR($D224&gt;=前提条件!$H$14,$D224&lt;=前提条件!$I$14)),1,0)</f>
        <v>0</v>
      </c>
      <c r="O224" s="14" t="n">
        <f aca="false">IF(IF(前提条件!$H$15&lt;=前提条件!$I$15,AND($D224&gt;=前提条件!$H$15,$D224&lt;=前提条件!$I$15),OR($D224&gt;=前提条件!$H$15,$D224&lt;=前提条件!$I$15)),1,0)</f>
        <v>0</v>
      </c>
    </row>
    <row r="225" customFormat="false" ht="15" hidden="false" customHeight="false" outlineLevel="0" collapsed="false">
      <c r="A225" s="48" t="n">
        <v>8</v>
      </c>
      <c r="B225" s="48" t="n">
        <v>10</v>
      </c>
      <c r="C225" s="48" t="str">
        <f aca="false">A225&amp;"/"&amp;B225</f>
        <v>8/10</v>
      </c>
      <c r="D225" s="48" t="n">
        <f aca="false">A225*100+B225</f>
        <v>810</v>
      </c>
      <c r="E225" s="45" t="n">
        <f aca="false">IF(SUM(J225:K225)&gt;0,前提条件!$B$6,前提条件!$B$8)</f>
        <v>6</v>
      </c>
      <c r="F225" s="48" t="str">
        <f aca="false">IFERROR(INDEX(前提条件!$B$12:$B$15,MATCH(1,L225:O225,0)),"未設定")</f>
        <v>遅延形</v>
      </c>
      <c r="G225" s="48" t="str">
        <f aca="false">IFERROR(INDEX(前提条件!$C$12:$C$15,MATCH(1,L225:O225,0)),"未設定")</f>
        <v>夏期</v>
      </c>
      <c r="H225" s="44" t="str">
        <f aca="false">"S値+"&amp;E225&amp;"／"&amp;F225&amp;"（"&amp;G225&amp;"）"</f>
        <v>S値+6／遅延形（夏期）</v>
      </c>
      <c r="J225" s="14" t="n">
        <f aca="false">IF(IF(前提条件!$G$6&lt;=前提条件!$H$6,AND($D225&gt;=前提条件!$G$6,$D225&lt;=前提条件!$H$6),OR($D225&gt;=前提条件!$G$6,$D225&lt;=前提条件!$H$6)),1,0)</f>
        <v>1</v>
      </c>
      <c r="K225" s="14" t="n">
        <f aca="false">IF(IF(前提条件!$G$7&lt;=前提条件!$H$7,AND($D225&gt;=前提条件!$G$7,$D225&lt;=前提条件!$H$7),OR($D225&gt;=前提条件!$G$7,$D225&lt;=前提条件!$H$7)),1,0)</f>
        <v>0</v>
      </c>
      <c r="L225" s="14" t="n">
        <f aca="false">IF(IF(前提条件!$H$12&lt;=前提条件!$I$12,AND($D225&gt;=前提条件!$H$12,$D225&lt;=前提条件!$I$12),OR($D225&gt;=前提条件!$H$12,$D225&lt;=前提条件!$I$12)),1,0)</f>
        <v>0</v>
      </c>
      <c r="M225" s="14" t="n">
        <f aca="false">IF(IF(前提条件!$H$13&lt;=前提条件!$I$13,AND($D225&gt;=前提条件!$H$13,$D225&lt;=前提条件!$I$13),OR($D225&gt;=前提条件!$H$13,$D225&lt;=前提条件!$I$13)),1,0)</f>
        <v>1</v>
      </c>
      <c r="N225" s="14" t="n">
        <f aca="false">IF(IF(前提条件!$H$14&lt;=前提条件!$I$14,AND($D225&gt;=前提条件!$H$14,$D225&lt;=前提条件!$I$14),OR($D225&gt;=前提条件!$H$14,$D225&lt;=前提条件!$I$14)),1,0)</f>
        <v>0</v>
      </c>
      <c r="O225" s="14" t="n">
        <f aca="false">IF(IF(前提条件!$H$15&lt;=前提条件!$I$15,AND($D225&gt;=前提条件!$H$15,$D225&lt;=前提条件!$I$15),OR($D225&gt;=前提条件!$H$15,$D225&lt;=前提条件!$I$15)),1,0)</f>
        <v>0</v>
      </c>
    </row>
    <row r="226" customFormat="false" ht="15" hidden="false" customHeight="false" outlineLevel="0" collapsed="false">
      <c r="A226" s="48" t="n">
        <v>8</v>
      </c>
      <c r="B226" s="48" t="n">
        <v>11</v>
      </c>
      <c r="C226" s="48" t="str">
        <f aca="false">A226&amp;"/"&amp;B226</f>
        <v>8/11</v>
      </c>
      <c r="D226" s="48" t="n">
        <f aca="false">A226*100+B226</f>
        <v>811</v>
      </c>
      <c r="E226" s="45" t="n">
        <f aca="false">IF(SUM(J226:K226)&gt;0,前提条件!$B$6,前提条件!$B$8)</f>
        <v>6</v>
      </c>
      <c r="F226" s="48" t="str">
        <f aca="false">IFERROR(INDEX(前提条件!$B$12:$B$15,MATCH(1,L226:O226,0)),"未設定")</f>
        <v>遅延形</v>
      </c>
      <c r="G226" s="48" t="str">
        <f aca="false">IFERROR(INDEX(前提条件!$C$12:$C$15,MATCH(1,L226:O226,0)),"未設定")</f>
        <v>夏期</v>
      </c>
      <c r="H226" s="44" t="str">
        <f aca="false">"S値+"&amp;E226&amp;"／"&amp;F226&amp;"（"&amp;G226&amp;"）"</f>
        <v>S値+6／遅延形（夏期）</v>
      </c>
      <c r="J226" s="14" t="n">
        <f aca="false">IF(IF(前提条件!$G$6&lt;=前提条件!$H$6,AND($D226&gt;=前提条件!$G$6,$D226&lt;=前提条件!$H$6),OR($D226&gt;=前提条件!$G$6,$D226&lt;=前提条件!$H$6)),1,0)</f>
        <v>1</v>
      </c>
      <c r="K226" s="14" t="n">
        <f aca="false">IF(IF(前提条件!$G$7&lt;=前提条件!$H$7,AND($D226&gt;=前提条件!$G$7,$D226&lt;=前提条件!$H$7),OR($D226&gt;=前提条件!$G$7,$D226&lt;=前提条件!$H$7)),1,0)</f>
        <v>0</v>
      </c>
      <c r="L226" s="14" t="n">
        <f aca="false">IF(IF(前提条件!$H$12&lt;=前提条件!$I$12,AND($D226&gt;=前提条件!$H$12,$D226&lt;=前提条件!$I$12),OR($D226&gt;=前提条件!$H$12,$D226&lt;=前提条件!$I$12)),1,0)</f>
        <v>0</v>
      </c>
      <c r="M226" s="14" t="n">
        <f aca="false">IF(IF(前提条件!$H$13&lt;=前提条件!$I$13,AND($D226&gt;=前提条件!$H$13,$D226&lt;=前提条件!$I$13),OR($D226&gt;=前提条件!$H$13,$D226&lt;=前提条件!$I$13)),1,0)</f>
        <v>1</v>
      </c>
      <c r="N226" s="14" t="n">
        <f aca="false">IF(IF(前提条件!$H$14&lt;=前提条件!$I$14,AND($D226&gt;=前提条件!$H$14,$D226&lt;=前提条件!$I$14),OR($D226&gt;=前提条件!$H$14,$D226&lt;=前提条件!$I$14)),1,0)</f>
        <v>0</v>
      </c>
      <c r="O226" s="14" t="n">
        <f aca="false">IF(IF(前提条件!$H$15&lt;=前提条件!$I$15,AND($D226&gt;=前提条件!$H$15,$D226&lt;=前提条件!$I$15),OR($D226&gt;=前提条件!$H$15,$D226&lt;=前提条件!$I$15)),1,0)</f>
        <v>0</v>
      </c>
    </row>
    <row r="227" customFormat="false" ht="15" hidden="false" customHeight="false" outlineLevel="0" collapsed="false">
      <c r="A227" s="48" t="n">
        <v>8</v>
      </c>
      <c r="B227" s="48" t="n">
        <v>12</v>
      </c>
      <c r="C227" s="48" t="str">
        <f aca="false">A227&amp;"/"&amp;B227</f>
        <v>8/12</v>
      </c>
      <c r="D227" s="48" t="n">
        <f aca="false">A227*100+B227</f>
        <v>812</v>
      </c>
      <c r="E227" s="45" t="n">
        <f aca="false">IF(SUM(J227:K227)&gt;0,前提条件!$B$6,前提条件!$B$8)</f>
        <v>6</v>
      </c>
      <c r="F227" s="48" t="str">
        <f aca="false">IFERROR(INDEX(前提条件!$B$12:$B$15,MATCH(1,L227:O227,0)),"未設定")</f>
        <v>遅延形</v>
      </c>
      <c r="G227" s="48" t="str">
        <f aca="false">IFERROR(INDEX(前提条件!$C$12:$C$15,MATCH(1,L227:O227,0)),"未設定")</f>
        <v>夏期</v>
      </c>
      <c r="H227" s="44" t="str">
        <f aca="false">"S値+"&amp;E227&amp;"／"&amp;F227&amp;"（"&amp;G227&amp;"）"</f>
        <v>S値+6／遅延形（夏期）</v>
      </c>
      <c r="J227" s="14" t="n">
        <f aca="false">IF(IF(前提条件!$G$6&lt;=前提条件!$H$6,AND($D227&gt;=前提条件!$G$6,$D227&lt;=前提条件!$H$6),OR($D227&gt;=前提条件!$G$6,$D227&lt;=前提条件!$H$6)),1,0)</f>
        <v>1</v>
      </c>
      <c r="K227" s="14" t="n">
        <f aca="false">IF(IF(前提条件!$G$7&lt;=前提条件!$H$7,AND($D227&gt;=前提条件!$G$7,$D227&lt;=前提条件!$H$7),OR($D227&gt;=前提条件!$G$7,$D227&lt;=前提条件!$H$7)),1,0)</f>
        <v>0</v>
      </c>
      <c r="L227" s="14" t="n">
        <f aca="false">IF(IF(前提条件!$H$12&lt;=前提条件!$I$12,AND($D227&gt;=前提条件!$H$12,$D227&lt;=前提条件!$I$12),OR($D227&gt;=前提条件!$H$12,$D227&lt;=前提条件!$I$12)),1,0)</f>
        <v>0</v>
      </c>
      <c r="M227" s="14" t="n">
        <f aca="false">IF(IF(前提条件!$H$13&lt;=前提条件!$I$13,AND($D227&gt;=前提条件!$H$13,$D227&lt;=前提条件!$I$13),OR($D227&gt;=前提条件!$H$13,$D227&lt;=前提条件!$I$13)),1,0)</f>
        <v>1</v>
      </c>
      <c r="N227" s="14" t="n">
        <f aca="false">IF(IF(前提条件!$H$14&lt;=前提条件!$I$14,AND($D227&gt;=前提条件!$H$14,$D227&lt;=前提条件!$I$14),OR($D227&gt;=前提条件!$H$14,$D227&lt;=前提条件!$I$14)),1,0)</f>
        <v>0</v>
      </c>
      <c r="O227" s="14" t="n">
        <f aca="false">IF(IF(前提条件!$H$15&lt;=前提条件!$I$15,AND($D227&gt;=前提条件!$H$15,$D227&lt;=前提条件!$I$15),OR($D227&gt;=前提条件!$H$15,$D227&lt;=前提条件!$I$15)),1,0)</f>
        <v>0</v>
      </c>
    </row>
    <row r="228" customFormat="false" ht="15" hidden="false" customHeight="false" outlineLevel="0" collapsed="false">
      <c r="A228" s="48" t="n">
        <v>8</v>
      </c>
      <c r="B228" s="48" t="n">
        <v>13</v>
      </c>
      <c r="C228" s="48" t="str">
        <f aca="false">A228&amp;"/"&amp;B228</f>
        <v>8/13</v>
      </c>
      <c r="D228" s="48" t="n">
        <f aca="false">A228*100+B228</f>
        <v>813</v>
      </c>
      <c r="E228" s="45" t="n">
        <f aca="false">IF(SUM(J228:K228)&gt;0,前提条件!$B$6,前提条件!$B$8)</f>
        <v>6</v>
      </c>
      <c r="F228" s="48" t="str">
        <f aca="false">IFERROR(INDEX(前提条件!$B$12:$B$15,MATCH(1,L228:O228,0)),"未設定")</f>
        <v>遅延形</v>
      </c>
      <c r="G228" s="48" t="str">
        <f aca="false">IFERROR(INDEX(前提条件!$C$12:$C$15,MATCH(1,L228:O228,0)),"未設定")</f>
        <v>夏期</v>
      </c>
      <c r="H228" s="44" t="str">
        <f aca="false">"S値+"&amp;E228&amp;"／"&amp;F228&amp;"（"&amp;G228&amp;"）"</f>
        <v>S値+6／遅延形（夏期）</v>
      </c>
      <c r="J228" s="14" t="n">
        <f aca="false">IF(IF(前提条件!$G$6&lt;=前提条件!$H$6,AND($D228&gt;=前提条件!$G$6,$D228&lt;=前提条件!$H$6),OR($D228&gt;=前提条件!$G$6,$D228&lt;=前提条件!$H$6)),1,0)</f>
        <v>1</v>
      </c>
      <c r="K228" s="14" t="n">
        <f aca="false">IF(IF(前提条件!$G$7&lt;=前提条件!$H$7,AND($D228&gt;=前提条件!$G$7,$D228&lt;=前提条件!$H$7),OR($D228&gt;=前提条件!$G$7,$D228&lt;=前提条件!$H$7)),1,0)</f>
        <v>0</v>
      </c>
      <c r="L228" s="14" t="n">
        <f aca="false">IF(IF(前提条件!$H$12&lt;=前提条件!$I$12,AND($D228&gt;=前提条件!$H$12,$D228&lt;=前提条件!$I$12),OR($D228&gt;=前提条件!$H$12,$D228&lt;=前提条件!$I$12)),1,0)</f>
        <v>0</v>
      </c>
      <c r="M228" s="14" t="n">
        <f aca="false">IF(IF(前提条件!$H$13&lt;=前提条件!$I$13,AND($D228&gt;=前提条件!$H$13,$D228&lt;=前提条件!$I$13),OR($D228&gt;=前提条件!$H$13,$D228&lt;=前提条件!$I$13)),1,0)</f>
        <v>1</v>
      </c>
      <c r="N228" s="14" t="n">
        <f aca="false">IF(IF(前提条件!$H$14&lt;=前提条件!$I$14,AND($D228&gt;=前提条件!$H$14,$D228&lt;=前提条件!$I$14),OR($D228&gt;=前提条件!$H$14,$D228&lt;=前提条件!$I$14)),1,0)</f>
        <v>0</v>
      </c>
      <c r="O228" s="14" t="n">
        <f aca="false">IF(IF(前提条件!$H$15&lt;=前提条件!$I$15,AND($D228&gt;=前提条件!$H$15,$D228&lt;=前提条件!$I$15),OR($D228&gt;=前提条件!$H$15,$D228&lt;=前提条件!$I$15)),1,0)</f>
        <v>0</v>
      </c>
    </row>
    <row r="229" customFormat="false" ht="15" hidden="false" customHeight="false" outlineLevel="0" collapsed="false">
      <c r="A229" s="48" t="n">
        <v>8</v>
      </c>
      <c r="B229" s="48" t="n">
        <v>14</v>
      </c>
      <c r="C229" s="48" t="str">
        <f aca="false">A229&amp;"/"&amp;B229</f>
        <v>8/14</v>
      </c>
      <c r="D229" s="48" t="n">
        <f aca="false">A229*100+B229</f>
        <v>814</v>
      </c>
      <c r="E229" s="45" t="n">
        <f aca="false">IF(SUM(J229:K229)&gt;0,前提条件!$B$6,前提条件!$B$8)</f>
        <v>6</v>
      </c>
      <c r="F229" s="48" t="str">
        <f aca="false">IFERROR(INDEX(前提条件!$B$12:$B$15,MATCH(1,L229:O229,0)),"未設定")</f>
        <v>遅延形</v>
      </c>
      <c r="G229" s="48" t="str">
        <f aca="false">IFERROR(INDEX(前提条件!$C$12:$C$15,MATCH(1,L229:O229,0)),"未設定")</f>
        <v>夏期</v>
      </c>
      <c r="H229" s="44" t="str">
        <f aca="false">"S値+"&amp;E229&amp;"／"&amp;F229&amp;"（"&amp;G229&amp;"）"</f>
        <v>S値+6／遅延形（夏期）</v>
      </c>
      <c r="J229" s="14" t="n">
        <f aca="false">IF(IF(前提条件!$G$6&lt;=前提条件!$H$6,AND($D229&gt;=前提条件!$G$6,$D229&lt;=前提条件!$H$6),OR($D229&gt;=前提条件!$G$6,$D229&lt;=前提条件!$H$6)),1,0)</f>
        <v>1</v>
      </c>
      <c r="K229" s="14" t="n">
        <f aca="false">IF(IF(前提条件!$G$7&lt;=前提条件!$H$7,AND($D229&gt;=前提条件!$G$7,$D229&lt;=前提条件!$H$7),OR($D229&gt;=前提条件!$G$7,$D229&lt;=前提条件!$H$7)),1,0)</f>
        <v>0</v>
      </c>
      <c r="L229" s="14" t="n">
        <f aca="false">IF(IF(前提条件!$H$12&lt;=前提条件!$I$12,AND($D229&gt;=前提条件!$H$12,$D229&lt;=前提条件!$I$12),OR($D229&gt;=前提条件!$H$12,$D229&lt;=前提条件!$I$12)),1,0)</f>
        <v>0</v>
      </c>
      <c r="M229" s="14" t="n">
        <f aca="false">IF(IF(前提条件!$H$13&lt;=前提条件!$I$13,AND($D229&gt;=前提条件!$H$13,$D229&lt;=前提条件!$I$13),OR($D229&gt;=前提条件!$H$13,$D229&lt;=前提条件!$I$13)),1,0)</f>
        <v>1</v>
      </c>
      <c r="N229" s="14" t="n">
        <f aca="false">IF(IF(前提条件!$H$14&lt;=前提条件!$I$14,AND($D229&gt;=前提条件!$H$14,$D229&lt;=前提条件!$I$14),OR($D229&gt;=前提条件!$H$14,$D229&lt;=前提条件!$I$14)),1,0)</f>
        <v>0</v>
      </c>
      <c r="O229" s="14" t="n">
        <f aca="false">IF(IF(前提条件!$H$15&lt;=前提条件!$I$15,AND($D229&gt;=前提条件!$H$15,$D229&lt;=前提条件!$I$15),OR($D229&gt;=前提条件!$H$15,$D229&lt;=前提条件!$I$15)),1,0)</f>
        <v>0</v>
      </c>
    </row>
    <row r="230" customFormat="false" ht="15" hidden="false" customHeight="false" outlineLevel="0" collapsed="false">
      <c r="A230" s="48" t="n">
        <v>8</v>
      </c>
      <c r="B230" s="48" t="n">
        <v>15</v>
      </c>
      <c r="C230" s="48" t="str">
        <f aca="false">A230&amp;"/"&amp;B230</f>
        <v>8/15</v>
      </c>
      <c r="D230" s="48" t="n">
        <f aca="false">A230*100+B230</f>
        <v>815</v>
      </c>
      <c r="E230" s="45" t="n">
        <f aca="false">IF(SUM(J230:K230)&gt;0,前提条件!$B$6,前提条件!$B$8)</f>
        <v>6</v>
      </c>
      <c r="F230" s="48" t="str">
        <f aca="false">IFERROR(INDEX(前提条件!$B$12:$B$15,MATCH(1,L230:O230,0)),"未設定")</f>
        <v>遅延形</v>
      </c>
      <c r="G230" s="48" t="str">
        <f aca="false">IFERROR(INDEX(前提条件!$C$12:$C$15,MATCH(1,L230:O230,0)),"未設定")</f>
        <v>夏期</v>
      </c>
      <c r="H230" s="44" t="str">
        <f aca="false">"S値+"&amp;E230&amp;"／"&amp;F230&amp;"（"&amp;G230&amp;"）"</f>
        <v>S値+6／遅延形（夏期）</v>
      </c>
      <c r="J230" s="14" t="n">
        <f aca="false">IF(IF(前提条件!$G$6&lt;=前提条件!$H$6,AND($D230&gt;=前提条件!$G$6,$D230&lt;=前提条件!$H$6),OR($D230&gt;=前提条件!$G$6,$D230&lt;=前提条件!$H$6)),1,0)</f>
        <v>1</v>
      </c>
      <c r="K230" s="14" t="n">
        <f aca="false">IF(IF(前提条件!$G$7&lt;=前提条件!$H$7,AND($D230&gt;=前提条件!$G$7,$D230&lt;=前提条件!$H$7),OR($D230&gt;=前提条件!$G$7,$D230&lt;=前提条件!$H$7)),1,0)</f>
        <v>0</v>
      </c>
      <c r="L230" s="14" t="n">
        <f aca="false">IF(IF(前提条件!$H$12&lt;=前提条件!$I$12,AND($D230&gt;=前提条件!$H$12,$D230&lt;=前提条件!$I$12),OR($D230&gt;=前提条件!$H$12,$D230&lt;=前提条件!$I$12)),1,0)</f>
        <v>0</v>
      </c>
      <c r="M230" s="14" t="n">
        <f aca="false">IF(IF(前提条件!$H$13&lt;=前提条件!$I$13,AND($D230&gt;=前提条件!$H$13,$D230&lt;=前提条件!$I$13),OR($D230&gt;=前提条件!$H$13,$D230&lt;=前提条件!$I$13)),1,0)</f>
        <v>1</v>
      </c>
      <c r="N230" s="14" t="n">
        <f aca="false">IF(IF(前提条件!$H$14&lt;=前提条件!$I$14,AND($D230&gt;=前提条件!$H$14,$D230&lt;=前提条件!$I$14),OR($D230&gt;=前提条件!$H$14,$D230&lt;=前提条件!$I$14)),1,0)</f>
        <v>0</v>
      </c>
      <c r="O230" s="14" t="n">
        <f aca="false">IF(IF(前提条件!$H$15&lt;=前提条件!$I$15,AND($D230&gt;=前提条件!$H$15,$D230&lt;=前提条件!$I$15),OR($D230&gt;=前提条件!$H$15,$D230&lt;=前提条件!$I$15)),1,0)</f>
        <v>0</v>
      </c>
    </row>
    <row r="231" customFormat="false" ht="15" hidden="false" customHeight="false" outlineLevel="0" collapsed="false">
      <c r="A231" s="48" t="n">
        <v>8</v>
      </c>
      <c r="B231" s="48" t="n">
        <v>16</v>
      </c>
      <c r="C231" s="48" t="str">
        <f aca="false">A231&amp;"/"&amp;B231</f>
        <v>8/16</v>
      </c>
      <c r="D231" s="48" t="n">
        <f aca="false">A231*100+B231</f>
        <v>816</v>
      </c>
      <c r="E231" s="45" t="n">
        <f aca="false">IF(SUM(J231:K231)&gt;0,前提条件!$B$6,前提条件!$B$8)</f>
        <v>6</v>
      </c>
      <c r="F231" s="48" t="str">
        <f aca="false">IFERROR(INDEX(前提条件!$B$12:$B$15,MATCH(1,L231:O231,0)),"未設定")</f>
        <v>遅延形</v>
      </c>
      <c r="G231" s="48" t="str">
        <f aca="false">IFERROR(INDEX(前提条件!$C$12:$C$15,MATCH(1,L231:O231,0)),"未設定")</f>
        <v>夏期</v>
      </c>
      <c r="H231" s="44" t="str">
        <f aca="false">"S値+"&amp;E231&amp;"／"&amp;F231&amp;"（"&amp;G231&amp;"）"</f>
        <v>S値+6／遅延形（夏期）</v>
      </c>
      <c r="J231" s="14" t="n">
        <f aca="false">IF(IF(前提条件!$G$6&lt;=前提条件!$H$6,AND($D231&gt;=前提条件!$G$6,$D231&lt;=前提条件!$H$6),OR($D231&gt;=前提条件!$G$6,$D231&lt;=前提条件!$H$6)),1,0)</f>
        <v>1</v>
      </c>
      <c r="K231" s="14" t="n">
        <f aca="false">IF(IF(前提条件!$G$7&lt;=前提条件!$H$7,AND($D231&gt;=前提条件!$G$7,$D231&lt;=前提条件!$H$7),OR($D231&gt;=前提条件!$G$7,$D231&lt;=前提条件!$H$7)),1,0)</f>
        <v>0</v>
      </c>
      <c r="L231" s="14" t="n">
        <f aca="false">IF(IF(前提条件!$H$12&lt;=前提条件!$I$12,AND($D231&gt;=前提条件!$H$12,$D231&lt;=前提条件!$I$12),OR($D231&gt;=前提条件!$H$12,$D231&lt;=前提条件!$I$12)),1,0)</f>
        <v>0</v>
      </c>
      <c r="M231" s="14" t="n">
        <f aca="false">IF(IF(前提条件!$H$13&lt;=前提条件!$I$13,AND($D231&gt;=前提条件!$H$13,$D231&lt;=前提条件!$I$13),OR($D231&gt;=前提条件!$H$13,$D231&lt;=前提条件!$I$13)),1,0)</f>
        <v>1</v>
      </c>
      <c r="N231" s="14" t="n">
        <f aca="false">IF(IF(前提条件!$H$14&lt;=前提条件!$I$14,AND($D231&gt;=前提条件!$H$14,$D231&lt;=前提条件!$I$14),OR($D231&gt;=前提条件!$H$14,$D231&lt;=前提条件!$I$14)),1,0)</f>
        <v>0</v>
      </c>
      <c r="O231" s="14" t="n">
        <f aca="false">IF(IF(前提条件!$H$15&lt;=前提条件!$I$15,AND($D231&gt;=前提条件!$H$15,$D231&lt;=前提条件!$I$15),OR($D231&gt;=前提条件!$H$15,$D231&lt;=前提条件!$I$15)),1,0)</f>
        <v>0</v>
      </c>
    </row>
    <row r="232" customFormat="false" ht="15" hidden="false" customHeight="false" outlineLevel="0" collapsed="false">
      <c r="A232" s="48" t="n">
        <v>8</v>
      </c>
      <c r="B232" s="48" t="n">
        <v>17</v>
      </c>
      <c r="C232" s="48" t="str">
        <f aca="false">A232&amp;"/"&amp;B232</f>
        <v>8/17</v>
      </c>
      <c r="D232" s="48" t="n">
        <f aca="false">A232*100+B232</f>
        <v>817</v>
      </c>
      <c r="E232" s="45" t="n">
        <f aca="false">IF(SUM(J232:K232)&gt;0,前提条件!$B$6,前提条件!$B$8)</f>
        <v>6</v>
      </c>
      <c r="F232" s="48" t="str">
        <f aca="false">IFERROR(INDEX(前提条件!$B$12:$B$15,MATCH(1,L232:O232,0)),"未設定")</f>
        <v>遅延形</v>
      </c>
      <c r="G232" s="48" t="str">
        <f aca="false">IFERROR(INDEX(前提条件!$C$12:$C$15,MATCH(1,L232:O232,0)),"未設定")</f>
        <v>夏期</v>
      </c>
      <c r="H232" s="44" t="str">
        <f aca="false">"S値+"&amp;E232&amp;"／"&amp;F232&amp;"（"&amp;G232&amp;"）"</f>
        <v>S値+6／遅延形（夏期）</v>
      </c>
      <c r="J232" s="14" t="n">
        <f aca="false">IF(IF(前提条件!$G$6&lt;=前提条件!$H$6,AND($D232&gt;=前提条件!$G$6,$D232&lt;=前提条件!$H$6),OR($D232&gt;=前提条件!$G$6,$D232&lt;=前提条件!$H$6)),1,0)</f>
        <v>1</v>
      </c>
      <c r="K232" s="14" t="n">
        <f aca="false">IF(IF(前提条件!$G$7&lt;=前提条件!$H$7,AND($D232&gt;=前提条件!$G$7,$D232&lt;=前提条件!$H$7),OR($D232&gt;=前提条件!$G$7,$D232&lt;=前提条件!$H$7)),1,0)</f>
        <v>0</v>
      </c>
      <c r="L232" s="14" t="n">
        <f aca="false">IF(IF(前提条件!$H$12&lt;=前提条件!$I$12,AND($D232&gt;=前提条件!$H$12,$D232&lt;=前提条件!$I$12),OR($D232&gt;=前提条件!$H$12,$D232&lt;=前提条件!$I$12)),1,0)</f>
        <v>0</v>
      </c>
      <c r="M232" s="14" t="n">
        <f aca="false">IF(IF(前提条件!$H$13&lt;=前提条件!$I$13,AND($D232&gt;=前提条件!$H$13,$D232&lt;=前提条件!$I$13),OR($D232&gt;=前提条件!$H$13,$D232&lt;=前提条件!$I$13)),1,0)</f>
        <v>1</v>
      </c>
      <c r="N232" s="14" t="n">
        <f aca="false">IF(IF(前提条件!$H$14&lt;=前提条件!$I$14,AND($D232&gt;=前提条件!$H$14,$D232&lt;=前提条件!$I$14),OR($D232&gt;=前提条件!$H$14,$D232&lt;=前提条件!$I$14)),1,0)</f>
        <v>0</v>
      </c>
      <c r="O232" s="14" t="n">
        <f aca="false">IF(IF(前提条件!$H$15&lt;=前提条件!$I$15,AND($D232&gt;=前提条件!$H$15,$D232&lt;=前提条件!$I$15),OR($D232&gt;=前提条件!$H$15,$D232&lt;=前提条件!$I$15)),1,0)</f>
        <v>0</v>
      </c>
    </row>
    <row r="233" customFormat="false" ht="15" hidden="false" customHeight="false" outlineLevel="0" collapsed="false">
      <c r="A233" s="48" t="n">
        <v>8</v>
      </c>
      <c r="B233" s="48" t="n">
        <v>18</v>
      </c>
      <c r="C233" s="48" t="str">
        <f aca="false">A233&amp;"/"&amp;B233</f>
        <v>8/18</v>
      </c>
      <c r="D233" s="48" t="n">
        <f aca="false">A233*100+B233</f>
        <v>818</v>
      </c>
      <c r="E233" s="45" t="n">
        <f aca="false">IF(SUM(J233:K233)&gt;0,前提条件!$B$6,前提条件!$B$8)</f>
        <v>6</v>
      </c>
      <c r="F233" s="48" t="str">
        <f aca="false">IFERROR(INDEX(前提条件!$B$12:$B$15,MATCH(1,L233:O233,0)),"未設定")</f>
        <v>遅延形</v>
      </c>
      <c r="G233" s="48" t="str">
        <f aca="false">IFERROR(INDEX(前提条件!$C$12:$C$15,MATCH(1,L233:O233,0)),"未設定")</f>
        <v>夏期</v>
      </c>
      <c r="H233" s="44" t="str">
        <f aca="false">"S値+"&amp;E233&amp;"／"&amp;F233&amp;"（"&amp;G233&amp;"）"</f>
        <v>S値+6／遅延形（夏期）</v>
      </c>
      <c r="J233" s="14" t="n">
        <f aca="false">IF(IF(前提条件!$G$6&lt;=前提条件!$H$6,AND($D233&gt;=前提条件!$G$6,$D233&lt;=前提条件!$H$6),OR($D233&gt;=前提条件!$G$6,$D233&lt;=前提条件!$H$6)),1,0)</f>
        <v>1</v>
      </c>
      <c r="K233" s="14" t="n">
        <f aca="false">IF(IF(前提条件!$G$7&lt;=前提条件!$H$7,AND($D233&gt;=前提条件!$G$7,$D233&lt;=前提条件!$H$7),OR($D233&gt;=前提条件!$G$7,$D233&lt;=前提条件!$H$7)),1,0)</f>
        <v>0</v>
      </c>
      <c r="L233" s="14" t="n">
        <f aca="false">IF(IF(前提条件!$H$12&lt;=前提条件!$I$12,AND($D233&gt;=前提条件!$H$12,$D233&lt;=前提条件!$I$12),OR($D233&gt;=前提条件!$H$12,$D233&lt;=前提条件!$I$12)),1,0)</f>
        <v>0</v>
      </c>
      <c r="M233" s="14" t="n">
        <f aca="false">IF(IF(前提条件!$H$13&lt;=前提条件!$I$13,AND($D233&gt;=前提条件!$H$13,$D233&lt;=前提条件!$I$13),OR($D233&gt;=前提条件!$H$13,$D233&lt;=前提条件!$I$13)),1,0)</f>
        <v>1</v>
      </c>
      <c r="N233" s="14" t="n">
        <f aca="false">IF(IF(前提条件!$H$14&lt;=前提条件!$I$14,AND($D233&gt;=前提条件!$H$14,$D233&lt;=前提条件!$I$14),OR($D233&gt;=前提条件!$H$14,$D233&lt;=前提条件!$I$14)),1,0)</f>
        <v>0</v>
      </c>
      <c r="O233" s="14" t="n">
        <f aca="false">IF(IF(前提条件!$H$15&lt;=前提条件!$I$15,AND($D233&gt;=前提条件!$H$15,$D233&lt;=前提条件!$I$15),OR($D233&gt;=前提条件!$H$15,$D233&lt;=前提条件!$I$15)),1,0)</f>
        <v>0</v>
      </c>
    </row>
    <row r="234" customFormat="false" ht="15" hidden="false" customHeight="false" outlineLevel="0" collapsed="false">
      <c r="A234" s="48" t="n">
        <v>8</v>
      </c>
      <c r="B234" s="48" t="n">
        <v>19</v>
      </c>
      <c r="C234" s="48" t="str">
        <f aca="false">A234&amp;"/"&amp;B234</f>
        <v>8/19</v>
      </c>
      <c r="D234" s="48" t="n">
        <f aca="false">A234*100+B234</f>
        <v>819</v>
      </c>
      <c r="E234" s="45" t="n">
        <f aca="false">IF(SUM(J234:K234)&gt;0,前提条件!$B$6,前提条件!$B$8)</f>
        <v>6</v>
      </c>
      <c r="F234" s="48" t="str">
        <f aca="false">IFERROR(INDEX(前提条件!$B$12:$B$15,MATCH(1,L234:O234,0)),"未設定")</f>
        <v>遅延形</v>
      </c>
      <c r="G234" s="48" t="str">
        <f aca="false">IFERROR(INDEX(前提条件!$C$12:$C$15,MATCH(1,L234:O234,0)),"未設定")</f>
        <v>夏期</v>
      </c>
      <c r="H234" s="44" t="str">
        <f aca="false">"S値+"&amp;E234&amp;"／"&amp;F234&amp;"（"&amp;G234&amp;"）"</f>
        <v>S値+6／遅延形（夏期）</v>
      </c>
      <c r="J234" s="14" t="n">
        <f aca="false">IF(IF(前提条件!$G$6&lt;=前提条件!$H$6,AND($D234&gt;=前提条件!$G$6,$D234&lt;=前提条件!$H$6),OR($D234&gt;=前提条件!$G$6,$D234&lt;=前提条件!$H$6)),1,0)</f>
        <v>1</v>
      </c>
      <c r="K234" s="14" t="n">
        <f aca="false">IF(IF(前提条件!$G$7&lt;=前提条件!$H$7,AND($D234&gt;=前提条件!$G$7,$D234&lt;=前提条件!$H$7),OR($D234&gt;=前提条件!$G$7,$D234&lt;=前提条件!$H$7)),1,0)</f>
        <v>0</v>
      </c>
      <c r="L234" s="14" t="n">
        <f aca="false">IF(IF(前提条件!$H$12&lt;=前提条件!$I$12,AND($D234&gt;=前提条件!$H$12,$D234&lt;=前提条件!$I$12),OR($D234&gt;=前提条件!$H$12,$D234&lt;=前提条件!$I$12)),1,0)</f>
        <v>0</v>
      </c>
      <c r="M234" s="14" t="n">
        <f aca="false">IF(IF(前提条件!$H$13&lt;=前提条件!$I$13,AND($D234&gt;=前提条件!$H$13,$D234&lt;=前提条件!$I$13),OR($D234&gt;=前提条件!$H$13,$D234&lt;=前提条件!$I$13)),1,0)</f>
        <v>1</v>
      </c>
      <c r="N234" s="14" t="n">
        <f aca="false">IF(IF(前提条件!$H$14&lt;=前提条件!$I$14,AND($D234&gt;=前提条件!$H$14,$D234&lt;=前提条件!$I$14),OR($D234&gt;=前提条件!$H$14,$D234&lt;=前提条件!$I$14)),1,0)</f>
        <v>0</v>
      </c>
      <c r="O234" s="14" t="n">
        <f aca="false">IF(IF(前提条件!$H$15&lt;=前提条件!$I$15,AND($D234&gt;=前提条件!$H$15,$D234&lt;=前提条件!$I$15),OR($D234&gt;=前提条件!$H$15,$D234&lt;=前提条件!$I$15)),1,0)</f>
        <v>0</v>
      </c>
    </row>
    <row r="235" customFormat="false" ht="15" hidden="false" customHeight="false" outlineLevel="0" collapsed="false">
      <c r="A235" s="48" t="n">
        <v>8</v>
      </c>
      <c r="B235" s="48" t="n">
        <v>20</v>
      </c>
      <c r="C235" s="48" t="str">
        <f aca="false">A235&amp;"/"&amp;B235</f>
        <v>8/20</v>
      </c>
      <c r="D235" s="48" t="n">
        <f aca="false">A235*100+B235</f>
        <v>820</v>
      </c>
      <c r="E235" s="45" t="n">
        <f aca="false">IF(SUM(J235:K235)&gt;0,前提条件!$B$6,前提条件!$B$8)</f>
        <v>6</v>
      </c>
      <c r="F235" s="48" t="str">
        <f aca="false">IFERROR(INDEX(前提条件!$B$12:$B$15,MATCH(1,L235:O235,0)),"未設定")</f>
        <v>遅延形</v>
      </c>
      <c r="G235" s="48" t="str">
        <f aca="false">IFERROR(INDEX(前提条件!$C$12:$C$15,MATCH(1,L235:O235,0)),"未設定")</f>
        <v>夏期</v>
      </c>
      <c r="H235" s="44" t="str">
        <f aca="false">"S値+"&amp;E235&amp;"／"&amp;F235&amp;"（"&amp;G235&amp;"）"</f>
        <v>S値+6／遅延形（夏期）</v>
      </c>
      <c r="J235" s="14" t="n">
        <f aca="false">IF(IF(前提条件!$G$6&lt;=前提条件!$H$6,AND($D235&gt;=前提条件!$G$6,$D235&lt;=前提条件!$H$6),OR($D235&gt;=前提条件!$G$6,$D235&lt;=前提条件!$H$6)),1,0)</f>
        <v>1</v>
      </c>
      <c r="K235" s="14" t="n">
        <f aca="false">IF(IF(前提条件!$G$7&lt;=前提条件!$H$7,AND($D235&gt;=前提条件!$G$7,$D235&lt;=前提条件!$H$7),OR($D235&gt;=前提条件!$G$7,$D235&lt;=前提条件!$H$7)),1,0)</f>
        <v>0</v>
      </c>
      <c r="L235" s="14" t="n">
        <f aca="false">IF(IF(前提条件!$H$12&lt;=前提条件!$I$12,AND($D235&gt;=前提条件!$H$12,$D235&lt;=前提条件!$I$12),OR($D235&gt;=前提条件!$H$12,$D235&lt;=前提条件!$I$12)),1,0)</f>
        <v>0</v>
      </c>
      <c r="M235" s="14" t="n">
        <f aca="false">IF(IF(前提条件!$H$13&lt;=前提条件!$I$13,AND($D235&gt;=前提条件!$H$13,$D235&lt;=前提条件!$I$13),OR($D235&gt;=前提条件!$H$13,$D235&lt;=前提条件!$I$13)),1,0)</f>
        <v>1</v>
      </c>
      <c r="N235" s="14" t="n">
        <f aca="false">IF(IF(前提条件!$H$14&lt;=前提条件!$I$14,AND($D235&gt;=前提条件!$H$14,$D235&lt;=前提条件!$I$14),OR($D235&gt;=前提条件!$H$14,$D235&lt;=前提条件!$I$14)),1,0)</f>
        <v>0</v>
      </c>
      <c r="O235" s="14" t="n">
        <f aca="false">IF(IF(前提条件!$H$15&lt;=前提条件!$I$15,AND($D235&gt;=前提条件!$H$15,$D235&lt;=前提条件!$I$15),OR($D235&gt;=前提条件!$H$15,$D235&lt;=前提条件!$I$15)),1,0)</f>
        <v>0</v>
      </c>
    </row>
    <row r="236" customFormat="false" ht="15" hidden="false" customHeight="false" outlineLevel="0" collapsed="false">
      <c r="A236" s="48" t="n">
        <v>8</v>
      </c>
      <c r="B236" s="48" t="n">
        <v>21</v>
      </c>
      <c r="C236" s="48" t="str">
        <f aca="false">A236&amp;"/"&amp;B236</f>
        <v>8/21</v>
      </c>
      <c r="D236" s="48" t="n">
        <f aca="false">A236*100+B236</f>
        <v>821</v>
      </c>
      <c r="E236" s="45" t="n">
        <f aca="false">IF(SUM(J236:K236)&gt;0,前提条件!$B$6,前提条件!$B$8)</f>
        <v>6</v>
      </c>
      <c r="F236" s="48" t="str">
        <f aca="false">IFERROR(INDEX(前提条件!$B$12:$B$15,MATCH(1,L236:O236,0)),"未設定")</f>
        <v>遅延形</v>
      </c>
      <c r="G236" s="48" t="str">
        <f aca="false">IFERROR(INDEX(前提条件!$C$12:$C$15,MATCH(1,L236:O236,0)),"未設定")</f>
        <v>夏期</v>
      </c>
      <c r="H236" s="44" t="str">
        <f aca="false">"S値+"&amp;E236&amp;"／"&amp;F236&amp;"（"&amp;G236&amp;"）"</f>
        <v>S値+6／遅延形（夏期）</v>
      </c>
      <c r="J236" s="14" t="n">
        <f aca="false">IF(IF(前提条件!$G$6&lt;=前提条件!$H$6,AND($D236&gt;=前提条件!$G$6,$D236&lt;=前提条件!$H$6),OR($D236&gt;=前提条件!$G$6,$D236&lt;=前提条件!$H$6)),1,0)</f>
        <v>1</v>
      </c>
      <c r="K236" s="14" t="n">
        <f aca="false">IF(IF(前提条件!$G$7&lt;=前提条件!$H$7,AND($D236&gt;=前提条件!$G$7,$D236&lt;=前提条件!$H$7),OR($D236&gt;=前提条件!$G$7,$D236&lt;=前提条件!$H$7)),1,0)</f>
        <v>0</v>
      </c>
      <c r="L236" s="14" t="n">
        <f aca="false">IF(IF(前提条件!$H$12&lt;=前提条件!$I$12,AND($D236&gt;=前提条件!$H$12,$D236&lt;=前提条件!$I$12),OR($D236&gt;=前提条件!$H$12,$D236&lt;=前提条件!$I$12)),1,0)</f>
        <v>0</v>
      </c>
      <c r="M236" s="14" t="n">
        <f aca="false">IF(IF(前提条件!$H$13&lt;=前提条件!$I$13,AND($D236&gt;=前提条件!$H$13,$D236&lt;=前提条件!$I$13),OR($D236&gt;=前提条件!$H$13,$D236&lt;=前提条件!$I$13)),1,0)</f>
        <v>1</v>
      </c>
      <c r="N236" s="14" t="n">
        <f aca="false">IF(IF(前提条件!$H$14&lt;=前提条件!$I$14,AND($D236&gt;=前提条件!$H$14,$D236&lt;=前提条件!$I$14),OR($D236&gt;=前提条件!$H$14,$D236&lt;=前提条件!$I$14)),1,0)</f>
        <v>0</v>
      </c>
      <c r="O236" s="14" t="n">
        <f aca="false">IF(IF(前提条件!$H$15&lt;=前提条件!$I$15,AND($D236&gt;=前提条件!$H$15,$D236&lt;=前提条件!$I$15),OR($D236&gt;=前提条件!$H$15,$D236&lt;=前提条件!$I$15)),1,0)</f>
        <v>0</v>
      </c>
    </row>
    <row r="237" customFormat="false" ht="15" hidden="false" customHeight="false" outlineLevel="0" collapsed="false">
      <c r="A237" s="48" t="n">
        <v>8</v>
      </c>
      <c r="B237" s="48" t="n">
        <v>22</v>
      </c>
      <c r="C237" s="48" t="str">
        <f aca="false">A237&amp;"/"&amp;B237</f>
        <v>8/22</v>
      </c>
      <c r="D237" s="48" t="n">
        <f aca="false">A237*100+B237</f>
        <v>822</v>
      </c>
      <c r="E237" s="45" t="n">
        <f aca="false">IF(SUM(J237:K237)&gt;0,前提条件!$B$6,前提条件!$B$8)</f>
        <v>6</v>
      </c>
      <c r="F237" s="48" t="str">
        <f aca="false">IFERROR(INDEX(前提条件!$B$12:$B$15,MATCH(1,L237:O237,0)),"未設定")</f>
        <v>遅延形</v>
      </c>
      <c r="G237" s="48" t="str">
        <f aca="false">IFERROR(INDEX(前提条件!$C$12:$C$15,MATCH(1,L237:O237,0)),"未設定")</f>
        <v>夏期</v>
      </c>
      <c r="H237" s="44" t="str">
        <f aca="false">"S値+"&amp;E237&amp;"／"&amp;F237&amp;"（"&amp;G237&amp;"）"</f>
        <v>S値+6／遅延形（夏期）</v>
      </c>
      <c r="J237" s="14" t="n">
        <f aca="false">IF(IF(前提条件!$G$6&lt;=前提条件!$H$6,AND($D237&gt;=前提条件!$G$6,$D237&lt;=前提条件!$H$6),OR($D237&gt;=前提条件!$G$6,$D237&lt;=前提条件!$H$6)),1,0)</f>
        <v>1</v>
      </c>
      <c r="K237" s="14" t="n">
        <f aca="false">IF(IF(前提条件!$G$7&lt;=前提条件!$H$7,AND($D237&gt;=前提条件!$G$7,$D237&lt;=前提条件!$H$7),OR($D237&gt;=前提条件!$G$7,$D237&lt;=前提条件!$H$7)),1,0)</f>
        <v>0</v>
      </c>
      <c r="L237" s="14" t="n">
        <f aca="false">IF(IF(前提条件!$H$12&lt;=前提条件!$I$12,AND($D237&gt;=前提条件!$H$12,$D237&lt;=前提条件!$I$12),OR($D237&gt;=前提条件!$H$12,$D237&lt;=前提条件!$I$12)),1,0)</f>
        <v>0</v>
      </c>
      <c r="M237" s="14" t="n">
        <f aca="false">IF(IF(前提条件!$H$13&lt;=前提条件!$I$13,AND($D237&gt;=前提条件!$H$13,$D237&lt;=前提条件!$I$13),OR($D237&gt;=前提条件!$H$13,$D237&lt;=前提条件!$I$13)),1,0)</f>
        <v>1</v>
      </c>
      <c r="N237" s="14" t="n">
        <f aca="false">IF(IF(前提条件!$H$14&lt;=前提条件!$I$14,AND($D237&gt;=前提条件!$H$14,$D237&lt;=前提条件!$I$14),OR($D237&gt;=前提条件!$H$14,$D237&lt;=前提条件!$I$14)),1,0)</f>
        <v>0</v>
      </c>
      <c r="O237" s="14" t="n">
        <f aca="false">IF(IF(前提条件!$H$15&lt;=前提条件!$I$15,AND($D237&gt;=前提条件!$H$15,$D237&lt;=前提条件!$I$15),OR($D237&gt;=前提条件!$H$15,$D237&lt;=前提条件!$I$15)),1,0)</f>
        <v>0</v>
      </c>
    </row>
    <row r="238" customFormat="false" ht="15" hidden="false" customHeight="false" outlineLevel="0" collapsed="false">
      <c r="A238" s="48" t="n">
        <v>8</v>
      </c>
      <c r="B238" s="48" t="n">
        <v>23</v>
      </c>
      <c r="C238" s="48" t="str">
        <f aca="false">A238&amp;"/"&amp;B238</f>
        <v>8/23</v>
      </c>
      <c r="D238" s="48" t="n">
        <f aca="false">A238*100+B238</f>
        <v>823</v>
      </c>
      <c r="E238" s="45" t="n">
        <f aca="false">IF(SUM(J238:K238)&gt;0,前提条件!$B$6,前提条件!$B$8)</f>
        <v>6</v>
      </c>
      <c r="F238" s="48" t="str">
        <f aca="false">IFERROR(INDEX(前提条件!$B$12:$B$15,MATCH(1,L238:O238,0)),"未設定")</f>
        <v>遅延形</v>
      </c>
      <c r="G238" s="48" t="str">
        <f aca="false">IFERROR(INDEX(前提条件!$C$12:$C$15,MATCH(1,L238:O238,0)),"未設定")</f>
        <v>夏期</v>
      </c>
      <c r="H238" s="44" t="str">
        <f aca="false">"S値+"&amp;E238&amp;"／"&amp;F238&amp;"（"&amp;G238&amp;"）"</f>
        <v>S値+6／遅延形（夏期）</v>
      </c>
      <c r="J238" s="14" t="n">
        <f aca="false">IF(IF(前提条件!$G$6&lt;=前提条件!$H$6,AND($D238&gt;=前提条件!$G$6,$D238&lt;=前提条件!$H$6),OR($D238&gt;=前提条件!$G$6,$D238&lt;=前提条件!$H$6)),1,0)</f>
        <v>1</v>
      </c>
      <c r="K238" s="14" t="n">
        <f aca="false">IF(IF(前提条件!$G$7&lt;=前提条件!$H$7,AND($D238&gt;=前提条件!$G$7,$D238&lt;=前提条件!$H$7),OR($D238&gt;=前提条件!$G$7,$D238&lt;=前提条件!$H$7)),1,0)</f>
        <v>0</v>
      </c>
      <c r="L238" s="14" t="n">
        <f aca="false">IF(IF(前提条件!$H$12&lt;=前提条件!$I$12,AND($D238&gt;=前提条件!$H$12,$D238&lt;=前提条件!$I$12),OR($D238&gt;=前提条件!$H$12,$D238&lt;=前提条件!$I$12)),1,0)</f>
        <v>0</v>
      </c>
      <c r="M238" s="14" t="n">
        <f aca="false">IF(IF(前提条件!$H$13&lt;=前提条件!$I$13,AND($D238&gt;=前提条件!$H$13,$D238&lt;=前提条件!$I$13),OR($D238&gt;=前提条件!$H$13,$D238&lt;=前提条件!$I$13)),1,0)</f>
        <v>1</v>
      </c>
      <c r="N238" s="14" t="n">
        <f aca="false">IF(IF(前提条件!$H$14&lt;=前提条件!$I$14,AND($D238&gt;=前提条件!$H$14,$D238&lt;=前提条件!$I$14),OR($D238&gt;=前提条件!$H$14,$D238&lt;=前提条件!$I$14)),1,0)</f>
        <v>0</v>
      </c>
      <c r="O238" s="14" t="n">
        <f aca="false">IF(IF(前提条件!$H$15&lt;=前提条件!$I$15,AND($D238&gt;=前提条件!$H$15,$D238&lt;=前提条件!$I$15),OR($D238&gt;=前提条件!$H$15,$D238&lt;=前提条件!$I$15)),1,0)</f>
        <v>0</v>
      </c>
    </row>
    <row r="239" customFormat="false" ht="15" hidden="false" customHeight="false" outlineLevel="0" collapsed="false">
      <c r="A239" s="48" t="n">
        <v>8</v>
      </c>
      <c r="B239" s="48" t="n">
        <v>24</v>
      </c>
      <c r="C239" s="48" t="str">
        <f aca="false">A239&amp;"/"&amp;B239</f>
        <v>8/24</v>
      </c>
      <c r="D239" s="48" t="n">
        <f aca="false">A239*100+B239</f>
        <v>824</v>
      </c>
      <c r="E239" s="45" t="n">
        <f aca="false">IF(SUM(J239:K239)&gt;0,前提条件!$B$6,前提条件!$B$8)</f>
        <v>6</v>
      </c>
      <c r="F239" s="48" t="str">
        <f aca="false">IFERROR(INDEX(前提条件!$B$12:$B$15,MATCH(1,L239:O239,0)),"未設定")</f>
        <v>遅延形</v>
      </c>
      <c r="G239" s="48" t="str">
        <f aca="false">IFERROR(INDEX(前提条件!$C$12:$C$15,MATCH(1,L239:O239,0)),"未設定")</f>
        <v>夏期</v>
      </c>
      <c r="H239" s="44" t="str">
        <f aca="false">"S値+"&amp;E239&amp;"／"&amp;F239&amp;"（"&amp;G239&amp;"）"</f>
        <v>S値+6／遅延形（夏期）</v>
      </c>
      <c r="J239" s="14" t="n">
        <f aca="false">IF(IF(前提条件!$G$6&lt;=前提条件!$H$6,AND($D239&gt;=前提条件!$G$6,$D239&lt;=前提条件!$H$6),OR($D239&gt;=前提条件!$G$6,$D239&lt;=前提条件!$H$6)),1,0)</f>
        <v>1</v>
      </c>
      <c r="K239" s="14" t="n">
        <f aca="false">IF(IF(前提条件!$G$7&lt;=前提条件!$H$7,AND($D239&gt;=前提条件!$G$7,$D239&lt;=前提条件!$H$7),OR($D239&gt;=前提条件!$G$7,$D239&lt;=前提条件!$H$7)),1,0)</f>
        <v>0</v>
      </c>
      <c r="L239" s="14" t="n">
        <f aca="false">IF(IF(前提条件!$H$12&lt;=前提条件!$I$12,AND($D239&gt;=前提条件!$H$12,$D239&lt;=前提条件!$I$12),OR($D239&gt;=前提条件!$H$12,$D239&lt;=前提条件!$I$12)),1,0)</f>
        <v>0</v>
      </c>
      <c r="M239" s="14" t="n">
        <f aca="false">IF(IF(前提条件!$H$13&lt;=前提条件!$I$13,AND($D239&gt;=前提条件!$H$13,$D239&lt;=前提条件!$I$13),OR($D239&gt;=前提条件!$H$13,$D239&lt;=前提条件!$I$13)),1,0)</f>
        <v>1</v>
      </c>
      <c r="N239" s="14" t="n">
        <f aca="false">IF(IF(前提条件!$H$14&lt;=前提条件!$I$14,AND($D239&gt;=前提条件!$H$14,$D239&lt;=前提条件!$I$14),OR($D239&gt;=前提条件!$H$14,$D239&lt;=前提条件!$I$14)),1,0)</f>
        <v>0</v>
      </c>
      <c r="O239" s="14" t="n">
        <f aca="false">IF(IF(前提条件!$H$15&lt;=前提条件!$I$15,AND($D239&gt;=前提条件!$H$15,$D239&lt;=前提条件!$I$15),OR($D239&gt;=前提条件!$H$15,$D239&lt;=前提条件!$I$15)),1,0)</f>
        <v>0</v>
      </c>
    </row>
    <row r="240" customFormat="false" ht="15" hidden="false" customHeight="false" outlineLevel="0" collapsed="false">
      <c r="A240" s="48" t="n">
        <v>8</v>
      </c>
      <c r="B240" s="48" t="n">
        <v>25</v>
      </c>
      <c r="C240" s="48" t="str">
        <f aca="false">A240&amp;"/"&amp;B240</f>
        <v>8/25</v>
      </c>
      <c r="D240" s="48" t="n">
        <f aca="false">A240*100+B240</f>
        <v>825</v>
      </c>
      <c r="E240" s="45" t="n">
        <f aca="false">IF(SUM(J240:K240)&gt;0,前提条件!$B$6,前提条件!$B$8)</f>
        <v>6</v>
      </c>
      <c r="F240" s="48" t="str">
        <f aca="false">IFERROR(INDEX(前提条件!$B$12:$B$15,MATCH(1,L240:O240,0)),"未設定")</f>
        <v>遅延形</v>
      </c>
      <c r="G240" s="48" t="str">
        <f aca="false">IFERROR(INDEX(前提条件!$C$12:$C$15,MATCH(1,L240:O240,0)),"未設定")</f>
        <v>夏期</v>
      </c>
      <c r="H240" s="44" t="str">
        <f aca="false">"S値+"&amp;E240&amp;"／"&amp;F240&amp;"（"&amp;G240&amp;"）"</f>
        <v>S値+6／遅延形（夏期）</v>
      </c>
      <c r="J240" s="14" t="n">
        <f aca="false">IF(IF(前提条件!$G$6&lt;=前提条件!$H$6,AND($D240&gt;=前提条件!$G$6,$D240&lt;=前提条件!$H$6),OR($D240&gt;=前提条件!$G$6,$D240&lt;=前提条件!$H$6)),1,0)</f>
        <v>1</v>
      </c>
      <c r="K240" s="14" t="n">
        <f aca="false">IF(IF(前提条件!$G$7&lt;=前提条件!$H$7,AND($D240&gt;=前提条件!$G$7,$D240&lt;=前提条件!$H$7),OR($D240&gt;=前提条件!$G$7,$D240&lt;=前提条件!$H$7)),1,0)</f>
        <v>0</v>
      </c>
      <c r="L240" s="14" t="n">
        <f aca="false">IF(IF(前提条件!$H$12&lt;=前提条件!$I$12,AND($D240&gt;=前提条件!$H$12,$D240&lt;=前提条件!$I$12),OR($D240&gt;=前提条件!$H$12,$D240&lt;=前提条件!$I$12)),1,0)</f>
        <v>0</v>
      </c>
      <c r="M240" s="14" t="n">
        <f aca="false">IF(IF(前提条件!$H$13&lt;=前提条件!$I$13,AND($D240&gt;=前提条件!$H$13,$D240&lt;=前提条件!$I$13),OR($D240&gt;=前提条件!$H$13,$D240&lt;=前提条件!$I$13)),1,0)</f>
        <v>1</v>
      </c>
      <c r="N240" s="14" t="n">
        <f aca="false">IF(IF(前提条件!$H$14&lt;=前提条件!$I$14,AND($D240&gt;=前提条件!$H$14,$D240&lt;=前提条件!$I$14),OR($D240&gt;=前提条件!$H$14,$D240&lt;=前提条件!$I$14)),1,0)</f>
        <v>0</v>
      </c>
      <c r="O240" s="14" t="n">
        <f aca="false">IF(IF(前提条件!$H$15&lt;=前提条件!$I$15,AND($D240&gt;=前提条件!$H$15,$D240&lt;=前提条件!$I$15),OR($D240&gt;=前提条件!$H$15,$D240&lt;=前提条件!$I$15)),1,0)</f>
        <v>0</v>
      </c>
    </row>
    <row r="241" customFormat="false" ht="15" hidden="false" customHeight="false" outlineLevel="0" collapsed="false">
      <c r="A241" s="48" t="n">
        <v>8</v>
      </c>
      <c r="B241" s="48" t="n">
        <v>26</v>
      </c>
      <c r="C241" s="48" t="str">
        <f aca="false">A241&amp;"/"&amp;B241</f>
        <v>8/26</v>
      </c>
      <c r="D241" s="48" t="n">
        <f aca="false">A241*100+B241</f>
        <v>826</v>
      </c>
      <c r="E241" s="45" t="n">
        <f aca="false">IF(SUM(J241:K241)&gt;0,前提条件!$B$6,前提条件!$B$8)</f>
        <v>6</v>
      </c>
      <c r="F241" s="48" t="str">
        <f aca="false">IFERROR(INDEX(前提条件!$B$12:$B$15,MATCH(1,L241:O241,0)),"未設定")</f>
        <v>遅延形</v>
      </c>
      <c r="G241" s="48" t="str">
        <f aca="false">IFERROR(INDEX(前提条件!$C$12:$C$15,MATCH(1,L241:O241,0)),"未設定")</f>
        <v>夏期</v>
      </c>
      <c r="H241" s="44" t="str">
        <f aca="false">"S値+"&amp;E241&amp;"／"&amp;F241&amp;"（"&amp;G241&amp;"）"</f>
        <v>S値+6／遅延形（夏期）</v>
      </c>
      <c r="J241" s="14" t="n">
        <f aca="false">IF(IF(前提条件!$G$6&lt;=前提条件!$H$6,AND($D241&gt;=前提条件!$G$6,$D241&lt;=前提条件!$H$6),OR($D241&gt;=前提条件!$G$6,$D241&lt;=前提条件!$H$6)),1,0)</f>
        <v>1</v>
      </c>
      <c r="K241" s="14" t="n">
        <f aca="false">IF(IF(前提条件!$G$7&lt;=前提条件!$H$7,AND($D241&gt;=前提条件!$G$7,$D241&lt;=前提条件!$H$7),OR($D241&gt;=前提条件!$G$7,$D241&lt;=前提条件!$H$7)),1,0)</f>
        <v>0</v>
      </c>
      <c r="L241" s="14" t="n">
        <f aca="false">IF(IF(前提条件!$H$12&lt;=前提条件!$I$12,AND($D241&gt;=前提条件!$H$12,$D241&lt;=前提条件!$I$12),OR($D241&gt;=前提条件!$H$12,$D241&lt;=前提条件!$I$12)),1,0)</f>
        <v>0</v>
      </c>
      <c r="M241" s="14" t="n">
        <f aca="false">IF(IF(前提条件!$H$13&lt;=前提条件!$I$13,AND($D241&gt;=前提条件!$H$13,$D241&lt;=前提条件!$I$13),OR($D241&gt;=前提条件!$H$13,$D241&lt;=前提条件!$I$13)),1,0)</f>
        <v>1</v>
      </c>
      <c r="N241" s="14" t="n">
        <f aca="false">IF(IF(前提条件!$H$14&lt;=前提条件!$I$14,AND($D241&gt;=前提条件!$H$14,$D241&lt;=前提条件!$I$14),OR($D241&gt;=前提条件!$H$14,$D241&lt;=前提条件!$I$14)),1,0)</f>
        <v>0</v>
      </c>
      <c r="O241" s="14" t="n">
        <f aca="false">IF(IF(前提条件!$H$15&lt;=前提条件!$I$15,AND($D241&gt;=前提条件!$H$15,$D241&lt;=前提条件!$I$15),OR($D241&gt;=前提条件!$H$15,$D241&lt;=前提条件!$I$15)),1,0)</f>
        <v>0</v>
      </c>
    </row>
    <row r="242" customFormat="false" ht="15" hidden="false" customHeight="false" outlineLevel="0" collapsed="false">
      <c r="A242" s="48" t="n">
        <v>8</v>
      </c>
      <c r="B242" s="48" t="n">
        <v>27</v>
      </c>
      <c r="C242" s="48" t="str">
        <f aca="false">A242&amp;"/"&amp;B242</f>
        <v>8/27</v>
      </c>
      <c r="D242" s="48" t="n">
        <f aca="false">A242*100+B242</f>
        <v>827</v>
      </c>
      <c r="E242" s="45" t="n">
        <f aca="false">IF(SUM(J242:K242)&gt;0,前提条件!$B$6,前提条件!$B$8)</f>
        <v>6</v>
      </c>
      <c r="F242" s="48" t="str">
        <f aca="false">IFERROR(INDEX(前提条件!$B$12:$B$15,MATCH(1,L242:O242,0)),"未設定")</f>
        <v>遅延形</v>
      </c>
      <c r="G242" s="48" t="str">
        <f aca="false">IFERROR(INDEX(前提条件!$C$12:$C$15,MATCH(1,L242:O242,0)),"未設定")</f>
        <v>夏期</v>
      </c>
      <c r="H242" s="44" t="str">
        <f aca="false">"S値+"&amp;E242&amp;"／"&amp;F242&amp;"（"&amp;G242&amp;"）"</f>
        <v>S値+6／遅延形（夏期）</v>
      </c>
      <c r="J242" s="14" t="n">
        <f aca="false">IF(IF(前提条件!$G$6&lt;=前提条件!$H$6,AND($D242&gt;=前提条件!$G$6,$D242&lt;=前提条件!$H$6),OR($D242&gt;=前提条件!$G$6,$D242&lt;=前提条件!$H$6)),1,0)</f>
        <v>1</v>
      </c>
      <c r="K242" s="14" t="n">
        <f aca="false">IF(IF(前提条件!$G$7&lt;=前提条件!$H$7,AND($D242&gt;=前提条件!$G$7,$D242&lt;=前提条件!$H$7),OR($D242&gt;=前提条件!$G$7,$D242&lt;=前提条件!$H$7)),1,0)</f>
        <v>0</v>
      </c>
      <c r="L242" s="14" t="n">
        <f aca="false">IF(IF(前提条件!$H$12&lt;=前提条件!$I$12,AND($D242&gt;=前提条件!$H$12,$D242&lt;=前提条件!$I$12),OR($D242&gt;=前提条件!$H$12,$D242&lt;=前提条件!$I$12)),1,0)</f>
        <v>0</v>
      </c>
      <c r="M242" s="14" t="n">
        <f aca="false">IF(IF(前提条件!$H$13&lt;=前提条件!$I$13,AND($D242&gt;=前提条件!$H$13,$D242&lt;=前提条件!$I$13),OR($D242&gt;=前提条件!$H$13,$D242&lt;=前提条件!$I$13)),1,0)</f>
        <v>1</v>
      </c>
      <c r="N242" s="14" t="n">
        <f aca="false">IF(IF(前提条件!$H$14&lt;=前提条件!$I$14,AND($D242&gt;=前提条件!$H$14,$D242&lt;=前提条件!$I$14),OR($D242&gt;=前提条件!$H$14,$D242&lt;=前提条件!$I$14)),1,0)</f>
        <v>0</v>
      </c>
      <c r="O242" s="14" t="n">
        <f aca="false">IF(IF(前提条件!$H$15&lt;=前提条件!$I$15,AND($D242&gt;=前提条件!$H$15,$D242&lt;=前提条件!$I$15),OR($D242&gt;=前提条件!$H$15,$D242&lt;=前提条件!$I$15)),1,0)</f>
        <v>0</v>
      </c>
    </row>
    <row r="243" customFormat="false" ht="15" hidden="false" customHeight="false" outlineLevel="0" collapsed="false">
      <c r="A243" s="48" t="n">
        <v>8</v>
      </c>
      <c r="B243" s="48" t="n">
        <v>28</v>
      </c>
      <c r="C243" s="48" t="str">
        <f aca="false">A243&amp;"/"&amp;B243</f>
        <v>8/28</v>
      </c>
      <c r="D243" s="48" t="n">
        <f aca="false">A243*100+B243</f>
        <v>828</v>
      </c>
      <c r="E243" s="45" t="n">
        <f aca="false">IF(SUM(J243:K243)&gt;0,前提条件!$B$6,前提条件!$B$8)</f>
        <v>6</v>
      </c>
      <c r="F243" s="48" t="str">
        <f aca="false">IFERROR(INDEX(前提条件!$B$12:$B$15,MATCH(1,L243:O243,0)),"未設定")</f>
        <v>遅延形</v>
      </c>
      <c r="G243" s="48" t="str">
        <f aca="false">IFERROR(INDEX(前提条件!$C$12:$C$15,MATCH(1,L243:O243,0)),"未設定")</f>
        <v>夏期</v>
      </c>
      <c r="H243" s="44" t="str">
        <f aca="false">"S値+"&amp;E243&amp;"／"&amp;F243&amp;"（"&amp;G243&amp;"）"</f>
        <v>S値+6／遅延形（夏期）</v>
      </c>
      <c r="J243" s="14" t="n">
        <f aca="false">IF(IF(前提条件!$G$6&lt;=前提条件!$H$6,AND($D243&gt;=前提条件!$G$6,$D243&lt;=前提条件!$H$6),OR($D243&gt;=前提条件!$G$6,$D243&lt;=前提条件!$H$6)),1,0)</f>
        <v>1</v>
      </c>
      <c r="K243" s="14" t="n">
        <f aca="false">IF(IF(前提条件!$G$7&lt;=前提条件!$H$7,AND($D243&gt;=前提条件!$G$7,$D243&lt;=前提条件!$H$7),OR($D243&gt;=前提条件!$G$7,$D243&lt;=前提条件!$H$7)),1,0)</f>
        <v>0</v>
      </c>
      <c r="L243" s="14" t="n">
        <f aca="false">IF(IF(前提条件!$H$12&lt;=前提条件!$I$12,AND($D243&gt;=前提条件!$H$12,$D243&lt;=前提条件!$I$12),OR($D243&gt;=前提条件!$H$12,$D243&lt;=前提条件!$I$12)),1,0)</f>
        <v>0</v>
      </c>
      <c r="M243" s="14" t="n">
        <f aca="false">IF(IF(前提条件!$H$13&lt;=前提条件!$I$13,AND($D243&gt;=前提条件!$H$13,$D243&lt;=前提条件!$I$13),OR($D243&gt;=前提条件!$H$13,$D243&lt;=前提条件!$I$13)),1,0)</f>
        <v>1</v>
      </c>
      <c r="N243" s="14" t="n">
        <f aca="false">IF(IF(前提条件!$H$14&lt;=前提条件!$I$14,AND($D243&gt;=前提条件!$H$14,$D243&lt;=前提条件!$I$14),OR($D243&gt;=前提条件!$H$14,$D243&lt;=前提条件!$I$14)),1,0)</f>
        <v>0</v>
      </c>
      <c r="O243" s="14" t="n">
        <f aca="false">IF(IF(前提条件!$H$15&lt;=前提条件!$I$15,AND($D243&gt;=前提条件!$H$15,$D243&lt;=前提条件!$I$15),OR($D243&gt;=前提条件!$H$15,$D243&lt;=前提条件!$I$15)),1,0)</f>
        <v>0</v>
      </c>
    </row>
    <row r="244" customFormat="false" ht="15" hidden="false" customHeight="false" outlineLevel="0" collapsed="false">
      <c r="A244" s="48" t="n">
        <v>8</v>
      </c>
      <c r="B244" s="48" t="n">
        <v>29</v>
      </c>
      <c r="C244" s="48" t="str">
        <f aca="false">A244&amp;"/"&amp;B244</f>
        <v>8/29</v>
      </c>
      <c r="D244" s="48" t="n">
        <f aca="false">A244*100+B244</f>
        <v>829</v>
      </c>
      <c r="E244" s="45" t="n">
        <f aca="false">IF(SUM(J244:K244)&gt;0,前提条件!$B$6,前提条件!$B$8)</f>
        <v>6</v>
      </c>
      <c r="F244" s="48" t="str">
        <f aca="false">IFERROR(INDEX(前提条件!$B$12:$B$15,MATCH(1,L244:O244,0)),"未設定")</f>
        <v>遅延形</v>
      </c>
      <c r="G244" s="48" t="str">
        <f aca="false">IFERROR(INDEX(前提条件!$C$12:$C$15,MATCH(1,L244:O244,0)),"未設定")</f>
        <v>夏期</v>
      </c>
      <c r="H244" s="44" t="str">
        <f aca="false">"S値+"&amp;E244&amp;"／"&amp;F244&amp;"（"&amp;G244&amp;"）"</f>
        <v>S値+6／遅延形（夏期）</v>
      </c>
      <c r="J244" s="14" t="n">
        <f aca="false">IF(IF(前提条件!$G$6&lt;=前提条件!$H$6,AND($D244&gt;=前提条件!$G$6,$D244&lt;=前提条件!$H$6),OR($D244&gt;=前提条件!$G$6,$D244&lt;=前提条件!$H$6)),1,0)</f>
        <v>1</v>
      </c>
      <c r="K244" s="14" t="n">
        <f aca="false">IF(IF(前提条件!$G$7&lt;=前提条件!$H$7,AND($D244&gt;=前提条件!$G$7,$D244&lt;=前提条件!$H$7),OR($D244&gt;=前提条件!$G$7,$D244&lt;=前提条件!$H$7)),1,0)</f>
        <v>0</v>
      </c>
      <c r="L244" s="14" t="n">
        <f aca="false">IF(IF(前提条件!$H$12&lt;=前提条件!$I$12,AND($D244&gt;=前提条件!$H$12,$D244&lt;=前提条件!$I$12),OR($D244&gt;=前提条件!$H$12,$D244&lt;=前提条件!$I$12)),1,0)</f>
        <v>0</v>
      </c>
      <c r="M244" s="14" t="n">
        <f aca="false">IF(IF(前提条件!$H$13&lt;=前提条件!$I$13,AND($D244&gt;=前提条件!$H$13,$D244&lt;=前提条件!$I$13),OR($D244&gt;=前提条件!$H$13,$D244&lt;=前提条件!$I$13)),1,0)</f>
        <v>1</v>
      </c>
      <c r="N244" s="14" t="n">
        <f aca="false">IF(IF(前提条件!$H$14&lt;=前提条件!$I$14,AND($D244&gt;=前提条件!$H$14,$D244&lt;=前提条件!$I$14),OR($D244&gt;=前提条件!$H$14,$D244&lt;=前提条件!$I$14)),1,0)</f>
        <v>0</v>
      </c>
      <c r="O244" s="14" t="n">
        <f aca="false">IF(IF(前提条件!$H$15&lt;=前提条件!$I$15,AND($D244&gt;=前提条件!$H$15,$D244&lt;=前提条件!$I$15),OR($D244&gt;=前提条件!$H$15,$D244&lt;=前提条件!$I$15)),1,0)</f>
        <v>0</v>
      </c>
    </row>
    <row r="245" customFormat="false" ht="15" hidden="false" customHeight="false" outlineLevel="0" collapsed="false">
      <c r="A245" s="48" t="n">
        <v>8</v>
      </c>
      <c r="B245" s="48" t="n">
        <v>30</v>
      </c>
      <c r="C245" s="48" t="str">
        <f aca="false">A245&amp;"/"&amp;B245</f>
        <v>8/30</v>
      </c>
      <c r="D245" s="48" t="n">
        <f aca="false">A245*100+B245</f>
        <v>830</v>
      </c>
      <c r="E245" s="45" t="n">
        <f aca="false">IF(SUM(J245:K245)&gt;0,前提条件!$B$6,前提条件!$B$8)</f>
        <v>6</v>
      </c>
      <c r="F245" s="48" t="str">
        <f aca="false">IFERROR(INDEX(前提条件!$B$12:$B$15,MATCH(1,L245:O245,0)),"未設定")</f>
        <v>遅延形</v>
      </c>
      <c r="G245" s="48" t="str">
        <f aca="false">IFERROR(INDEX(前提条件!$C$12:$C$15,MATCH(1,L245:O245,0)),"未設定")</f>
        <v>夏期</v>
      </c>
      <c r="H245" s="44" t="str">
        <f aca="false">"S値+"&amp;E245&amp;"／"&amp;F245&amp;"（"&amp;G245&amp;"）"</f>
        <v>S値+6／遅延形（夏期）</v>
      </c>
      <c r="J245" s="14" t="n">
        <f aca="false">IF(IF(前提条件!$G$6&lt;=前提条件!$H$6,AND($D245&gt;=前提条件!$G$6,$D245&lt;=前提条件!$H$6),OR($D245&gt;=前提条件!$G$6,$D245&lt;=前提条件!$H$6)),1,0)</f>
        <v>1</v>
      </c>
      <c r="K245" s="14" t="n">
        <f aca="false">IF(IF(前提条件!$G$7&lt;=前提条件!$H$7,AND($D245&gt;=前提条件!$G$7,$D245&lt;=前提条件!$H$7),OR($D245&gt;=前提条件!$G$7,$D245&lt;=前提条件!$H$7)),1,0)</f>
        <v>0</v>
      </c>
      <c r="L245" s="14" t="n">
        <f aca="false">IF(IF(前提条件!$H$12&lt;=前提条件!$I$12,AND($D245&gt;=前提条件!$H$12,$D245&lt;=前提条件!$I$12),OR($D245&gt;=前提条件!$H$12,$D245&lt;=前提条件!$I$12)),1,0)</f>
        <v>0</v>
      </c>
      <c r="M245" s="14" t="n">
        <f aca="false">IF(IF(前提条件!$H$13&lt;=前提条件!$I$13,AND($D245&gt;=前提条件!$H$13,$D245&lt;=前提条件!$I$13),OR($D245&gt;=前提条件!$H$13,$D245&lt;=前提条件!$I$13)),1,0)</f>
        <v>1</v>
      </c>
      <c r="N245" s="14" t="n">
        <f aca="false">IF(IF(前提条件!$H$14&lt;=前提条件!$I$14,AND($D245&gt;=前提条件!$H$14,$D245&lt;=前提条件!$I$14),OR($D245&gt;=前提条件!$H$14,$D245&lt;=前提条件!$I$14)),1,0)</f>
        <v>0</v>
      </c>
      <c r="O245" s="14" t="n">
        <f aca="false">IF(IF(前提条件!$H$15&lt;=前提条件!$I$15,AND($D245&gt;=前提条件!$H$15,$D245&lt;=前提条件!$I$15),OR($D245&gt;=前提条件!$H$15,$D245&lt;=前提条件!$I$15)),1,0)</f>
        <v>0</v>
      </c>
    </row>
    <row r="246" customFormat="false" ht="15" hidden="false" customHeight="false" outlineLevel="0" collapsed="false">
      <c r="A246" s="48" t="n">
        <v>8</v>
      </c>
      <c r="B246" s="48" t="n">
        <v>31</v>
      </c>
      <c r="C246" s="48" t="str">
        <f aca="false">A246&amp;"/"&amp;B246</f>
        <v>8/31</v>
      </c>
      <c r="D246" s="48" t="n">
        <f aca="false">A246*100+B246</f>
        <v>831</v>
      </c>
      <c r="E246" s="45" t="n">
        <f aca="false">IF(SUM(J246:K246)&gt;0,前提条件!$B$6,前提条件!$B$8)</f>
        <v>6</v>
      </c>
      <c r="F246" s="48" t="str">
        <f aca="false">IFERROR(INDEX(前提条件!$B$12:$B$15,MATCH(1,L246:O246,0)),"未設定")</f>
        <v>遅延形</v>
      </c>
      <c r="G246" s="48" t="str">
        <f aca="false">IFERROR(INDEX(前提条件!$C$12:$C$15,MATCH(1,L246:O246,0)),"未設定")</f>
        <v>夏期</v>
      </c>
      <c r="H246" s="44" t="str">
        <f aca="false">"S値+"&amp;E246&amp;"／"&amp;F246&amp;"（"&amp;G246&amp;"）"</f>
        <v>S値+6／遅延形（夏期）</v>
      </c>
      <c r="J246" s="14" t="n">
        <f aca="false">IF(IF(前提条件!$G$6&lt;=前提条件!$H$6,AND($D246&gt;=前提条件!$G$6,$D246&lt;=前提条件!$H$6),OR($D246&gt;=前提条件!$G$6,$D246&lt;=前提条件!$H$6)),1,0)</f>
        <v>1</v>
      </c>
      <c r="K246" s="14" t="n">
        <f aca="false">IF(IF(前提条件!$G$7&lt;=前提条件!$H$7,AND($D246&gt;=前提条件!$G$7,$D246&lt;=前提条件!$H$7),OR($D246&gt;=前提条件!$G$7,$D246&lt;=前提条件!$H$7)),1,0)</f>
        <v>0</v>
      </c>
      <c r="L246" s="14" t="n">
        <f aca="false">IF(IF(前提条件!$H$12&lt;=前提条件!$I$12,AND($D246&gt;=前提条件!$H$12,$D246&lt;=前提条件!$I$12),OR($D246&gt;=前提条件!$H$12,$D246&lt;=前提条件!$I$12)),1,0)</f>
        <v>0</v>
      </c>
      <c r="M246" s="14" t="n">
        <f aca="false">IF(IF(前提条件!$H$13&lt;=前提条件!$I$13,AND($D246&gt;=前提条件!$H$13,$D246&lt;=前提条件!$I$13),OR($D246&gt;=前提条件!$H$13,$D246&lt;=前提条件!$I$13)),1,0)</f>
        <v>1</v>
      </c>
      <c r="N246" s="14" t="n">
        <f aca="false">IF(IF(前提条件!$H$14&lt;=前提条件!$I$14,AND($D246&gt;=前提条件!$H$14,$D246&lt;=前提条件!$I$14),OR($D246&gt;=前提条件!$H$14,$D246&lt;=前提条件!$I$14)),1,0)</f>
        <v>0</v>
      </c>
      <c r="O246" s="14" t="n">
        <f aca="false">IF(IF(前提条件!$H$15&lt;=前提条件!$I$15,AND($D246&gt;=前提条件!$H$15,$D246&lt;=前提条件!$I$15),OR($D246&gt;=前提条件!$H$15,$D246&lt;=前提条件!$I$15)),1,0)</f>
        <v>0</v>
      </c>
    </row>
    <row r="247" customFormat="false" ht="15" hidden="false" customHeight="false" outlineLevel="0" collapsed="false">
      <c r="A247" s="48" t="n">
        <v>9</v>
      </c>
      <c r="B247" s="48" t="n">
        <v>1</v>
      </c>
      <c r="C247" s="48" t="str">
        <f aca="false">A247&amp;"/"&amp;B247</f>
        <v>9/1</v>
      </c>
      <c r="D247" s="48" t="n">
        <f aca="false">A247*100+B247</f>
        <v>901</v>
      </c>
      <c r="E247" s="45" t="n">
        <f aca="false">IF(SUM(J247:K247)&gt;0,前提条件!$B$6,前提条件!$B$8)</f>
        <v>6</v>
      </c>
      <c r="F247" s="48" t="str">
        <f aca="false">IFERROR(INDEX(前提条件!$B$12:$B$15,MATCH(1,L247:O247,0)),"未設定")</f>
        <v>遅延形</v>
      </c>
      <c r="G247" s="48" t="str">
        <f aca="false">IFERROR(INDEX(前提条件!$C$12:$C$15,MATCH(1,L247:O247,0)),"未設定")</f>
        <v>夏期</v>
      </c>
      <c r="H247" s="44" t="str">
        <f aca="false">"S値+"&amp;E247&amp;"／"&amp;F247&amp;"（"&amp;G247&amp;"）"</f>
        <v>S値+6／遅延形（夏期）</v>
      </c>
      <c r="J247" s="14" t="n">
        <f aca="false">IF(IF(前提条件!$G$6&lt;=前提条件!$H$6,AND($D247&gt;=前提条件!$G$6,$D247&lt;=前提条件!$H$6),OR($D247&gt;=前提条件!$G$6,$D247&lt;=前提条件!$H$6)),1,0)</f>
        <v>1</v>
      </c>
      <c r="K247" s="14" t="n">
        <f aca="false">IF(IF(前提条件!$G$7&lt;=前提条件!$H$7,AND($D247&gt;=前提条件!$G$7,$D247&lt;=前提条件!$H$7),OR($D247&gt;=前提条件!$G$7,$D247&lt;=前提条件!$H$7)),1,0)</f>
        <v>0</v>
      </c>
      <c r="L247" s="14" t="n">
        <f aca="false">IF(IF(前提条件!$H$12&lt;=前提条件!$I$12,AND($D247&gt;=前提条件!$H$12,$D247&lt;=前提条件!$I$12),OR($D247&gt;=前提条件!$H$12,$D247&lt;=前提条件!$I$12)),1,0)</f>
        <v>0</v>
      </c>
      <c r="M247" s="14" t="n">
        <f aca="false">IF(IF(前提条件!$H$13&lt;=前提条件!$I$13,AND($D247&gt;=前提条件!$H$13,$D247&lt;=前提条件!$I$13),OR($D247&gt;=前提条件!$H$13,$D247&lt;=前提条件!$I$13)),1,0)</f>
        <v>1</v>
      </c>
      <c r="N247" s="14" t="n">
        <f aca="false">IF(IF(前提条件!$H$14&lt;=前提条件!$I$14,AND($D247&gt;=前提条件!$H$14,$D247&lt;=前提条件!$I$14),OR($D247&gt;=前提条件!$H$14,$D247&lt;=前提条件!$I$14)),1,0)</f>
        <v>0</v>
      </c>
      <c r="O247" s="14" t="n">
        <f aca="false">IF(IF(前提条件!$H$15&lt;=前提条件!$I$15,AND($D247&gt;=前提条件!$H$15,$D247&lt;=前提条件!$I$15),OR($D247&gt;=前提条件!$H$15,$D247&lt;=前提条件!$I$15)),1,0)</f>
        <v>0</v>
      </c>
    </row>
    <row r="248" customFormat="false" ht="15" hidden="false" customHeight="false" outlineLevel="0" collapsed="false">
      <c r="A248" s="48" t="n">
        <v>9</v>
      </c>
      <c r="B248" s="48" t="n">
        <v>2</v>
      </c>
      <c r="C248" s="48" t="str">
        <f aca="false">A248&amp;"/"&amp;B248</f>
        <v>9/2</v>
      </c>
      <c r="D248" s="48" t="n">
        <f aca="false">A248*100+B248</f>
        <v>902</v>
      </c>
      <c r="E248" s="45" t="n">
        <f aca="false">IF(SUM(J248:K248)&gt;0,前提条件!$B$6,前提条件!$B$8)</f>
        <v>6</v>
      </c>
      <c r="F248" s="48" t="str">
        <f aca="false">IFERROR(INDEX(前提条件!$B$12:$B$15,MATCH(1,L248:O248,0)),"未設定")</f>
        <v>遅延形</v>
      </c>
      <c r="G248" s="48" t="str">
        <f aca="false">IFERROR(INDEX(前提条件!$C$12:$C$15,MATCH(1,L248:O248,0)),"未設定")</f>
        <v>夏期</v>
      </c>
      <c r="H248" s="44" t="str">
        <f aca="false">"S値+"&amp;E248&amp;"／"&amp;F248&amp;"（"&amp;G248&amp;"）"</f>
        <v>S値+6／遅延形（夏期）</v>
      </c>
      <c r="J248" s="14" t="n">
        <f aca="false">IF(IF(前提条件!$G$6&lt;=前提条件!$H$6,AND($D248&gt;=前提条件!$G$6,$D248&lt;=前提条件!$H$6),OR($D248&gt;=前提条件!$G$6,$D248&lt;=前提条件!$H$6)),1,0)</f>
        <v>1</v>
      </c>
      <c r="K248" s="14" t="n">
        <f aca="false">IF(IF(前提条件!$G$7&lt;=前提条件!$H$7,AND($D248&gt;=前提条件!$G$7,$D248&lt;=前提条件!$H$7),OR($D248&gt;=前提条件!$G$7,$D248&lt;=前提条件!$H$7)),1,0)</f>
        <v>0</v>
      </c>
      <c r="L248" s="14" t="n">
        <f aca="false">IF(IF(前提条件!$H$12&lt;=前提条件!$I$12,AND($D248&gt;=前提条件!$H$12,$D248&lt;=前提条件!$I$12),OR($D248&gt;=前提条件!$H$12,$D248&lt;=前提条件!$I$12)),1,0)</f>
        <v>0</v>
      </c>
      <c r="M248" s="14" t="n">
        <f aca="false">IF(IF(前提条件!$H$13&lt;=前提条件!$I$13,AND($D248&gt;=前提条件!$H$13,$D248&lt;=前提条件!$I$13),OR($D248&gt;=前提条件!$H$13,$D248&lt;=前提条件!$I$13)),1,0)</f>
        <v>1</v>
      </c>
      <c r="N248" s="14" t="n">
        <f aca="false">IF(IF(前提条件!$H$14&lt;=前提条件!$I$14,AND($D248&gt;=前提条件!$H$14,$D248&lt;=前提条件!$I$14),OR($D248&gt;=前提条件!$H$14,$D248&lt;=前提条件!$I$14)),1,0)</f>
        <v>0</v>
      </c>
      <c r="O248" s="14" t="n">
        <f aca="false">IF(IF(前提条件!$H$15&lt;=前提条件!$I$15,AND($D248&gt;=前提条件!$H$15,$D248&lt;=前提条件!$I$15),OR($D248&gt;=前提条件!$H$15,$D248&lt;=前提条件!$I$15)),1,0)</f>
        <v>0</v>
      </c>
    </row>
    <row r="249" customFormat="false" ht="15" hidden="false" customHeight="false" outlineLevel="0" collapsed="false">
      <c r="A249" s="48" t="n">
        <v>9</v>
      </c>
      <c r="B249" s="48" t="n">
        <v>3</v>
      </c>
      <c r="C249" s="48" t="str">
        <f aca="false">A249&amp;"/"&amp;B249</f>
        <v>9/3</v>
      </c>
      <c r="D249" s="48" t="n">
        <f aca="false">A249*100+B249</f>
        <v>903</v>
      </c>
      <c r="E249" s="45" t="n">
        <f aca="false">IF(SUM(J249:K249)&gt;0,前提条件!$B$6,前提条件!$B$8)</f>
        <v>6</v>
      </c>
      <c r="F249" s="48" t="str">
        <f aca="false">IFERROR(INDEX(前提条件!$B$12:$B$15,MATCH(1,L249:O249,0)),"未設定")</f>
        <v>遅延形</v>
      </c>
      <c r="G249" s="48" t="str">
        <f aca="false">IFERROR(INDEX(前提条件!$C$12:$C$15,MATCH(1,L249:O249,0)),"未設定")</f>
        <v>夏期</v>
      </c>
      <c r="H249" s="44" t="str">
        <f aca="false">"S値+"&amp;E249&amp;"／"&amp;F249&amp;"（"&amp;G249&amp;"）"</f>
        <v>S値+6／遅延形（夏期）</v>
      </c>
      <c r="J249" s="14" t="n">
        <f aca="false">IF(IF(前提条件!$G$6&lt;=前提条件!$H$6,AND($D249&gt;=前提条件!$G$6,$D249&lt;=前提条件!$H$6),OR($D249&gt;=前提条件!$G$6,$D249&lt;=前提条件!$H$6)),1,0)</f>
        <v>1</v>
      </c>
      <c r="K249" s="14" t="n">
        <f aca="false">IF(IF(前提条件!$G$7&lt;=前提条件!$H$7,AND($D249&gt;=前提条件!$G$7,$D249&lt;=前提条件!$H$7),OR($D249&gt;=前提条件!$G$7,$D249&lt;=前提条件!$H$7)),1,0)</f>
        <v>0</v>
      </c>
      <c r="L249" s="14" t="n">
        <f aca="false">IF(IF(前提条件!$H$12&lt;=前提条件!$I$12,AND($D249&gt;=前提条件!$H$12,$D249&lt;=前提条件!$I$12),OR($D249&gt;=前提条件!$H$12,$D249&lt;=前提条件!$I$12)),1,0)</f>
        <v>0</v>
      </c>
      <c r="M249" s="14" t="n">
        <f aca="false">IF(IF(前提条件!$H$13&lt;=前提条件!$I$13,AND($D249&gt;=前提条件!$H$13,$D249&lt;=前提条件!$I$13),OR($D249&gt;=前提条件!$H$13,$D249&lt;=前提条件!$I$13)),1,0)</f>
        <v>1</v>
      </c>
      <c r="N249" s="14" t="n">
        <f aca="false">IF(IF(前提条件!$H$14&lt;=前提条件!$I$14,AND($D249&gt;=前提条件!$H$14,$D249&lt;=前提条件!$I$14),OR($D249&gt;=前提条件!$H$14,$D249&lt;=前提条件!$I$14)),1,0)</f>
        <v>0</v>
      </c>
      <c r="O249" s="14" t="n">
        <f aca="false">IF(IF(前提条件!$H$15&lt;=前提条件!$I$15,AND($D249&gt;=前提条件!$H$15,$D249&lt;=前提条件!$I$15),OR($D249&gt;=前提条件!$H$15,$D249&lt;=前提条件!$I$15)),1,0)</f>
        <v>0</v>
      </c>
    </row>
    <row r="250" customFormat="false" ht="15" hidden="false" customHeight="false" outlineLevel="0" collapsed="false">
      <c r="A250" s="48" t="n">
        <v>9</v>
      </c>
      <c r="B250" s="48" t="n">
        <v>4</v>
      </c>
      <c r="C250" s="48" t="str">
        <f aca="false">A250&amp;"/"&amp;B250</f>
        <v>9/4</v>
      </c>
      <c r="D250" s="48" t="n">
        <f aca="false">A250*100+B250</f>
        <v>904</v>
      </c>
      <c r="E250" s="45" t="n">
        <f aca="false">IF(SUM(J250:K250)&gt;0,前提条件!$B$6,前提条件!$B$8)</f>
        <v>6</v>
      </c>
      <c r="F250" s="48" t="str">
        <f aca="false">IFERROR(INDEX(前提条件!$B$12:$B$15,MATCH(1,L250:O250,0)),"未設定")</f>
        <v>遅延形</v>
      </c>
      <c r="G250" s="48" t="str">
        <f aca="false">IFERROR(INDEX(前提条件!$C$12:$C$15,MATCH(1,L250:O250,0)),"未設定")</f>
        <v>夏期</v>
      </c>
      <c r="H250" s="44" t="str">
        <f aca="false">"S値+"&amp;E250&amp;"／"&amp;F250&amp;"（"&amp;G250&amp;"）"</f>
        <v>S値+6／遅延形（夏期）</v>
      </c>
      <c r="J250" s="14" t="n">
        <f aca="false">IF(IF(前提条件!$G$6&lt;=前提条件!$H$6,AND($D250&gt;=前提条件!$G$6,$D250&lt;=前提条件!$H$6),OR($D250&gt;=前提条件!$G$6,$D250&lt;=前提条件!$H$6)),1,0)</f>
        <v>1</v>
      </c>
      <c r="K250" s="14" t="n">
        <f aca="false">IF(IF(前提条件!$G$7&lt;=前提条件!$H$7,AND($D250&gt;=前提条件!$G$7,$D250&lt;=前提条件!$H$7),OR($D250&gt;=前提条件!$G$7,$D250&lt;=前提条件!$H$7)),1,0)</f>
        <v>0</v>
      </c>
      <c r="L250" s="14" t="n">
        <f aca="false">IF(IF(前提条件!$H$12&lt;=前提条件!$I$12,AND($D250&gt;=前提条件!$H$12,$D250&lt;=前提条件!$I$12),OR($D250&gt;=前提条件!$H$12,$D250&lt;=前提条件!$I$12)),1,0)</f>
        <v>0</v>
      </c>
      <c r="M250" s="14" t="n">
        <f aca="false">IF(IF(前提条件!$H$13&lt;=前提条件!$I$13,AND($D250&gt;=前提条件!$H$13,$D250&lt;=前提条件!$I$13),OR($D250&gt;=前提条件!$H$13,$D250&lt;=前提条件!$I$13)),1,0)</f>
        <v>1</v>
      </c>
      <c r="N250" s="14" t="n">
        <f aca="false">IF(IF(前提条件!$H$14&lt;=前提条件!$I$14,AND($D250&gt;=前提条件!$H$14,$D250&lt;=前提条件!$I$14),OR($D250&gt;=前提条件!$H$14,$D250&lt;=前提条件!$I$14)),1,0)</f>
        <v>0</v>
      </c>
      <c r="O250" s="14" t="n">
        <f aca="false">IF(IF(前提条件!$H$15&lt;=前提条件!$I$15,AND($D250&gt;=前提条件!$H$15,$D250&lt;=前提条件!$I$15),OR($D250&gt;=前提条件!$H$15,$D250&lt;=前提条件!$I$15)),1,0)</f>
        <v>0</v>
      </c>
    </row>
    <row r="251" customFormat="false" ht="15" hidden="false" customHeight="false" outlineLevel="0" collapsed="false">
      <c r="A251" s="48" t="n">
        <v>9</v>
      </c>
      <c r="B251" s="48" t="n">
        <v>5</v>
      </c>
      <c r="C251" s="48" t="str">
        <f aca="false">A251&amp;"/"&amp;B251</f>
        <v>9/5</v>
      </c>
      <c r="D251" s="48" t="n">
        <f aca="false">A251*100+B251</f>
        <v>905</v>
      </c>
      <c r="E251" s="45" t="n">
        <f aca="false">IF(SUM(J251:K251)&gt;0,前提条件!$B$6,前提条件!$B$8)</f>
        <v>6</v>
      </c>
      <c r="F251" s="48" t="str">
        <f aca="false">IFERROR(INDEX(前提条件!$B$12:$B$15,MATCH(1,L251:O251,0)),"未設定")</f>
        <v>遅延形</v>
      </c>
      <c r="G251" s="48" t="str">
        <f aca="false">IFERROR(INDEX(前提条件!$C$12:$C$15,MATCH(1,L251:O251,0)),"未設定")</f>
        <v>夏期</v>
      </c>
      <c r="H251" s="44" t="str">
        <f aca="false">"S値+"&amp;E251&amp;"／"&amp;F251&amp;"（"&amp;G251&amp;"）"</f>
        <v>S値+6／遅延形（夏期）</v>
      </c>
      <c r="J251" s="14" t="n">
        <f aca="false">IF(IF(前提条件!$G$6&lt;=前提条件!$H$6,AND($D251&gt;=前提条件!$G$6,$D251&lt;=前提条件!$H$6),OR($D251&gt;=前提条件!$G$6,$D251&lt;=前提条件!$H$6)),1,0)</f>
        <v>1</v>
      </c>
      <c r="K251" s="14" t="n">
        <f aca="false">IF(IF(前提条件!$G$7&lt;=前提条件!$H$7,AND($D251&gt;=前提条件!$G$7,$D251&lt;=前提条件!$H$7),OR($D251&gt;=前提条件!$G$7,$D251&lt;=前提条件!$H$7)),1,0)</f>
        <v>0</v>
      </c>
      <c r="L251" s="14" t="n">
        <f aca="false">IF(IF(前提条件!$H$12&lt;=前提条件!$I$12,AND($D251&gt;=前提条件!$H$12,$D251&lt;=前提条件!$I$12),OR($D251&gt;=前提条件!$H$12,$D251&lt;=前提条件!$I$12)),1,0)</f>
        <v>0</v>
      </c>
      <c r="M251" s="14" t="n">
        <f aca="false">IF(IF(前提条件!$H$13&lt;=前提条件!$I$13,AND($D251&gt;=前提条件!$H$13,$D251&lt;=前提条件!$I$13),OR($D251&gt;=前提条件!$H$13,$D251&lt;=前提条件!$I$13)),1,0)</f>
        <v>1</v>
      </c>
      <c r="N251" s="14" t="n">
        <f aca="false">IF(IF(前提条件!$H$14&lt;=前提条件!$I$14,AND($D251&gt;=前提条件!$H$14,$D251&lt;=前提条件!$I$14),OR($D251&gt;=前提条件!$H$14,$D251&lt;=前提条件!$I$14)),1,0)</f>
        <v>0</v>
      </c>
      <c r="O251" s="14" t="n">
        <f aca="false">IF(IF(前提条件!$H$15&lt;=前提条件!$I$15,AND($D251&gt;=前提条件!$H$15,$D251&lt;=前提条件!$I$15),OR($D251&gt;=前提条件!$H$15,$D251&lt;=前提条件!$I$15)),1,0)</f>
        <v>0</v>
      </c>
    </row>
    <row r="252" customFormat="false" ht="15" hidden="false" customHeight="false" outlineLevel="0" collapsed="false">
      <c r="A252" s="48" t="n">
        <v>9</v>
      </c>
      <c r="B252" s="48" t="n">
        <v>6</v>
      </c>
      <c r="C252" s="48" t="str">
        <f aca="false">A252&amp;"/"&amp;B252</f>
        <v>9/6</v>
      </c>
      <c r="D252" s="48" t="n">
        <f aca="false">A252*100+B252</f>
        <v>906</v>
      </c>
      <c r="E252" s="45" t="n">
        <f aca="false">IF(SUM(J252:K252)&gt;0,前提条件!$B$6,前提条件!$B$8)</f>
        <v>6</v>
      </c>
      <c r="F252" s="48" t="str">
        <f aca="false">IFERROR(INDEX(前提条件!$B$12:$B$15,MATCH(1,L252:O252,0)),"未設定")</f>
        <v>遅延形</v>
      </c>
      <c r="G252" s="48" t="str">
        <f aca="false">IFERROR(INDEX(前提条件!$C$12:$C$15,MATCH(1,L252:O252,0)),"未設定")</f>
        <v>夏期</v>
      </c>
      <c r="H252" s="44" t="str">
        <f aca="false">"S値+"&amp;E252&amp;"／"&amp;F252&amp;"（"&amp;G252&amp;"）"</f>
        <v>S値+6／遅延形（夏期）</v>
      </c>
      <c r="J252" s="14" t="n">
        <f aca="false">IF(IF(前提条件!$G$6&lt;=前提条件!$H$6,AND($D252&gt;=前提条件!$G$6,$D252&lt;=前提条件!$H$6),OR($D252&gt;=前提条件!$G$6,$D252&lt;=前提条件!$H$6)),1,0)</f>
        <v>1</v>
      </c>
      <c r="K252" s="14" t="n">
        <f aca="false">IF(IF(前提条件!$G$7&lt;=前提条件!$H$7,AND($D252&gt;=前提条件!$G$7,$D252&lt;=前提条件!$H$7),OR($D252&gt;=前提条件!$G$7,$D252&lt;=前提条件!$H$7)),1,0)</f>
        <v>0</v>
      </c>
      <c r="L252" s="14" t="n">
        <f aca="false">IF(IF(前提条件!$H$12&lt;=前提条件!$I$12,AND($D252&gt;=前提条件!$H$12,$D252&lt;=前提条件!$I$12),OR($D252&gt;=前提条件!$H$12,$D252&lt;=前提条件!$I$12)),1,0)</f>
        <v>0</v>
      </c>
      <c r="M252" s="14" t="n">
        <f aca="false">IF(IF(前提条件!$H$13&lt;=前提条件!$I$13,AND($D252&gt;=前提条件!$H$13,$D252&lt;=前提条件!$I$13),OR($D252&gt;=前提条件!$H$13,$D252&lt;=前提条件!$I$13)),1,0)</f>
        <v>1</v>
      </c>
      <c r="N252" s="14" t="n">
        <f aca="false">IF(IF(前提条件!$H$14&lt;=前提条件!$I$14,AND($D252&gt;=前提条件!$H$14,$D252&lt;=前提条件!$I$14),OR($D252&gt;=前提条件!$H$14,$D252&lt;=前提条件!$I$14)),1,0)</f>
        <v>0</v>
      </c>
      <c r="O252" s="14" t="n">
        <f aca="false">IF(IF(前提条件!$H$15&lt;=前提条件!$I$15,AND($D252&gt;=前提条件!$H$15,$D252&lt;=前提条件!$I$15),OR($D252&gt;=前提条件!$H$15,$D252&lt;=前提条件!$I$15)),1,0)</f>
        <v>0</v>
      </c>
    </row>
    <row r="253" customFormat="false" ht="15" hidden="false" customHeight="false" outlineLevel="0" collapsed="false">
      <c r="A253" s="48" t="n">
        <v>9</v>
      </c>
      <c r="B253" s="48" t="n">
        <v>7</v>
      </c>
      <c r="C253" s="48" t="str">
        <f aca="false">A253&amp;"/"&amp;B253</f>
        <v>9/7</v>
      </c>
      <c r="D253" s="48" t="n">
        <f aca="false">A253*100+B253</f>
        <v>907</v>
      </c>
      <c r="E253" s="45" t="n">
        <f aca="false">IF(SUM(J253:K253)&gt;0,前提条件!$B$6,前提条件!$B$8)</f>
        <v>6</v>
      </c>
      <c r="F253" s="48" t="str">
        <f aca="false">IFERROR(INDEX(前提条件!$B$12:$B$15,MATCH(1,L253:O253,0)),"未設定")</f>
        <v>遅延形</v>
      </c>
      <c r="G253" s="48" t="str">
        <f aca="false">IFERROR(INDEX(前提条件!$C$12:$C$15,MATCH(1,L253:O253,0)),"未設定")</f>
        <v>夏期</v>
      </c>
      <c r="H253" s="44" t="str">
        <f aca="false">"S値+"&amp;E253&amp;"／"&amp;F253&amp;"（"&amp;G253&amp;"）"</f>
        <v>S値+6／遅延形（夏期）</v>
      </c>
      <c r="J253" s="14" t="n">
        <f aca="false">IF(IF(前提条件!$G$6&lt;=前提条件!$H$6,AND($D253&gt;=前提条件!$G$6,$D253&lt;=前提条件!$H$6),OR($D253&gt;=前提条件!$G$6,$D253&lt;=前提条件!$H$6)),1,0)</f>
        <v>1</v>
      </c>
      <c r="K253" s="14" t="n">
        <f aca="false">IF(IF(前提条件!$G$7&lt;=前提条件!$H$7,AND($D253&gt;=前提条件!$G$7,$D253&lt;=前提条件!$H$7),OR($D253&gt;=前提条件!$G$7,$D253&lt;=前提条件!$H$7)),1,0)</f>
        <v>0</v>
      </c>
      <c r="L253" s="14" t="n">
        <f aca="false">IF(IF(前提条件!$H$12&lt;=前提条件!$I$12,AND($D253&gt;=前提条件!$H$12,$D253&lt;=前提条件!$I$12),OR($D253&gt;=前提条件!$H$12,$D253&lt;=前提条件!$I$12)),1,0)</f>
        <v>0</v>
      </c>
      <c r="M253" s="14" t="n">
        <f aca="false">IF(IF(前提条件!$H$13&lt;=前提条件!$I$13,AND($D253&gt;=前提条件!$H$13,$D253&lt;=前提条件!$I$13),OR($D253&gt;=前提条件!$H$13,$D253&lt;=前提条件!$I$13)),1,0)</f>
        <v>1</v>
      </c>
      <c r="N253" s="14" t="n">
        <f aca="false">IF(IF(前提条件!$H$14&lt;=前提条件!$I$14,AND($D253&gt;=前提条件!$H$14,$D253&lt;=前提条件!$I$14),OR($D253&gt;=前提条件!$H$14,$D253&lt;=前提条件!$I$14)),1,0)</f>
        <v>0</v>
      </c>
      <c r="O253" s="14" t="n">
        <f aca="false">IF(IF(前提条件!$H$15&lt;=前提条件!$I$15,AND($D253&gt;=前提条件!$H$15,$D253&lt;=前提条件!$I$15),OR($D253&gt;=前提条件!$H$15,$D253&lt;=前提条件!$I$15)),1,0)</f>
        <v>0</v>
      </c>
    </row>
    <row r="254" customFormat="false" ht="15" hidden="false" customHeight="false" outlineLevel="0" collapsed="false">
      <c r="A254" s="48" t="n">
        <v>9</v>
      </c>
      <c r="B254" s="48" t="n">
        <v>8</v>
      </c>
      <c r="C254" s="48" t="str">
        <f aca="false">A254&amp;"/"&amp;B254</f>
        <v>9/8</v>
      </c>
      <c r="D254" s="48" t="n">
        <f aca="false">A254*100+B254</f>
        <v>908</v>
      </c>
      <c r="E254" s="45" t="n">
        <f aca="false">IF(SUM(J254:K254)&gt;0,前提条件!$B$6,前提条件!$B$8)</f>
        <v>6</v>
      </c>
      <c r="F254" s="48" t="str">
        <f aca="false">IFERROR(INDEX(前提条件!$B$12:$B$15,MATCH(1,L254:O254,0)),"未設定")</f>
        <v>遅延形</v>
      </c>
      <c r="G254" s="48" t="str">
        <f aca="false">IFERROR(INDEX(前提条件!$C$12:$C$15,MATCH(1,L254:O254,0)),"未設定")</f>
        <v>夏期</v>
      </c>
      <c r="H254" s="44" t="str">
        <f aca="false">"S値+"&amp;E254&amp;"／"&amp;F254&amp;"（"&amp;G254&amp;"）"</f>
        <v>S値+6／遅延形（夏期）</v>
      </c>
      <c r="J254" s="14" t="n">
        <f aca="false">IF(IF(前提条件!$G$6&lt;=前提条件!$H$6,AND($D254&gt;=前提条件!$G$6,$D254&lt;=前提条件!$H$6),OR($D254&gt;=前提条件!$G$6,$D254&lt;=前提条件!$H$6)),1,0)</f>
        <v>1</v>
      </c>
      <c r="K254" s="14" t="n">
        <f aca="false">IF(IF(前提条件!$G$7&lt;=前提条件!$H$7,AND($D254&gt;=前提条件!$G$7,$D254&lt;=前提条件!$H$7),OR($D254&gt;=前提条件!$G$7,$D254&lt;=前提条件!$H$7)),1,0)</f>
        <v>0</v>
      </c>
      <c r="L254" s="14" t="n">
        <f aca="false">IF(IF(前提条件!$H$12&lt;=前提条件!$I$12,AND($D254&gt;=前提条件!$H$12,$D254&lt;=前提条件!$I$12),OR($D254&gt;=前提条件!$H$12,$D254&lt;=前提条件!$I$12)),1,0)</f>
        <v>0</v>
      </c>
      <c r="M254" s="14" t="n">
        <f aca="false">IF(IF(前提条件!$H$13&lt;=前提条件!$I$13,AND($D254&gt;=前提条件!$H$13,$D254&lt;=前提条件!$I$13),OR($D254&gt;=前提条件!$H$13,$D254&lt;=前提条件!$I$13)),1,0)</f>
        <v>1</v>
      </c>
      <c r="N254" s="14" t="n">
        <f aca="false">IF(IF(前提条件!$H$14&lt;=前提条件!$I$14,AND($D254&gt;=前提条件!$H$14,$D254&lt;=前提条件!$I$14),OR($D254&gt;=前提条件!$H$14,$D254&lt;=前提条件!$I$14)),1,0)</f>
        <v>0</v>
      </c>
      <c r="O254" s="14" t="n">
        <f aca="false">IF(IF(前提条件!$H$15&lt;=前提条件!$I$15,AND($D254&gt;=前提条件!$H$15,$D254&lt;=前提条件!$I$15),OR($D254&gt;=前提条件!$H$15,$D254&lt;=前提条件!$I$15)),1,0)</f>
        <v>0</v>
      </c>
    </row>
    <row r="255" customFormat="false" ht="15" hidden="false" customHeight="false" outlineLevel="0" collapsed="false">
      <c r="A255" s="48" t="n">
        <v>9</v>
      </c>
      <c r="B255" s="48" t="n">
        <v>9</v>
      </c>
      <c r="C255" s="48" t="str">
        <f aca="false">A255&amp;"/"&amp;B255</f>
        <v>9/9</v>
      </c>
      <c r="D255" s="48" t="n">
        <f aca="false">A255*100+B255</f>
        <v>909</v>
      </c>
      <c r="E255" s="45" t="n">
        <f aca="false">IF(SUM(J255:K255)&gt;0,前提条件!$B$6,前提条件!$B$8)</f>
        <v>6</v>
      </c>
      <c r="F255" s="48" t="str">
        <f aca="false">IFERROR(INDEX(前提条件!$B$12:$B$15,MATCH(1,L255:O255,0)),"未設定")</f>
        <v>遅延形</v>
      </c>
      <c r="G255" s="48" t="str">
        <f aca="false">IFERROR(INDEX(前提条件!$C$12:$C$15,MATCH(1,L255:O255,0)),"未設定")</f>
        <v>夏期</v>
      </c>
      <c r="H255" s="44" t="str">
        <f aca="false">"S値+"&amp;E255&amp;"／"&amp;F255&amp;"（"&amp;G255&amp;"）"</f>
        <v>S値+6／遅延形（夏期）</v>
      </c>
      <c r="J255" s="14" t="n">
        <f aca="false">IF(IF(前提条件!$G$6&lt;=前提条件!$H$6,AND($D255&gt;=前提条件!$G$6,$D255&lt;=前提条件!$H$6),OR($D255&gt;=前提条件!$G$6,$D255&lt;=前提条件!$H$6)),1,0)</f>
        <v>1</v>
      </c>
      <c r="K255" s="14" t="n">
        <f aca="false">IF(IF(前提条件!$G$7&lt;=前提条件!$H$7,AND($D255&gt;=前提条件!$G$7,$D255&lt;=前提条件!$H$7),OR($D255&gt;=前提条件!$G$7,$D255&lt;=前提条件!$H$7)),1,0)</f>
        <v>0</v>
      </c>
      <c r="L255" s="14" t="n">
        <f aca="false">IF(IF(前提条件!$H$12&lt;=前提条件!$I$12,AND($D255&gt;=前提条件!$H$12,$D255&lt;=前提条件!$I$12),OR($D255&gt;=前提条件!$H$12,$D255&lt;=前提条件!$I$12)),1,0)</f>
        <v>0</v>
      </c>
      <c r="M255" s="14" t="n">
        <f aca="false">IF(IF(前提条件!$H$13&lt;=前提条件!$I$13,AND($D255&gt;=前提条件!$H$13,$D255&lt;=前提条件!$I$13),OR($D255&gt;=前提条件!$H$13,$D255&lt;=前提条件!$I$13)),1,0)</f>
        <v>1</v>
      </c>
      <c r="N255" s="14" t="n">
        <f aca="false">IF(IF(前提条件!$H$14&lt;=前提条件!$I$14,AND($D255&gt;=前提条件!$H$14,$D255&lt;=前提条件!$I$14),OR($D255&gt;=前提条件!$H$14,$D255&lt;=前提条件!$I$14)),1,0)</f>
        <v>0</v>
      </c>
      <c r="O255" s="14" t="n">
        <f aca="false">IF(IF(前提条件!$H$15&lt;=前提条件!$I$15,AND($D255&gt;=前提条件!$H$15,$D255&lt;=前提条件!$I$15),OR($D255&gt;=前提条件!$H$15,$D255&lt;=前提条件!$I$15)),1,0)</f>
        <v>0</v>
      </c>
    </row>
    <row r="256" customFormat="false" ht="15" hidden="false" customHeight="false" outlineLevel="0" collapsed="false">
      <c r="A256" s="48" t="n">
        <v>9</v>
      </c>
      <c r="B256" s="48" t="n">
        <v>10</v>
      </c>
      <c r="C256" s="48" t="str">
        <f aca="false">A256&amp;"/"&amp;B256</f>
        <v>9/10</v>
      </c>
      <c r="D256" s="48" t="n">
        <f aca="false">A256*100+B256</f>
        <v>910</v>
      </c>
      <c r="E256" s="45" t="n">
        <f aca="false">IF(SUM(J256:K256)&gt;0,前提条件!$B$6,前提条件!$B$8)</f>
        <v>6</v>
      </c>
      <c r="F256" s="48" t="str">
        <f aca="false">IFERROR(INDEX(前提条件!$B$12:$B$15,MATCH(1,L256:O256,0)),"未設定")</f>
        <v>遅延形</v>
      </c>
      <c r="G256" s="48" t="str">
        <f aca="false">IFERROR(INDEX(前提条件!$C$12:$C$15,MATCH(1,L256:O256,0)),"未設定")</f>
        <v>夏期</v>
      </c>
      <c r="H256" s="44" t="str">
        <f aca="false">"S値+"&amp;E256&amp;"／"&amp;F256&amp;"（"&amp;G256&amp;"）"</f>
        <v>S値+6／遅延形（夏期）</v>
      </c>
      <c r="J256" s="14" t="n">
        <f aca="false">IF(IF(前提条件!$G$6&lt;=前提条件!$H$6,AND($D256&gt;=前提条件!$G$6,$D256&lt;=前提条件!$H$6),OR($D256&gt;=前提条件!$G$6,$D256&lt;=前提条件!$H$6)),1,0)</f>
        <v>1</v>
      </c>
      <c r="K256" s="14" t="n">
        <f aca="false">IF(IF(前提条件!$G$7&lt;=前提条件!$H$7,AND($D256&gt;=前提条件!$G$7,$D256&lt;=前提条件!$H$7),OR($D256&gt;=前提条件!$G$7,$D256&lt;=前提条件!$H$7)),1,0)</f>
        <v>0</v>
      </c>
      <c r="L256" s="14" t="n">
        <f aca="false">IF(IF(前提条件!$H$12&lt;=前提条件!$I$12,AND($D256&gt;=前提条件!$H$12,$D256&lt;=前提条件!$I$12),OR($D256&gt;=前提条件!$H$12,$D256&lt;=前提条件!$I$12)),1,0)</f>
        <v>0</v>
      </c>
      <c r="M256" s="14" t="n">
        <f aca="false">IF(IF(前提条件!$H$13&lt;=前提条件!$I$13,AND($D256&gt;=前提条件!$H$13,$D256&lt;=前提条件!$I$13),OR($D256&gt;=前提条件!$H$13,$D256&lt;=前提条件!$I$13)),1,0)</f>
        <v>1</v>
      </c>
      <c r="N256" s="14" t="n">
        <f aca="false">IF(IF(前提条件!$H$14&lt;=前提条件!$I$14,AND($D256&gt;=前提条件!$H$14,$D256&lt;=前提条件!$I$14),OR($D256&gt;=前提条件!$H$14,$D256&lt;=前提条件!$I$14)),1,0)</f>
        <v>0</v>
      </c>
      <c r="O256" s="14" t="n">
        <f aca="false">IF(IF(前提条件!$H$15&lt;=前提条件!$I$15,AND($D256&gt;=前提条件!$H$15,$D256&lt;=前提条件!$I$15),OR($D256&gt;=前提条件!$H$15,$D256&lt;=前提条件!$I$15)),1,0)</f>
        <v>0</v>
      </c>
    </row>
    <row r="257" customFormat="false" ht="15" hidden="false" customHeight="false" outlineLevel="0" collapsed="false">
      <c r="A257" s="48" t="n">
        <v>9</v>
      </c>
      <c r="B257" s="48" t="n">
        <v>11</v>
      </c>
      <c r="C257" s="48" t="str">
        <f aca="false">A257&amp;"/"&amp;B257</f>
        <v>9/11</v>
      </c>
      <c r="D257" s="48" t="n">
        <f aca="false">A257*100+B257</f>
        <v>911</v>
      </c>
      <c r="E257" s="45" t="n">
        <f aca="false">IF(SUM(J257:K257)&gt;0,前提条件!$B$6,前提条件!$B$8)</f>
        <v>6</v>
      </c>
      <c r="F257" s="48" t="str">
        <f aca="false">IFERROR(INDEX(前提条件!$B$12:$B$15,MATCH(1,L257:O257,0)),"未設定")</f>
        <v>遅延形</v>
      </c>
      <c r="G257" s="48" t="str">
        <f aca="false">IFERROR(INDEX(前提条件!$C$12:$C$15,MATCH(1,L257:O257,0)),"未設定")</f>
        <v>夏期</v>
      </c>
      <c r="H257" s="44" t="str">
        <f aca="false">"S値+"&amp;E257&amp;"／"&amp;F257&amp;"（"&amp;G257&amp;"）"</f>
        <v>S値+6／遅延形（夏期）</v>
      </c>
      <c r="J257" s="14" t="n">
        <f aca="false">IF(IF(前提条件!$G$6&lt;=前提条件!$H$6,AND($D257&gt;=前提条件!$G$6,$D257&lt;=前提条件!$H$6),OR($D257&gt;=前提条件!$G$6,$D257&lt;=前提条件!$H$6)),1,0)</f>
        <v>1</v>
      </c>
      <c r="K257" s="14" t="n">
        <f aca="false">IF(IF(前提条件!$G$7&lt;=前提条件!$H$7,AND($D257&gt;=前提条件!$G$7,$D257&lt;=前提条件!$H$7),OR($D257&gt;=前提条件!$G$7,$D257&lt;=前提条件!$H$7)),1,0)</f>
        <v>0</v>
      </c>
      <c r="L257" s="14" t="n">
        <f aca="false">IF(IF(前提条件!$H$12&lt;=前提条件!$I$12,AND($D257&gt;=前提条件!$H$12,$D257&lt;=前提条件!$I$12),OR($D257&gt;=前提条件!$H$12,$D257&lt;=前提条件!$I$12)),1,0)</f>
        <v>0</v>
      </c>
      <c r="M257" s="14" t="n">
        <f aca="false">IF(IF(前提条件!$H$13&lt;=前提条件!$I$13,AND($D257&gt;=前提条件!$H$13,$D257&lt;=前提条件!$I$13),OR($D257&gt;=前提条件!$H$13,$D257&lt;=前提条件!$I$13)),1,0)</f>
        <v>1</v>
      </c>
      <c r="N257" s="14" t="n">
        <f aca="false">IF(IF(前提条件!$H$14&lt;=前提条件!$I$14,AND($D257&gt;=前提条件!$H$14,$D257&lt;=前提条件!$I$14),OR($D257&gt;=前提条件!$H$14,$D257&lt;=前提条件!$I$14)),1,0)</f>
        <v>0</v>
      </c>
      <c r="O257" s="14" t="n">
        <f aca="false">IF(IF(前提条件!$H$15&lt;=前提条件!$I$15,AND($D257&gt;=前提条件!$H$15,$D257&lt;=前提条件!$I$15),OR($D257&gt;=前提条件!$H$15,$D257&lt;=前提条件!$I$15)),1,0)</f>
        <v>0</v>
      </c>
    </row>
    <row r="258" customFormat="false" ht="15" hidden="false" customHeight="false" outlineLevel="0" collapsed="false">
      <c r="A258" s="48" t="n">
        <v>9</v>
      </c>
      <c r="B258" s="48" t="n">
        <v>12</v>
      </c>
      <c r="C258" s="48" t="str">
        <f aca="false">A258&amp;"/"&amp;B258</f>
        <v>9/12</v>
      </c>
      <c r="D258" s="48" t="n">
        <f aca="false">A258*100+B258</f>
        <v>912</v>
      </c>
      <c r="E258" s="45" t="n">
        <f aca="false">IF(SUM(J258:K258)&gt;0,前提条件!$B$6,前提条件!$B$8)</f>
        <v>6</v>
      </c>
      <c r="F258" s="48" t="str">
        <f aca="false">IFERROR(INDEX(前提条件!$B$12:$B$15,MATCH(1,L258:O258,0)),"未設定")</f>
        <v>遅延形</v>
      </c>
      <c r="G258" s="48" t="str">
        <f aca="false">IFERROR(INDEX(前提条件!$C$12:$C$15,MATCH(1,L258:O258,0)),"未設定")</f>
        <v>夏期</v>
      </c>
      <c r="H258" s="44" t="str">
        <f aca="false">"S値+"&amp;E258&amp;"／"&amp;F258&amp;"（"&amp;G258&amp;"）"</f>
        <v>S値+6／遅延形（夏期）</v>
      </c>
      <c r="J258" s="14" t="n">
        <f aca="false">IF(IF(前提条件!$G$6&lt;=前提条件!$H$6,AND($D258&gt;=前提条件!$G$6,$D258&lt;=前提条件!$H$6),OR($D258&gt;=前提条件!$G$6,$D258&lt;=前提条件!$H$6)),1,0)</f>
        <v>1</v>
      </c>
      <c r="K258" s="14" t="n">
        <f aca="false">IF(IF(前提条件!$G$7&lt;=前提条件!$H$7,AND($D258&gt;=前提条件!$G$7,$D258&lt;=前提条件!$H$7),OR($D258&gt;=前提条件!$G$7,$D258&lt;=前提条件!$H$7)),1,0)</f>
        <v>0</v>
      </c>
      <c r="L258" s="14" t="n">
        <f aca="false">IF(IF(前提条件!$H$12&lt;=前提条件!$I$12,AND($D258&gt;=前提条件!$H$12,$D258&lt;=前提条件!$I$12),OR($D258&gt;=前提条件!$H$12,$D258&lt;=前提条件!$I$12)),1,0)</f>
        <v>0</v>
      </c>
      <c r="M258" s="14" t="n">
        <f aca="false">IF(IF(前提条件!$H$13&lt;=前提条件!$I$13,AND($D258&gt;=前提条件!$H$13,$D258&lt;=前提条件!$I$13),OR($D258&gt;=前提条件!$H$13,$D258&lt;=前提条件!$I$13)),1,0)</f>
        <v>1</v>
      </c>
      <c r="N258" s="14" t="n">
        <f aca="false">IF(IF(前提条件!$H$14&lt;=前提条件!$I$14,AND($D258&gt;=前提条件!$H$14,$D258&lt;=前提条件!$I$14),OR($D258&gt;=前提条件!$H$14,$D258&lt;=前提条件!$I$14)),1,0)</f>
        <v>0</v>
      </c>
      <c r="O258" s="14" t="n">
        <f aca="false">IF(IF(前提条件!$H$15&lt;=前提条件!$I$15,AND($D258&gt;=前提条件!$H$15,$D258&lt;=前提条件!$I$15),OR($D258&gt;=前提条件!$H$15,$D258&lt;=前提条件!$I$15)),1,0)</f>
        <v>0</v>
      </c>
    </row>
    <row r="259" customFormat="false" ht="15" hidden="false" customHeight="false" outlineLevel="0" collapsed="false">
      <c r="A259" s="48" t="n">
        <v>9</v>
      </c>
      <c r="B259" s="48" t="n">
        <v>13</v>
      </c>
      <c r="C259" s="48" t="str">
        <f aca="false">A259&amp;"/"&amp;B259</f>
        <v>9/13</v>
      </c>
      <c r="D259" s="48" t="n">
        <f aca="false">A259*100+B259</f>
        <v>913</v>
      </c>
      <c r="E259" s="45" t="n">
        <f aca="false">IF(SUM(J259:K259)&gt;0,前提条件!$B$6,前提条件!$B$8)</f>
        <v>6</v>
      </c>
      <c r="F259" s="48" t="str">
        <f aca="false">IFERROR(INDEX(前提条件!$B$12:$B$15,MATCH(1,L259:O259,0)),"未設定")</f>
        <v>遅延形</v>
      </c>
      <c r="G259" s="48" t="str">
        <f aca="false">IFERROR(INDEX(前提条件!$C$12:$C$15,MATCH(1,L259:O259,0)),"未設定")</f>
        <v>夏期</v>
      </c>
      <c r="H259" s="44" t="str">
        <f aca="false">"S値+"&amp;E259&amp;"／"&amp;F259&amp;"（"&amp;G259&amp;"）"</f>
        <v>S値+6／遅延形（夏期）</v>
      </c>
      <c r="J259" s="14" t="n">
        <f aca="false">IF(IF(前提条件!$G$6&lt;=前提条件!$H$6,AND($D259&gt;=前提条件!$G$6,$D259&lt;=前提条件!$H$6),OR($D259&gt;=前提条件!$G$6,$D259&lt;=前提条件!$H$6)),1,0)</f>
        <v>1</v>
      </c>
      <c r="K259" s="14" t="n">
        <f aca="false">IF(IF(前提条件!$G$7&lt;=前提条件!$H$7,AND($D259&gt;=前提条件!$G$7,$D259&lt;=前提条件!$H$7),OR($D259&gt;=前提条件!$G$7,$D259&lt;=前提条件!$H$7)),1,0)</f>
        <v>0</v>
      </c>
      <c r="L259" s="14" t="n">
        <f aca="false">IF(IF(前提条件!$H$12&lt;=前提条件!$I$12,AND($D259&gt;=前提条件!$H$12,$D259&lt;=前提条件!$I$12),OR($D259&gt;=前提条件!$H$12,$D259&lt;=前提条件!$I$12)),1,0)</f>
        <v>0</v>
      </c>
      <c r="M259" s="14" t="n">
        <f aca="false">IF(IF(前提条件!$H$13&lt;=前提条件!$I$13,AND($D259&gt;=前提条件!$H$13,$D259&lt;=前提条件!$I$13),OR($D259&gt;=前提条件!$H$13,$D259&lt;=前提条件!$I$13)),1,0)</f>
        <v>1</v>
      </c>
      <c r="N259" s="14" t="n">
        <f aca="false">IF(IF(前提条件!$H$14&lt;=前提条件!$I$14,AND($D259&gt;=前提条件!$H$14,$D259&lt;=前提条件!$I$14),OR($D259&gt;=前提条件!$H$14,$D259&lt;=前提条件!$I$14)),1,0)</f>
        <v>0</v>
      </c>
      <c r="O259" s="14" t="n">
        <f aca="false">IF(IF(前提条件!$H$15&lt;=前提条件!$I$15,AND($D259&gt;=前提条件!$H$15,$D259&lt;=前提条件!$I$15),OR($D259&gt;=前提条件!$H$15,$D259&lt;=前提条件!$I$15)),1,0)</f>
        <v>0</v>
      </c>
    </row>
    <row r="260" customFormat="false" ht="15" hidden="false" customHeight="false" outlineLevel="0" collapsed="false">
      <c r="A260" s="48" t="n">
        <v>9</v>
      </c>
      <c r="B260" s="48" t="n">
        <v>14</v>
      </c>
      <c r="C260" s="48" t="str">
        <f aca="false">A260&amp;"/"&amp;B260</f>
        <v>9/14</v>
      </c>
      <c r="D260" s="48" t="n">
        <f aca="false">A260*100+B260</f>
        <v>914</v>
      </c>
      <c r="E260" s="45" t="n">
        <f aca="false">IF(SUM(J260:K260)&gt;0,前提条件!$B$6,前提条件!$B$8)</f>
        <v>6</v>
      </c>
      <c r="F260" s="48" t="str">
        <f aca="false">IFERROR(INDEX(前提条件!$B$12:$B$15,MATCH(1,L260:O260,0)),"未設定")</f>
        <v>遅延形</v>
      </c>
      <c r="G260" s="48" t="str">
        <f aca="false">IFERROR(INDEX(前提条件!$C$12:$C$15,MATCH(1,L260:O260,0)),"未設定")</f>
        <v>夏期</v>
      </c>
      <c r="H260" s="44" t="str">
        <f aca="false">"S値+"&amp;E260&amp;"／"&amp;F260&amp;"（"&amp;G260&amp;"）"</f>
        <v>S値+6／遅延形（夏期）</v>
      </c>
      <c r="J260" s="14" t="n">
        <f aca="false">IF(IF(前提条件!$G$6&lt;=前提条件!$H$6,AND($D260&gt;=前提条件!$G$6,$D260&lt;=前提条件!$H$6),OR($D260&gt;=前提条件!$G$6,$D260&lt;=前提条件!$H$6)),1,0)</f>
        <v>1</v>
      </c>
      <c r="K260" s="14" t="n">
        <f aca="false">IF(IF(前提条件!$G$7&lt;=前提条件!$H$7,AND($D260&gt;=前提条件!$G$7,$D260&lt;=前提条件!$H$7),OR($D260&gt;=前提条件!$G$7,$D260&lt;=前提条件!$H$7)),1,0)</f>
        <v>0</v>
      </c>
      <c r="L260" s="14" t="n">
        <f aca="false">IF(IF(前提条件!$H$12&lt;=前提条件!$I$12,AND($D260&gt;=前提条件!$H$12,$D260&lt;=前提条件!$I$12),OR($D260&gt;=前提条件!$H$12,$D260&lt;=前提条件!$I$12)),1,0)</f>
        <v>0</v>
      </c>
      <c r="M260" s="14" t="n">
        <f aca="false">IF(IF(前提条件!$H$13&lt;=前提条件!$I$13,AND($D260&gt;=前提条件!$H$13,$D260&lt;=前提条件!$I$13),OR($D260&gt;=前提条件!$H$13,$D260&lt;=前提条件!$I$13)),1,0)</f>
        <v>1</v>
      </c>
      <c r="N260" s="14" t="n">
        <f aca="false">IF(IF(前提条件!$H$14&lt;=前提条件!$I$14,AND($D260&gt;=前提条件!$H$14,$D260&lt;=前提条件!$I$14),OR($D260&gt;=前提条件!$H$14,$D260&lt;=前提条件!$I$14)),1,0)</f>
        <v>0</v>
      </c>
      <c r="O260" s="14" t="n">
        <f aca="false">IF(IF(前提条件!$H$15&lt;=前提条件!$I$15,AND($D260&gt;=前提条件!$H$15,$D260&lt;=前提条件!$I$15),OR($D260&gt;=前提条件!$H$15,$D260&lt;=前提条件!$I$15)),1,0)</f>
        <v>0</v>
      </c>
    </row>
    <row r="261" customFormat="false" ht="15" hidden="false" customHeight="false" outlineLevel="0" collapsed="false">
      <c r="A261" s="48" t="n">
        <v>9</v>
      </c>
      <c r="B261" s="48" t="n">
        <v>15</v>
      </c>
      <c r="C261" s="48" t="str">
        <f aca="false">A261&amp;"/"&amp;B261</f>
        <v>9/15</v>
      </c>
      <c r="D261" s="48" t="n">
        <f aca="false">A261*100+B261</f>
        <v>915</v>
      </c>
      <c r="E261" s="45" t="n">
        <f aca="false">IF(SUM(J261:K261)&gt;0,前提条件!$B$6,前提条件!$B$8)</f>
        <v>3</v>
      </c>
      <c r="F261" s="48" t="str">
        <f aca="false">IFERROR(INDEX(前提条件!$B$12:$B$15,MATCH(1,L261:O261,0)),"未設定")</f>
        <v>遅延形</v>
      </c>
      <c r="G261" s="48" t="str">
        <f aca="false">IFERROR(INDEX(前提条件!$C$12:$C$15,MATCH(1,L261:O261,0)),"未設定")</f>
        <v>夏期</v>
      </c>
      <c r="H261" s="44" t="str">
        <f aca="false">"S値+"&amp;E261&amp;"／"&amp;F261&amp;"（"&amp;G261&amp;"）"</f>
        <v>S値+3／遅延形（夏期）</v>
      </c>
      <c r="J261" s="14" t="n">
        <f aca="false">IF(IF(前提条件!$G$6&lt;=前提条件!$H$6,AND($D261&gt;=前提条件!$G$6,$D261&lt;=前提条件!$H$6),OR($D261&gt;=前提条件!$G$6,$D261&lt;=前提条件!$H$6)),1,0)</f>
        <v>0</v>
      </c>
      <c r="K261" s="14" t="n">
        <f aca="false">IF(IF(前提条件!$G$7&lt;=前提条件!$H$7,AND($D261&gt;=前提条件!$G$7,$D261&lt;=前提条件!$H$7),OR($D261&gt;=前提条件!$G$7,$D261&lt;=前提条件!$H$7)),1,0)</f>
        <v>0</v>
      </c>
      <c r="L261" s="14" t="n">
        <f aca="false">IF(IF(前提条件!$H$12&lt;=前提条件!$I$12,AND($D261&gt;=前提条件!$H$12,$D261&lt;=前提条件!$I$12),OR($D261&gt;=前提条件!$H$12,$D261&lt;=前提条件!$I$12)),1,0)</f>
        <v>0</v>
      </c>
      <c r="M261" s="14" t="n">
        <f aca="false">IF(IF(前提条件!$H$13&lt;=前提条件!$I$13,AND($D261&gt;=前提条件!$H$13,$D261&lt;=前提条件!$I$13),OR($D261&gt;=前提条件!$H$13,$D261&lt;=前提条件!$I$13)),1,0)</f>
        <v>1</v>
      </c>
      <c r="N261" s="14" t="n">
        <f aca="false">IF(IF(前提条件!$H$14&lt;=前提条件!$I$14,AND($D261&gt;=前提条件!$H$14,$D261&lt;=前提条件!$I$14),OR($D261&gt;=前提条件!$H$14,$D261&lt;=前提条件!$I$14)),1,0)</f>
        <v>0</v>
      </c>
      <c r="O261" s="14" t="n">
        <f aca="false">IF(IF(前提条件!$H$15&lt;=前提条件!$I$15,AND($D261&gt;=前提条件!$H$15,$D261&lt;=前提条件!$I$15),OR($D261&gt;=前提条件!$H$15,$D261&lt;=前提条件!$I$15)),1,0)</f>
        <v>0</v>
      </c>
    </row>
    <row r="262" customFormat="false" ht="15" hidden="false" customHeight="false" outlineLevel="0" collapsed="false">
      <c r="A262" s="48" t="n">
        <v>9</v>
      </c>
      <c r="B262" s="48" t="n">
        <v>16</v>
      </c>
      <c r="C262" s="48" t="str">
        <f aca="false">A262&amp;"/"&amp;B262</f>
        <v>9/16</v>
      </c>
      <c r="D262" s="48" t="n">
        <f aca="false">A262*100+B262</f>
        <v>916</v>
      </c>
      <c r="E262" s="45" t="n">
        <f aca="false">IF(SUM(J262:K262)&gt;0,前提条件!$B$6,前提条件!$B$8)</f>
        <v>3</v>
      </c>
      <c r="F262" s="48" t="str">
        <f aca="false">IFERROR(INDEX(前提条件!$B$12:$B$15,MATCH(1,L262:O262,0)),"未設定")</f>
        <v>遅延形</v>
      </c>
      <c r="G262" s="48" t="str">
        <f aca="false">IFERROR(INDEX(前提条件!$C$12:$C$15,MATCH(1,L262:O262,0)),"未設定")</f>
        <v>夏期</v>
      </c>
      <c r="H262" s="44" t="str">
        <f aca="false">"S値+"&amp;E262&amp;"／"&amp;F262&amp;"（"&amp;G262&amp;"）"</f>
        <v>S値+3／遅延形（夏期）</v>
      </c>
      <c r="J262" s="14" t="n">
        <f aca="false">IF(IF(前提条件!$G$6&lt;=前提条件!$H$6,AND($D262&gt;=前提条件!$G$6,$D262&lt;=前提条件!$H$6),OR($D262&gt;=前提条件!$G$6,$D262&lt;=前提条件!$H$6)),1,0)</f>
        <v>0</v>
      </c>
      <c r="K262" s="14" t="n">
        <f aca="false">IF(IF(前提条件!$G$7&lt;=前提条件!$H$7,AND($D262&gt;=前提条件!$G$7,$D262&lt;=前提条件!$H$7),OR($D262&gt;=前提条件!$G$7,$D262&lt;=前提条件!$H$7)),1,0)</f>
        <v>0</v>
      </c>
      <c r="L262" s="14" t="n">
        <f aca="false">IF(IF(前提条件!$H$12&lt;=前提条件!$I$12,AND($D262&gt;=前提条件!$H$12,$D262&lt;=前提条件!$I$12),OR($D262&gt;=前提条件!$H$12,$D262&lt;=前提条件!$I$12)),1,0)</f>
        <v>0</v>
      </c>
      <c r="M262" s="14" t="n">
        <f aca="false">IF(IF(前提条件!$H$13&lt;=前提条件!$I$13,AND($D262&gt;=前提条件!$H$13,$D262&lt;=前提条件!$I$13),OR($D262&gt;=前提条件!$H$13,$D262&lt;=前提条件!$I$13)),1,0)</f>
        <v>1</v>
      </c>
      <c r="N262" s="14" t="n">
        <f aca="false">IF(IF(前提条件!$H$14&lt;=前提条件!$I$14,AND($D262&gt;=前提条件!$H$14,$D262&lt;=前提条件!$I$14),OR($D262&gt;=前提条件!$H$14,$D262&lt;=前提条件!$I$14)),1,0)</f>
        <v>0</v>
      </c>
      <c r="O262" s="14" t="n">
        <f aca="false">IF(IF(前提条件!$H$15&lt;=前提条件!$I$15,AND($D262&gt;=前提条件!$H$15,$D262&lt;=前提条件!$I$15),OR($D262&gt;=前提条件!$H$15,$D262&lt;=前提条件!$I$15)),1,0)</f>
        <v>0</v>
      </c>
    </row>
    <row r="263" customFormat="false" ht="15" hidden="false" customHeight="false" outlineLevel="0" collapsed="false">
      <c r="A263" s="48" t="n">
        <v>9</v>
      </c>
      <c r="B263" s="48" t="n">
        <v>17</v>
      </c>
      <c r="C263" s="48" t="str">
        <f aca="false">A263&amp;"/"&amp;B263</f>
        <v>9/17</v>
      </c>
      <c r="D263" s="48" t="n">
        <f aca="false">A263*100+B263</f>
        <v>917</v>
      </c>
      <c r="E263" s="45" t="n">
        <f aca="false">IF(SUM(J263:K263)&gt;0,前提条件!$B$6,前提条件!$B$8)</f>
        <v>3</v>
      </c>
      <c r="F263" s="48" t="str">
        <f aca="false">IFERROR(INDEX(前提条件!$B$12:$B$15,MATCH(1,L263:O263,0)),"未設定")</f>
        <v>遅延形</v>
      </c>
      <c r="G263" s="48" t="str">
        <f aca="false">IFERROR(INDEX(前提条件!$C$12:$C$15,MATCH(1,L263:O263,0)),"未設定")</f>
        <v>夏期</v>
      </c>
      <c r="H263" s="44" t="str">
        <f aca="false">"S値+"&amp;E263&amp;"／"&amp;F263&amp;"（"&amp;G263&amp;"）"</f>
        <v>S値+3／遅延形（夏期）</v>
      </c>
      <c r="J263" s="14" t="n">
        <f aca="false">IF(IF(前提条件!$G$6&lt;=前提条件!$H$6,AND($D263&gt;=前提条件!$G$6,$D263&lt;=前提条件!$H$6),OR($D263&gt;=前提条件!$G$6,$D263&lt;=前提条件!$H$6)),1,0)</f>
        <v>0</v>
      </c>
      <c r="K263" s="14" t="n">
        <f aca="false">IF(IF(前提条件!$G$7&lt;=前提条件!$H$7,AND($D263&gt;=前提条件!$G$7,$D263&lt;=前提条件!$H$7),OR($D263&gt;=前提条件!$G$7,$D263&lt;=前提条件!$H$7)),1,0)</f>
        <v>0</v>
      </c>
      <c r="L263" s="14" t="n">
        <f aca="false">IF(IF(前提条件!$H$12&lt;=前提条件!$I$12,AND($D263&gt;=前提条件!$H$12,$D263&lt;=前提条件!$I$12),OR($D263&gt;=前提条件!$H$12,$D263&lt;=前提条件!$I$12)),1,0)</f>
        <v>0</v>
      </c>
      <c r="M263" s="14" t="n">
        <f aca="false">IF(IF(前提条件!$H$13&lt;=前提条件!$I$13,AND($D263&gt;=前提条件!$H$13,$D263&lt;=前提条件!$I$13),OR($D263&gt;=前提条件!$H$13,$D263&lt;=前提条件!$I$13)),1,0)</f>
        <v>1</v>
      </c>
      <c r="N263" s="14" t="n">
        <f aca="false">IF(IF(前提条件!$H$14&lt;=前提条件!$I$14,AND($D263&gt;=前提条件!$H$14,$D263&lt;=前提条件!$I$14),OR($D263&gt;=前提条件!$H$14,$D263&lt;=前提条件!$I$14)),1,0)</f>
        <v>0</v>
      </c>
      <c r="O263" s="14" t="n">
        <f aca="false">IF(IF(前提条件!$H$15&lt;=前提条件!$I$15,AND($D263&gt;=前提条件!$H$15,$D263&lt;=前提条件!$I$15),OR($D263&gt;=前提条件!$H$15,$D263&lt;=前提条件!$I$15)),1,0)</f>
        <v>0</v>
      </c>
    </row>
    <row r="264" customFormat="false" ht="15" hidden="false" customHeight="false" outlineLevel="0" collapsed="false">
      <c r="A264" s="48" t="n">
        <v>9</v>
      </c>
      <c r="B264" s="48" t="n">
        <v>18</v>
      </c>
      <c r="C264" s="48" t="str">
        <f aca="false">A264&amp;"/"&amp;B264</f>
        <v>9/18</v>
      </c>
      <c r="D264" s="48" t="n">
        <f aca="false">A264*100+B264</f>
        <v>918</v>
      </c>
      <c r="E264" s="45" t="n">
        <f aca="false">IF(SUM(J264:K264)&gt;0,前提条件!$B$6,前提条件!$B$8)</f>
        <v>3</v>
      </c>
      <c r="F264" s="48" t="str">
        <f aca="false">IFERROR(INDEX(前提条件!$B$12:$B$15,MATCH(1,L264:O264,0)),"未設定")</f>
        <v>遅延形</v>
      </c>
      <c r="G264" s="48" t="str">
        <f aca="false">IFERROR(INDEX(前提条件!$C$12:$C$15,MATCH(1,L264:O264,0)),"未設定")</f>
        <v>夏期</v>
      </c>
      <c r="H264" s="44" t="str">
        <f aca="false">"S値+"&amp;E264&amp;"／"&amp;F264&amp;"（"&amp;G264&amp;"）"</f>
        <v>S値+3／遅延形（夏期）</v>
      </c>
      <c r="J264" s="14" t="n">
        <f aca="false">IF(IF(前提条件!$G$6&lt;=前提条件!$H$6,AND($D264&gt;=前提条件!$G$6,$D264&lt;=前提条件!$H$6),OR($D264&gt;=前提条件!$G$6,$D264&lt;=前提条件!$H$6)),1,0)</f>
        <v>0</v>
      </c>
      <c r="K264" s="14" t="n">
        <f aca="false">IF(IF(前提条件!$G$7&lt;=前提条件!$H$7,AND($D264&gt;=前提条件!$G$7,$D264&lt;=前提条件!$H$7),OR($D264&gt;=前提条件!$G$7,$D264&lt;=前提条件!$H$7)),1,0)</f>
        <v>0</v>
      </c>
      <c r="L264" s="14" t="n">
        <f aca="false">IF(IF(前提条件!$H$12&lt;=前提条件!$I$12,AND($D264&gt;=前提条件!$H$12,$D264&lt;=前提条件!$I$12),OR($D264&gt;=前提条件!$H$12,$D264&lt;=前提条件!$I$12)),1,0)</f>
        <v>0</v>
      </c>
      <c r="M264" s="14" t="n">
        <f aca="false">IF(IF(前提条件!$H$13&lt;=前提条件!$I$13,AND($D264&gt;=前提条件!$H$13,$D264&lt;=前提条件!$I$13),OR($D264&gt;=前提条件!$H$13,$D264&lt;=前提条件!$I$13)),1,0)</f>
        <v>1</v>
      </c>
      <c r="N264" s="14" t="n">
        <f aca="false">IF(IF(前提条件!$H$14&lt;=前提条件!$I$14,AND($D264&gt;=前提条件!$H$14,$D264&lt;=前提条件!$I$14),OR($D264&gt;=前提条件!$H$14,$D264&lt;=前提条件!$I$14)),1,0)</f>
        <v>0</v>
      </c>
      <c r="O264" s="14" t="n">
        <f aca="false">IF(IF(前提条件!$H$15&lt;=前提条件!$I$15,AND($D264&gt;=前提条件!$H$15,$D264&lt;=前提条件!$I$15),OR($D264&gt;=前提条件!$H$15,$D264&lt;=前提条件!$I$15)),1,0)</f>
        <v>0</v>
      </c>
    </row>
    <row r="265" customFormat="false" ht="15" hidden="false" customHeight="false" outlineLevel="0" collapsed="false">
      <c r="A265" s="48" t="n">
        <v>9</v>
      </c>
      <c r="B265" s="48" t="n">
        <v>19</v>
      </c>
      <c r="C265" s="48" t="str">
        <f aca="false">A265&amp;"/"&amp;B265</f>
        <v>9/19</v>
      </c>
      <c r="D265" s="48" t="n">
        <f aca="false">A265*100+B265</f>
        <v>919</v>
      </c>
      <c r="E265" s="45" t="n">
        <f aca="false">IF(SUM(J265:K265)&gt;0,前提条件!$B$6,前提条件!$B$8)</f>
        <v>3</v>
      </c>
      <c r="F265" s="48" t="str">
        <f aca="false">IFERROR(INDEX(前提条件!$B$12:$B$15,MATCH(1,L265:O265,0)),"未設定")</f>
        <v>遅延形</v>
      </c>
      <c r="G265" s="48" t="str">
        <f aca="false">IFERROR(INDEX(前提条件!$C$12:$C$15,MATCH(1,L265:O265,0)),"未設定")</f>
        <v>夏期</v>
      </c>
      <c r="H265" s="44" t="str">
        <f aca="false">"S値+"&amp;E265&amp;"／"&amp;F265&amp;"（"&amp;G265&amp;"）"</f>
        <v>S値+3／遅延形（夏期）</v>
      </c>
      <c r="J265" s="14" t="n">
        <f aca="false">IF(IF(前提条件!$G$6&lt;=前提条件!$H$6,AND($D265&gt;=前提条件!$G$6,$D265&lt;=前提条件!$H$6),OR($D265&gt;=前提条件!$G$6,$D265&lt;=前提条件!$H$6)),1,0)</f>
        <v>0</v>
      </c>
      <c r="K265" s="14" t="n">
        <f aca="false">IF(IF(前提条件!$G$7&lt;=前提条件!$H$7,AND($D265&gt;=前提条件!$G$7,$D265&lt;=前提条件!$H$7),OR($D265&gt;=前提条件!$G$7,$D265&lt;=前提条件!$H$7)),1,0)</f>
        <v>0</v>
      </c>
      <c r="L265" s="14" t="n">
        <f aca="false">IF(IF(前提条件!$H$12&lt;=前提条件!$I$12,AND($D265&gt;=前提条件!$H$12,$D265&lt;=前提条件!$I$12),OR($D265&gt;=前提条件!$H$12,$D265&lt;=前提条件!$I$12)),1,0)</f>
        <v>0</v>
      </c>
      <c r="M265" s="14" t="n">
        <f aca="false">IF(IF(前提条件!$H$13&lt;=前提条件!$I$13,AND($D265&gt;=前提条件!$H$13,$D265&lt;=前提条件!$I$13),OR($D265&gt;=前提条件!$H$13,$D265&lt;=前提条件!$I$13)),1,0)</f>
        <v>1</v>
      </c>
      <c r="N265" s="14" t="n">
        <f aca="false">IF(IF(前提条件!$H$14&lt;=前提条件!$I$14,AND($D265&gt;=前提条件!$H$14,$D265&lt;=前提条件!$I$14),OR($D265&gt;=前提条件!$H$14,$D265&lt;=前提条件!$I$14)),1,0)</f>
        <v>0</v>
      </c>
      <c r="O265" s="14" t="n">
        <f aca="false">IF(IF(前提条件!$H$15&lt;=前提条件!$I$15,AND($D265&gt;=前提条件!$H$15,$D265&lt;=前提条件!$I$15),OR($D265&gt;=前提条件!$H$15,$D265&lt;=前提条件!$I$15)),1,0)</f>
        <v>0</v>
      </c>
    </row>
    <row r="266" customFormat="false" ht="15" hidden="false" customHeight="false" outlineLevel="0" collapsed="false">
      <c r="A266" s="48" t="n">
        <v>9</v>
      </c>
      <c r="B266" s="48" t="n">
        <v>20</v>
      </c>
      <c r="C266" s="48" t="str">
        <f aca="false">A266&amp;"/"&amp;B266</f>
        <v>9/20</v>
      </c>
      <c r="D266" s="48" t="n">
        <f aca="false">A266*100+B266</f>
        <v>920</v>
      </c>
      <c r="E266" s="45" t="n">
        <f aca="false">IF(SUM(J266:K266)&gt;0,前提条件!$B$6,前提条件!$B$8)</f>
        <v>3</v>
      </c>
      <c r="F266" s="48" t="str">
        <f aca="false">IFERROR(INDEX(前提条件!$B$12:$B$15,MATCH(1,L266:O266,0)),"未設定")</f>
        <v>遅延形</v>
      </c>
      <c r="G266" s="48" t="str">
        <f aca="false">IFERROR(INDEX(前提条件!$C$12:$C$15,MATCH(1,L266:O266,0)),"未設定")</f>
        <v>夏期</v>
      </c>
      <c r="H266" s="44" t="str">
        <f aca="false">"S値+"&amp;E266&amp;"／"&amp;F266&amp;"（"&amp;G266&amp;"）"</f>
        <v>S値+3／遅延形（夏期）</v>
      </c>
      <c r="J266" s="14" t="n">
        <f aca="false">IF(IF(前提条件!$G$6&lt;=前提条件!$H$6,AND($D266&gt;=前提条件!$G$6,$D266&lt;=前提条件!$H$6),OR($D266&gt;=前提条件!$G$6,$D266&lt;=前提条件!$H$6)),1,0)</f>
        <v>0</v>
      </c>
      <c r="K266" s="14" t="n">
        <f aca="false">IF(IF(前提条件!$G$7&lt;=前提条件!$H$7,AND($D266&gt;=前提条件!$G$7,$D266&lt;=前提条件!$H$7),OR($D266&gt;=前提条件!$G$7,$D266&lt;=前提条件!$H$7)),1,0)</f>
        <v>0</v>
      </c>
      <c r="L266" s="14" t="n">
        <f aca="false">IF(IF(前提条件!$H$12&lt;=前提条件!$I$12,AND($D266&gt;=前提条件!$H$12,$D266&lt;=前提条件!$I$12),OR($D266&gt;=前提条件!$H$12,$D266&lt;=前提条件!$I$12)),1,0)</f>
        <v>0</v>
      </c>
      <c r="M266" s="14" t="n">
        <f aca="false">IF(IF(前提条件!$H$13&lt;=前提条件!$I$13,AND($D266&gt;=前提条件!$H$13,$D266&lt;=前提条件!$I$13),OR($D266&gt;=前提条件!$H$13,$D266&lt;=前提条件!$I$13)),1,0)</f>
        <v>1</v>
      </c>
      <c r="N266" s="14" t="n">
        <f aca="false">IF(IF(前提条件!$H$14&lt;=前提条件!$I$14,AND($D266&gt;=前提条件!$H$14,$D266&lt;=前提条件!$I$14),OR($D266&gt;=前提条件!$H$14,$D266&lt;=前提条件!$I$14)),1,0)</f>
        <v>0</v>
      </c>
      <c r="O266" s="14" t="n">
        <f aca="false">IF(IF(前提条件!$H$15&lt;=前提条件!$I$15,AND($D266&gt;=前提条件!$H$15,$D266&lt;=前提条件!$I$15),OR($D266&gt;=前提条件!$H$15,$D266&lt;=前提条件!$I$15)),1,0)</f>
        <v>0</v>
      </c>
    </row>
    <row r="267" customFormat="false" ht="15" hidden="false" customHeight="false" outlineLevel="0" collapsed="false">
      <c r="A267" s="48" t="n">
        <v>9</v>
      </c>
      <c r="B267" s="48" t="n">
        <v>21</v>
      </c>
      <c r="C267" s="48" t="str">
        <f aca="false">A267&amp;"/"&amp;B267</f>
        <v>9/21</v>
      </c>
      <c r="D267" s="48" t="n">
        <f aca="false">A267*100+B267</f>
        <v>921</v>
      </c>
      <c r="E267" s="45" t="n">
        <f aca="false">IF(SUM(J267:K267)&gt;0,前提条件!$B$6,前提条件!$B$8)</f>
        <v>3</v>
      </c>
      <c r="F267" s="48" t="str">
        <f aca="false">IFERROR(INDEX(前提条件!$B$12:$B$15,MATCH(1,L267:O267,0)),"未設定")</f>
        <v>遅延形</v>
      </c>
      <c r="G267" s="48" t="str">
        <f aca="false">IFERROR(INDEX(前提条件!$C$12:$C$15,MATCH(1,L267:O267,0)),"未設定")</f>
        <v>夏期</v>
      </c>
      <c r="H267" s="44" t="str">
        <f aca="false">"S値+"&amp;E267&amp;"／"&amp;F267&amp;"（"&amp;G267&amp;"）"</f>
        <v>S値+3／遅延形（夏期）</v>
      </c>
      <c r="J267" s="14" t="n">
        <f aca="false">IF(IF(前提条件!$G$6&lt;=前提条件!$H$6,AND($D267&gt;=前提条件!$G$6,$D267&lt;=前提条件!$H$6),OR($D267&gt;=前提条件!$G$6,$D267&lt;=前提条件!$H$6)),1,0)</f>
        <v>0</v>
      </c>
      <c r="K267" s="14" t="n">
        <f aca="false">IF(IF(前提条件!$G$7&lt;=前提条件!$H$7,AND($D267&gt;=前提条件!$G$7,$D267&lt;=前提条件!$H$7),OR($D267&gt;=前提条件!$G$7,$D267&lt;=前提条件!$H$7)),1,0)</f>
        <v>0</v>
      </c>
      <c r="L267" s="14" t="n">
        <f aca="false">IF(IF(前提条件!$H$12&lt;=前提条件!$I$12,AND($D267&gt;=前提条件!$H$12,$D267&lt;=前提条件!$I$12),OR($D267&gt;=前提条件!$H$12,$D267&lt;=前提条件!$I$12)),1,0)</f>
        <v>0</v>
      </c>
      <c r="M267" s="14" t="n">
        <f aca="false">IF(IF(前提条件!$H$13&lt;=前提条件!$I$13,AND($D267&gt;=前提条件!$H$13,$D267&lt;=前提条件!$I$13),OR($D267&gt;=前提条件!$H$13,$D267&lt;=前提条件!$I$13)),1,0)</f>
        <v>1</v>
      </c>
      <c r="N267" s="14" t="n">
        <f aca="false">IF(IF(前提条件!$H$14&lt;=前提条件!$I$14,AND($D267&gt;=前提条件!$H$14,$D267&lt;=前提条件!$I$14),OR($D267&gt;=前提条件!$H$14,$D267&lt;=前提条件!$I$14)),1,0)</f>
        <v>0</v>
      </c>
      <c r="O267" s="14" t="n">
        <f aca="false">IF(IF(前提条件!$H$15&lt;=前提条件!$I$15,AND($D267&gt;=前提条件!$H$15,$D267&lt;=前提条件!$I$15),OR($D267&gt;=前提条件!$H$15,$D267&lt;=前提条件!$I$15)),1,0)</f>
        <v>0</v>
      </c>
    </row>
    <row r="268" customFormat="false" ht="15" hidden="false" customHeight="false" outlineLevel="0" collapsed="false">
      <c r="A268" s="48" t="n">
        <v>9</v>
      </c>
      <c r="B268" s="48" t="n">
        <v>22</v>
      </c>
      <c r="C268" s="48" t="str">
        <f aca="false">A268&amp;"/"&amp;B268</f>
        <v>9/22</v>
      </c>
      <c r="D268" s="48" t="n">
        <f aca="false">A268*100+B268</f>
        <v>922</v>
      </c>
      <c r="E268" s="45" t="n">
        <f aca="false">IF(SUM(J268:K268)&gt;0,前提条件!$B$6,前提条件!$B$8)</f>
        <v>3</v>
      </c>
      <c r="F268" s="48" t="str">
        <f aca="false">IFERROR(INDEX(前提条件!$B$12:$B$15,MATCH(1,L268:O268,0)),"未設定")</f>
        <v>遅延形</v>
      </c>
      <c r="G268" s="48" t="str">
        <f aca="false">IFERROR(INDEX(前提条件!$C$12:$C$15,MATCH(1,L268:O268,0)),"未設定")</f>
        <v>夏期</v>
      </c>
      <c r="H268" s="44" t="str">
        <f aca="false">"S値+"&amp;E268&amp;"／"&amp;F268&amp;"（"&amp;G268&amp;"）"</f>
        <v>S値+3／遅延形（夏期）</v>
      </c>
      <c r="J268" s="14" t="n">
        <f aca="false">IF(IF(前提条件!$G$6&lt;=前提条件!$H$6,AND($D268&gt;=前提条件!$G$6,$D268&lt;=前提条件!$H$6),OR($D268&gt;=前提条件!$G$6,$D268&lt;=前提条件!$H$6)),1,0)</f>
        <v>0</v>
      </c>
      <c r="K268" s="14" t="n">
        <f aca="false">IF(IF(前提条件!$G$7&lt;=前提条件!$H$7,AND($D268&gt;=前提条件!$G$7,$D268&lt;=前提条件!$H$7),OR($D268&gt;=前提条件!$G$7,$D268&lt;=前提条件!$H$7)),1,0)</f>
        <v>0</v>
      </c>
      <c r="L268" s="14" t="n">
        <f aca="false">IF(IF(前提条件!$H$12&lt;=前提条件!$I$12,AND($D268&gt;=前提条件!$H$12,$D268&lt;=前提条件!$I$12),OR($D268&gt;=前提条件!$H$12,$D268&lt;=前提条件!$I$12)),1,0)</f>
        <v>0</v>
      </c>
      <c r="M268" s="14" t="n">
        <f aca="false">IF(IF(前提条件!$H$13&lt;=前提条件!$I$13,AND($D268&gt;=前提条件!$H$13,$D268&lt;=前提条件!$I$13),OR($D268&gt;=前提条件!$H$13,$D268&lt;=前提条件!$I$13)),1,0)</f>
        <v>1</v>
      </c>
      <c r="N268" s="14" t="n">
        <f aca="false">IF(IF(前提条件!$H$14&lt;=前提条件!$I$14,AND($D268&gt;=前提条件!$H$14,$D268&lt;=前提条件!$I$14),OR($D268&gt;=前提条件!$H$14,$D268&lt;=前提条件!$I$14)),1,0)</f>
        <v>0</v>
      </c>
      <c r="O268" s="14" t="n">
        <f aca="false">IF(IF(前提条件!$H$15&lt;=前提条件!$I$15,AND($D268&gt;=前提条件!$H$15,$D268&lt;=前提条件!$I$15),OR($D268&gt;=前提条件!$H$15,$D268&lt;=前提条件!$I$15)),1,0)</f>
        <v>0</v>
      </c>
    </row>
    <row r="269" customFormat="false" ht="15" hidden="false" customHeight="false" outlineLevel="0" collapsed="false">
      <c r="A269" s="48" t="n">
        <v>9</v>
      </c>
      <c r="B269" s="48" t="n">
        <v>23</v>
      </c>
      <c r="C269" s="48" t="str">
        <f aca="false">A269&amp;"/"&amp;B269</f>
        <v>9/23</v>
      </c>
      <c r="D269" s="48" t="n">
        <f aca="false">A269*100+B269</f>
        <v>923</v>
      </c>
      <c r="E269" s="45" t="n">
        <f aca="false">IF(SUM(J269:K269)&gt;0,前提条件!$B$6,前提条件!$B$8)</f>
        <v>3</v>
      </c>
      <c r="F269" s="48" t="str">
        <f aca="false">IFERROR(INDEX(前提条件!$B$12:$B$15,MATCH(1,L269:O269,0)),"未設定")</f>
        <v>遅延形</v>
      </c>
      <c r="G269" s="48" t="str">
        <f aca="false">IFERROR(INDEX(前提条件!$C$12:$C$15,MATCH(1,L269:O269,0)),"未設定")</f>
        <v>夏期</v>
      </c>
      <c r="H269" s="44" t="str">
        <f aca="false">"S値+"&amp;E269&amp;"／"&amp;F269&amp;"（"&amp;G269&amp;"）"</f>
        <v>S値+3／遅延形（夏期）</v>
      </c>
      <c r="J269" s="14" t="n">
        <f aca="false">IF(IF(前提条件!$G$6&lt;=前提条件!$H$6,AND($D269&gt;=前提条件!$G$6,$D269&lt;=前提条件!$H$6),OR($D269&gt;=前提条件!$G$6,$D269&lt;=前提条件!$H$6)),1,0)</f>
        <v>0</v>
      </c>
      <c r="K269" s="14" t="n">
        <f aca="false">IF(IF(前提条件!$G$7&lt;=前提条件!$H$7,AND($D269&gt;=前提条件!$G$7,$D269&lt;=前提条件!$H$7),OR($D269&gt;=前提条件!$G$7,$D269&lt;=前提条件!$H$7)),1,0)</f>
        <v>0</v>
      </c>
      <c r="L269" s="14" t="n">
        <f aca="false">IF(IF(前提条件!$H$12&lt;=前提条件!$I$12,AND($D269&gt;=前提条件!$H$12,$D269&lt;=前提条件!$I$12),OR($D269&gt;=前提条件!$H$12,$D269&lt;=前提条件!$I$12)),1,0)</f>
        <v>0</v>
      </c>
      <c r="M269" s="14" t="n">
        <f aca="false">IF(IF(前提条件!$H$13&lt;=前提条件!$I$13,AND($D269&gt;=前提条件!$H$13,$D269&lt;=前提条件!$I$13),OR($D269&gt;=前提条件!$H$13,$D269&lt;=前提条件!$I$13)),1,0)</f>
        <v>1</v>
      </c>
      <c r="N269" s="14" t="n">
        <f aca="false">IF(IF(前提条件!$H$14&lt;=前提条件!$I$14,AND($D269&gt;=前提条件!$H$14,$D269&lt;=前提条件!$I$14),OR($D269&gt;=前提条件!$H$14,$D269&lt;=前提条件!$I$14)),1,0)</f>
        <v>0</v>
      </c>
      <c r="O269" s="14" t="n">
        <f aca="false">IF(IF(前提条件!$H$15&lt;=前提条件!$I$15,AND($D269&gt;=前提条件!$H$15,$D269&lt;=前提条件!$I$15),OR($D269&gt;=前提条件!$H$15,$D269&lt;=前提条件!$I$15)),1,0)</f>
        <v>0</v>
      </c>
    </row>
    <row r="270" customFormat="false" ht="15" hidden="false" customHeight="false" outlineLevel="0" collapsed="false">
      <c r="A270" s="48" t="n">
        <v>9</v>
      </c>
      <c r="B270" s="48" t="n">
        <v>24</v>
      </c>
      <c r="C270" s="48" t="str">
        <f aca="false">A270&amp;"/"&amp;B270</f>
        <v>9/24</v>
      </c>
      <c r="D270" s="48" t="n">
        <f aca="false">A270*100+B270</f>
        <v>924</v>
      </c>
      <c r="E270" s="45" t="n">
        <f aca="false">IF(SUM(J270:K270)&gt;0,前提条件!$B$6,前提条件!$B$8)</f>
        <v>3</v>
      </c>
      <c r="F270" s="48" t="str">
        <f aca="false">IFERROR(INDEX(前提条件!$B$12:$B$15,MATCH(1,L270:O270,0)),"未設定")</f>
        <v>標準形</v>
      </c>
      <c r="G270" s="48" t="str">
        <f aca="false">IFERROR(INDEX(前提条件!$C$12:$C$15,MATCH(1,L270:O270,0)),"未設定")</f>
        <v>標準期</v>
      </c>
      <c r="H270" s="44" t="str">
        <f aca="false">"S値+"&amp;E270&amp;"／"&amp;F270&amp;"（"&amp;G270&amp;"）"</f>
        <v>S値+3／標準形（標準期）</v>
      </c>
      <c r="J270" s="14" t="n">
        <f aca="false">IF(IF(前提条件!$G$6&lt;=前提条件!$H$6,AND($D270&gt;=前提条件!$G$6,$D270&lt;=前提条件!$H$6),OR($D270&gt;=前提条件!$G$6,$D270&lt;=前提条件!$H$6)),1,0)</f>
        <v>0</v>
      </c>
      <c r="K270" s="14" t="n">
        <f aca="false">IF(IF(前提条件!$G$7&lt;=前提条件!$H$7,AND($D270&gt;=前提条件!$G$7,$D270&lt;=前提条件!$H$7),OR($D270&gt;=前提条件!$G$7,$D270&lt;=前提条件!$H$7)),1,0)</f>
        <v>0</v>
      </c>
      <c r="L270" s="14" t="n">
        <f aca="false">IF(IF(前提条件!$H$12&lt;=前提条件!$I$12,AND($D270&gt;=前提条件!$H$12,$D270&lt;=前提条件!$I$12),OR($D270&gt;=前提条件!$H$12,$D270&lt;=前提条件!$I$12)),1,0)</f>
        <v>0</v>
      </c>
      <c r="M270" s="14" t="n">
        <f aca="false">IF(IF(前提条件!$H$13&lt;=前提条件!$I$13,AND($D270&gt;=前提条件!$H$13,$D270&lt;=前提条件!$I$13),OR($D270&gt;=前提条件!$H$13,$D270&lt;=前提条件!$I$13)),1,0)</f>
        <v>0</v>
      </c>
      <c r="N270" s="14" t="n">
        <f aca="false">IF(IF(前提条件!$H$14&lt;=前提条件!$I$14,AND($D270&gt;=前提条件!$H$14,$D270&lt;=前提条件!$I$14),OR($D270&gt;=前提条件!$H$14,$D270&lt;=前提条件!$I$14)),1,0)</f>
        <v>1</v>
      </c>
      <c r="O270" s="14" t="n">
        <f aca="false">IF(IF(前提条件!$H$15&lt;=前提条件!$I$15,AND($D270&gt;=前提条件!$H$15,$D270&lt;=前提条件!$I$15),OR($D270&gt;=前提条件!$H$15,$D270&lt;=前提条件!$I$15)),1,0)</f>
        <v>0</v>
      </c>
    </row>
    <row r="271" customFormat="false" ht="15" hidden="false" customHeight="false" outlineLevel="0" collapsed="false">
      <c r="A271" s="48" t="n">
        <v>9</v>
      </c>
      <c r="B271" s="48" t="n">
        <v>25</v>
      </c>
      <c r="C271" s="48" t="str">
        <f aca="false">A271&amp;"/"&amp;B271</f>
        <v>9/25</v>
      </c>
      <c r="D271" s="48" t="n">
        <f aca="false">A271*100+B271</f>
        <v>925</v>
      </c>
      <c r="E271" s="45" t="n">
        <f aca="false">IF(SUM(J271:K271)&gt;0,前提条件!$B$6,前提条件!$B$8)</f>
        <v>3</v>
      </c>
      <c r="F271" s="48" t="str">
        <f aca="false">IFERROR(INDEX(前提条件!$B$12:$B$15,MATCH(1,L271:O271,0)),"未設定")</f>
        <v>標準形</v>
      </c>
      <c r="G271" s="48" t="str">
        <f aca="false">IFERROR(INDEX(前提条件!$C$12:$C$15,MATCH(1,L271:O271,0)),"未設定")</f>
        <v>標準期</v>
      </c>
      <c r="H271" s="44" t="str">
        <f aca="false">"S値+"&amp;E271&amp;"／"&amp;F271&amp;"（"&amp;G271&amp;"）"</f>
        <v>S値+3／標準形（標準期）</v>
      </c>
      <c r="J271" s="14" t="n">
        <f aca="false">IF(IF(前提条件!$G$6&lt;=前提条件!$H$6,AND($D271&gt;=前提条件!$G$6,$D271&lt;=前提条件!$H$6),OR($D271&gt;=前提条件!$G$6,$D271&lt;=前提条件!$H$6)),1,0)</f>
        <v>0</v>
      </c>
      <c r="K271" s="14" t="n">
        <f aca="false">IF(IF(前提条件!$G$7&lt;=前提条件!$H$7,AND($D271&gt;=前提条件!$G$7,$D271&lt;=前提条件!$H$7),OR($D271&gt;=前提条件!$G$7,$D271&lt;=前提条件!$H$7)),1,0)</f>
        <v>0</v>
      </c>
      <c r="L271" s="14" t="n">
        <f aca="false">IF(IF(前提条件!$H$12&lt;=前提条件!$I$12,AND($D271&gt;=前提条件!$H$12,$D271&lt;=前提条件!$I$12),OR($D271&gt;=前提条件!$H$12,$D271&lt;=前提条件!$I$12)),1,0)</f>
        <v>0</v>
      </c>
      <c r="M271" s="14" t="n">
        <f aca="false">IF(IF(前提条件!$H$13&lt;=前提条件!$I$13,AND($D271&gt;=前提条件!$H$13,$D271&lt;=前提条件!$I$13),OR($D271&gt;=前提条件!$H$13,$D271&lt;=前提条件!$I$13)),1,0)</f>
        <v>0</v>
      </c>
      <c r="N271" s="14" t="n">
        <f aca="false">IF(IF(前提条件!$H$14&lt;=前提条件!$I$14,AND($D271&gt;=前提条件!$H$14,$D271&lt;=前提条件!$I$14),OR($D271&gt;=前提条件!$H$14,$D271&lt;=前提条件!$I$14)),1,0)</f>
        <v>1</v>
      </c>
      <c r="O271" s="14" t="n">
        <f aca="false">IF(IF(前提条件!$H$15&lt;=前提条件!$I$15,AND($D271&gt;=前提条件!$H$15,$D271&lt;=前提条件!$I$15),OR($D271&gt;=前提条件!$H$15,$D271&lt;=前提条件!$I$15)),1,0)</f>
        <v>0</v>
      </c>
    </row>
    <row r="272" customFormat="false" ht="15" hidden="false" customHeight="false" outlineLevel="0" collapsed="false">
      <c r="A272" s="48" t="n">
        <v>9</v>
      </c>
      <c r="B272" s="48" t="n">
        <v>26</v>
      </c>
      <c r="C272" s="48" t="str">
        <f aca="false">A272&amp;"/"&amp;B272</f>
        <v>9/26</v>
      </c>
      <c r="D272" s="48" t="n">
        <f aca="false">A272*100+B272</f>
        <v>926</v>
      </c>
      <c r="E272" s="45" t="n">
        <f aca="false">IF(SUM(J272:K272)&gt;0,前提条件!$B$6,前提条件!$B$8)</f>
        <v>3</v>
      </c>
      <c r="F272" s="48" t="str">
        <f aca="false">IFERROR(INDEX(前提条件!$B$12:$B$15,MATCH(1,L272:O272,0)),"未設定")</f>
        <v>標準形</v>
      </c>
      <c r="G272" s="48" t="str">
        <f aca="false">IFERROR(INDEX(前提条件!$C$12:$C$15,MATCH(1,L272:O272,0)),"未設定")</f>
        <v>標準期</v>
      </c>
      <c r="H272" s="44" t="str">
        <f aca="false">"S値+"&amp;E272&amp;"／"&amp;F272&amp;"（"&amp;G272&amp;"）"</f>
        <v>S値+3／標準形（標準期）</v>
      </c>
      <c r="J272" s="14" t="n">
        <f aca="false">IF(IF(前提条件!$G$6&lt;=前提条件!$H$6,AND($D272&gt;=前提条件!$G$6,$D272&lt;=前提条件!$H$6),OR($D272&gt;=前提条件!$G$6,$D272&lt;=前提条件!$H$6)),1,0)</f>
        <v>0</v>
      </c>
      <c r="K272" s="14" t="n">
        <f aca="false">IF(IF(前提条件!$G$7&lt;=前提条件!$H$7,AND($D272&gt;=前提条件!$G$7,$D272&lt;=前提条件!$H$7),OR($D272&gt;=前提条件!$G$7,$D272&lt;=前提条件!$H$7)),1,0)</f>
        <v>0</v>
      </c>
      <c r="L272" s="14" t="n">
        <f aca="false">IF(IF(前提条件!$H$12&lt;=前提条件!$I$12,AND($D272&gt;=前提条件!$H$12,$D272&lt;=前提条件!$I$12),OR($D272&gt;=前提条件!$H$12,$D272&lt;=前提条件!$I$12)),1,0)</f>
        <v>0</v>
      </c>
      <c r="M272" s="14" t="n">
        <f aca="false">IF(IF(前提条件!$H$13&lt;=前提条件!$I$13,AND($D272&gt;=前提条件!$H$13,$D272&lt;=前提条件!$I$13),OR($D272&gt;=前提条件!$H$13,$D272&lt;=前提条件!$I$13)),1,0)</f>
        <v>0</v>
      </c>
      <c r="N272" s="14" t="n">
        <f aca="false">IF(IF(前提条件!$H$14&lt;=前提条件!$I$14,AND($D272&gt;=前提条件!$H$14,$D272&lt;=前提条件!$I$14),OR($D272&gt;=前提条件!$H$14,$D272&lt;=前提条件!$I$14)),1,0)</f>
        <v>1</v>
      </c>
      <c r="O272" s="14" t="n">
        <f aca="false">IF(IF(前提条件!$H$15&lt;=前提条件!$I$15,AND($D272&gt;=前提条件!$H$15,$D272&lt;=前提条件!$I$15),OR($D272&gt;=前提条件!$H$15,$D272&lt;=前提条件!$I$15)),1,0)</f>
        <v>0</v>
      </c>
    </row>
    <row r="273" customFormat="false" ht="15" hidden="false" customHeight="false" outlineLevel="0" collapsed="false">
      <c r="A273" s="48" t="n">
        <v>9</v>
      </c>
      <c r="B273" s="48" t="n">
        <v>27</v>
      </c>
      <c r="C273" s="48" t="str">
        <f aca="false">A273&amp;"/"&amp;B273</f>
        <v>9/27</v>
      </c>
      <c r="D273" s="48" t="n">
        <f aca="false">A273*100+B273</f>
        <v>927</v>
      </c>
      <c r="E273" s="45" t="n">
        <f aca="false">IF(SUM(J273:K273)&gt;0,前提条件!$B$6,前提条件!$B$8)</f>
        <v>3</v>
      </c>
      <c r="F273" s="48" t="str">
        <f aca="false">IFERROR(INDEX(前提条件!$B$12:$B$15,MATCH(1,L273:O273,0)),"未設定")</f>
        <v>標準形</v>
      </c>
      <c r="G273" s="48" t="str">
        <f aca="false">IFERROR(INDEX(前提条件!$C$12:$C$15,MATCH(1,L273:O273,0)),"未設定")</f>
        <v>標準期</v>
      </c>
      <c r="H273" s="44" t="str">
        <f aca="false">"S値+"&amp;E273&amp;"／"&amp;F273&amp;"（"&amp;G273&amp;"）"</f>
        <v>S値+3／標準形（標準期）</v>
      </c>
      <c r="J273" s="14" t="n">
        <f aca="false">IF(IF(前提条件!$G$6&lt;=前提条件!$H$6,AND($D273&gt;=前提条件!$G$6,$D273&lt;=前提条件!$H$6),OR($D273&gt;=前提条件!$G$6,$D273&lt;=前提条件!$H$6)),1,0)</f>
        <v>0</v>
      </c>
      <c r="K273" s="14" t="n">
        <f aca="false">IF(IF(前提条件!$G$7&lt;=前提条件!$H$7,AND($D273&gt;=前提条件!$G$7,$D273&lt;=前提条件!$H$7),OR($D273&gt;=前提条件!$G$7,$D273&lt;=前提条件!$H$7)),1,0)</f>
        <v>0</v>
      </c>
      <c r="L273" s="14" t="n">
        <f aca="false">IF(IF(前提条件!$H$12&lt;=前提条件!$I$12,AND($D273&gt;=前提条件!$H$12,$D273&lt;=前提条件!$I$12),OR($D273&gt;=前提条件!$H$12,$D273&lt;=前提条件!$I$12)),1,0)</f>
        <v>0</v>
      </c>
      <c r="M273" s="14" t="n">
        <f aca="false">IF(IF(前提条件!$H$13&lt;=前提条件!$I$13,AND($D273&gt;=前提条件!$H$13,$D273&lt;=前提条件!$I$13),OR($D273&gt;=前提条件!$H$13,$D273&lt;=前提条件!$I$13)),1,0)</f>
        <v>0</v>
      </c>
      <c r="N273" s="14" t="n">
        <f aca="false">IF(IF(前提条件!$H$14&lt;=前提条件!$I$14,AND($D273&gt;=前提条件!$H$14,$D273&lt;=前提条件!$I$14),OR($D273&gt;=前提条件!$H$14,$D273&lt;=前提条件!$I$14)),1,0)</f>
        <v>1</v>
      </c>
      <c r="O273" s="14" t="n">
        <f aca="false">IF(IF(前提条件!$H$15&lt;=前提条件!$I$15,AND($D273&gt;=前提条件!$H$15,$D273&lt;=前提条件!$I$15),OR($D273&gt;=前提条件!$H$15,$D273&lt;=前提条件!$I$15)),1,0)</f>
        <v>0</v>
      </c>
    </row>
    <row r="274" customFormat="false" ht="15" hidden="false" customHeight="false" outlineLevel="0" collapsed="false">
      <c r="A274" s="48" t="n">
        <v>9</v>
      </c>
      <c r="B274" s="48" t="n">
        <v>28</v>
      </c>
      <c r="C274" s="48" t="str">
        <f aca="false">A274&amp;"/"&amp;B274</f>
        <v>9/28</v>
      </c>
      <c r="D274" s="48" t="n">
        <f aca="false">A274*100+B274</f>
        <v>928</v>
      </c>
      <c r="E274" s="45" t="n">
        <f aca="false">IF(SUM(J274:K274)&gt;0,前提条件!$B$6,前提条件!$B$8)</f>
        <v>3</v>
      </c>
      <c r="F274" s="48" t="str">
        <f aca="false">IFERROR(INDEX(前提条件!$B$12:$B$15,MATCH(1,L274:O274,0)),"未設定")</f>
        <v>標準形</v>
      </c>
      <c r="G274" s="48" t="str">
        <f aca="false">IFERROR(INDEX(前提条件!$C$12:$C$15,MATCH(1,L274:O274,0)),"未設定")</f>
        <v>標準期</v>
      </c>
      <c r="H274" s="44" t="str">
        <f aca="false">"S値+"&amp;E274&amp;"／"&amp;F274&amp;"（"&amp;G274&amp;"）"</f>
        <v>S値+3／標準形（標準期）</v>
      </c>
      <c r="J274" s="14" t="n">
        <f aca="false">IF(IF(前提条件!$G$6&lt;=前提条件!$H$6,AND($D274&gt;=前提条件!$G$6,$D274&lt;=前提条件!$H$6),OR($D274&gt;=前提条件!$G$6,$D274&lt;=前提条件!$H$6)),1,0)</f>
        <v>0</v>
      </c>
      <c r="K274" s="14" t="n">
        <f aca="false">IF(IF(前提条件!$G$7&lt;=前提条件!$H$7,AND($D274&gt;=前提条件!$G$7,$D274&lt;=前提条件!$H$7),OR($D274&gt;=前提条件!$G$7,$D274&lt;=前提条件!$H$7)),1,0)</f>
        <v>0</v>
      </c>
      <c r="L274" s="14" t="n">
        <f aca="false">IF(IF(前提条件!$H$12&lt;=前提条件!$I$12,AND($D274&gt;=前提条件!$H$12,$D274&lt;=前提条件!$I$12),OR($D274&gt;=前提条件!$H$12,$D274&lt;=前提条件!$I$12)),1,0)</f>
        <v>0</v>
      </c>
      <c r="M274" s="14" t="n">
        <f aca="false">IF(IF(前提条件!$H$13&lt;=前提条件!$I$13,AND($D274&gt;=前提条件!$H$13,$D274&lt;=前提条件!$I$13),OR($D274&gt;=前提条件!$H$13,$D274&lt;=前提条件!$I$13)),1,0)</f>
        <v>0</v>
      </c>
      <c r="N274" s="14" t="n">
        <f aca="false">IF(IF(前提条件!$H$14&lt;=前提条件!$I$14,AND($D274&gt;=前提条件!$H$14,$D274&lt;=前提条件!$I$14),OR($D274&gt;=前提条件!$H$14,$D274&lt;=前提条件!$I$14)),1,0)</f>
        <v>1</v>
      </c>
      <c r="O274" s="14" t="n">
        <f aca="false">IF(IF(前提条件!$H$15&lt;=前提条件!$I$15,AND($D274&gt;=前提条件!$H$15,$D274&lt;=前提条件!$I$15),OR($D274&gt;=前提条件!$H$15,$D274&lt;=前提条件!$I$15)),1,0)</f>
        <v>0</v>
      </c>
    </row>
    <row r="275" customFormat="false" ht="15" hidden="false" customHeight="false" outlineLevel="0" collapsed="false">
      <c r="A275" s="48" t="n">
        <v>9</v>
      </c>
      <c r="B275" s="48" t="n">
        <v>29</v>
      </c>
      <c r="C275" s="48" t="str">
        <f aca="false">A275&amp;"/"&amp;B275</f>
        <v>9/29</v>
      </c>
      <c r="D275" s="48" t="n">
        <f aca="false">A275*100+B275</f>
        <v>929</v>
      </c>
      <c r="E275" s="45" t="n">
        <f aca="false">IF(SUM(J275:K275)&gt;0,前提条件!$B$6,前提条件!$B$8)</f>
        <v>3</v>
      </c>
      <c r="F275" s="48" t="str">
        <f aca="false">IFERROR(INDEX(前提条件!$B$12:$B$15,MATCH(1,L275:O275,0)),"未設定")</f>
        <v>標準形</v>
      </c>
      <c r="G275" s="48" t="str">
        <f aca="false">IFERROR(INDEX(前提条件!$C$12:$C$15,MATCH(1,L275:O275,0)),"未設定")</f>
        <v>標準期</v>
      </c>
      <c r="H275" s="44" t="str">
        <f aca="false">"S値+"&amp;E275&amp;"／"&amp;F275&amp;"（"&amp;G275&amp;"）"</f>
        <v>S値+3／標準形（標準期）</v>
      </c>
      <c r="J275" s="14" t="n">
        <f aca="false">IF(IF(前提条件!$G$6&lt;=前提条件!$H$6,AND($D275&gt;=前提条件!$G$6,$D275&lt;=前提条件!$H$6),OR($D275&gt;=前提条件!$G$6,$D275&lt;=前提条件!$H$6)),1,0)</f>
        <v>0</v>
      </c>
      <c r="K275" s="14" t="n">
        <f aca="false">IF(IF(前提条件!$G$7&lt;=前提条件!$H$7,AND($D275&gt;=前提条件!$G$7,$D275&lt;=前提条件!$H$7),OR($D275&gt;=前提条件!$G$7,$D275&lt;=前提条件!$H$7)),1,0)</f>
        <v>0</v>
      </c>
      <c r="L275" s="14" t="n">
        <f aca="false">IF(IF(前提条件!$H$12&lt;=前提条件!$I$12,AND($D275&gt;=前提条件!$H$12,$D275&lt;=前提条件!$I$12),OR($D275&gt;=前提条件!$H$12,$D275&lt;=前提条件!$I$12)),1,0)</f>
        <v>0</v>
      </c>
      <c r="M275" s="14" t="n">
        <f aca="false">IF(IF(前提条件!$H$13&lt;=前提条件!$I$13,AND($D275&gt;=前提条件!$H$13,$D275&lt;=前提条件!$I$13),OR($D275&gt;=前提条件!$H$13,$D275&lt;=前提条件!$I$13)),1,0)</f>
        <v>0</v>
      </c>
      <c r="N275" s="14" t="n">
        <f aca="false">IF(IF(前提条件!$H$14&lt;=前提条件!$I$14,AND($D275&gt;=前提条件!$H$14,$D275&lt;=前提条件!$I$14),OR($D275&gt;=前提条件!$H$14,$D275&lt;=前提条件!$I$14)),1,0)</f>
        <v>1</v>
      </c>
      <c r="O275" s="14" t="n">
        <f aca="false">IF(IF(前提条件!$H$15&lt;=前提条件!$I$15,AND($D275&gt;=前提条件!$H$15,$D275&lt;=前提条件!$I$15),OR($D275&gt;=前提条件!$H$15,$D275&lt;=前提条件!$I$15)),1,0)</f>
        <v>0</v>
      </c>
    </row>
    <row r="276" customFormat="false" ht="15" hidden="false" customHeight="false" outlineLevel="0" collapsed="false">
      <c r="A276" s="48" t="n">
        <v>9</v>
      </c>
      <c r="B276" s="48" t="n">
        <v>30</v>
      </c>
      <c r="C276" s="48" t="str">
        <f aca="false">A276&amp;"/"&amp;B276</f>
        <v>9/30</v>
      </c>
      <c r="D276" s="48" t="n">
        <f aca="false">A276*100+B276</f>
        <v>930</v>
      </c>
      <c r="E276" s="45" t="n">
        <f aca="false">IF(SUM(J276:K276)&gt;0,前提条件!$B$6,前提条件!$B$8)</f>
        <v>3</v>
      </c>
      <c r="F276" s="48" t="str">
        <f aca="false">IFERROR(INDEX(前提条件!$B$12:$B$15,MATCH(1,L276:O276,0)),"未設定")</f>
        <v>標準形</v>
      </c>
      <c r="G276" s="48" t="str">
        <f aca="false">IFERROR(INDEX(前提条件!$C$12:$C$15,MATCH(1,L276:O276,0)),"未設定")</f>
        <v>標準期</v>
      </c>
      <c r="H276" s="44" t="str">
        <f aca="false">"S値+"&amp;E276&amp;"／"&amp;F276&amp;"（"&amp;G276&amp;"）"</f>
        <v>S値+3／標準形（標準期）</v>
      </c>
      <c r="J276" s="14" t="n">
        <f aca="false">IF(IF(前提条件!$G$6&lt;=前提条件!$H$6,AND($D276&gt;=前提条件!$G$6,$D276&lt;=前提条件!$H$6),OR($D276&gt;=前提条件!$G$6,$D276&lt;=前提条件!$H$6)),1,0)</f>
        <v>0</v>
      </c>
      <c r="K276" s="14" t="n">
        <f aca="false">IF(IF(前提条件!$G$7&lt;=前提条件!$H$7,AND($D276&gt;=前提条件!$G$7,$D276&lt;=前提条件!$H$7),OR($D276&gt;=前提条件!$G$7,$D276&lt;=前提条件!$H$7)),1,0)</f>
        <v>0</v>
      </c>
      <c r="L276" s="14" t="n">
        <f aca="false">IF(IF(前提条件!$H$12&lt;=前提条件!$I$12,AND($D276&gt;=前提条件!$H$12,$D276&lt;=前提条件!$I$12),OR($D276&gt;=前提条件!$H$12,$D276&lt;=前提条件!$I$12)),1,0)</f>
        <v>0</v>
      </c>
      <c r="M276" s="14" t="n">
        <f aca="false">IF(IF(前提条件!$H$13&lt;=前提条件!$I$13,AND($D276&gt;=前提条件!$H$13,$D276&lt;=前提条件!$I$13),OR($D276&gt;=前提条件!$H$13,$D276&lt;=前提条件!$I$13)),1,0)</f>
        <v>0</v>
      </c>
      <c r="N276" s="14" t="n">
        <f aca="false">IF(IF(前提条件!$H$14&lt;=前提条件!$I$14,AND($D276&gt;=前提条件!$H$14,$D276&lt;=前提条件!$I$14),OR($D276&gt;=前提条件!$H$14,$D276&lt;=前提条件!$I$14)),1,0)</f>
        <v>1</v>
      </c>
      <c r="O276" s="14" t="n">
        <f aca="false">IF(IF(前提条件!$H$15&lt;=前提条件!$I$15,AND($D276&gt;=前提条件!$H$15,$D276&lt;=前提条件!$I$15),OR($D276&gt;=前提条件!$H$15,$D276&lt;=前提条件!$I$15)),1,0)</f>
        <v>0</v>
      </c>
    </row>
    <row r="277" customFormat="false" ht="15" hidden="false" customHeight="false" outlineLevel="0" collapsed="false">
      <c r="A277" s="48" t="n">
        <v>10</v>
      </c>
      <c r="B277" s="48" t="n">
        <v>1</v>
      </c>
      <c r="C277" s="48" t="str">
        <f aca="false">A277&amp;"/"&amp;B277</f>
        <v>10/1</v>
      </c>
      <c r="D277" s="48" t="n">
        <f aca="false">A277*100+B277</f>
        <v>1001</v>
      </c>
      <c r="E277" s="45" t="n">
        <f aca="false">IF(SUM(J277:K277)&gt;0,前提条件!$B$6,前提条件!$B$8)</f>
        <v>3</v>
      </c>
      <c r="F277" s="48" t="str">
        <f aca="false">IFERROR(INDEX(前提条件!$B$12:$B$15,MATCH(1,L277:O277,0)),"未設定")</f>
        <v>標準形</v>
      </c>
      <c r="G277" s="48" t="str">
        <f aca="false">IFERROR(INDEX(前提条件!$C$12:$C$15,MATCH(1,L277:O277,0)),"未設定")</f>
        <v>標準期</v>
      </c>
      <c r="H277" s="44" t="str">
        <f aca="false">"S値+"&amp;E277&amp;"／"&amp;F277&amp;"（"&amp;G277&amp;"）"</f>
        <v>S値+3／標準形（標準期）</v>
      </c>
      <c r="J277" s="14" t="n">
        <f aca="false">IF(IF(前提条件!$G$6&lt;=前提条件!$H$6,AND($D277&gt;=前提条件!$G$6,$D277&lt;=前提条件!$H$6),OR($D277&gt;=前提条件!$G$6,$D277&lt;=前提条件!$H$6)),1,0)</f>
        <v>0</v>
      </c>
      <c r="K277" s="14" t="n">
        <f aca="false">IF(IF(前提条件!$G$7&lt;=前提条件!$H$7,AND($D277&gt;=前提条件!$G$7,$D277&lt;=前提条件!$H$7),OR($D277&gt;=前提条件!$G$7,$D277&lt;=前提条件!$H$7)),1,0)</f>
        <v>0</v>
      </c>
      <c r="L277" s="14" t="n">
        <f aca="false">IF(IF(前提条件!$H$12&lt;=前提条件!$I$12,AND($D277&gt;=前提条件!$H$12,$D277&lt;=前提条件!$I$12),OR($D277&gt;=前提条件!$H$12,$D277&lt;=前提条件!$I$12)),1,0)</f>
        <v>0</v>
      </c>
      <c r="M277" s="14" t="n">
        <f aca="false">IF(IF(前提条件!$H$13&lt;=前提条件!$I$13,AND($D277&gt;=前提条件!$H$13,$D277&lt;=前提条件!$I$13),OR($D277&gt;=前提条件!$H$13,$D277&lt;=前提条件!$I$13)),1,0)</f>
        <v>0</v>
      </c>
      <c r="N277" s="14" t="n">
        <f aca="false">IF(IF(前提条件!$H$14&lt;=前提条件!$I$14,AND($D277&gt;=前提条件!$H$14,$D277&lt;=前提条件!$I$14),OR($D277&gt;=前提条件!$H$14,$D277&lt;=前提条件!$I$14)),1,0)</f>
        <v>1</v>
      </c>
      <c r="O277" s="14" t="n">
        <f aca="false">IF(IF(前提条件!$H$15&lt;=前提条件!$I$15,AND($D277&gt;=前提条件!$H$15,$D277&lt;=前提条件!$I$15),OR($D277&gt;=前提条件!$H$15,$D277&lt;=前提条件!$I$15)),1,0)</f>
        <v>0</v>
      </c>
    </row>
    <row r="278" customFormat="false" ht="15" hidden="false" customHeight="false" outlineLevel="0" collapsed="false">
      <c r="A278" s="48" t="n">
        <v>10</v>
      </c>
      <c r="B278" s="48" t="n">
        <v>2</v>
      </c>
      <c r="C278" s="48" t="str">
        <f aca="false">A278&amp;"/"&amp;B278</f>
        <v>10/2</v>
      </c>
      <c r="D278" s="48" t="n">
        <f aca="false">A278*100+B278</f>
        <v>1002</v>
      </c>
      <c r="E278" s="45" t="n">
        <f aca="false">IF(SUM(J278:K278)&gt;0,前提条件!$B$6,前提条件!$B$8)</f>
        <v>3</v>
      </c>
      <c r="F278" s="48" t="str">
        <f aca="false">IFERROR(INDEX(前提条件!$B$12:$B$15,MATCH(1,L278:O278,0)),"未設定")</f>
        <v>標準形</v>
      </c>
      <c r="G278" s="48" t="str">
        <f aca="false">IFERROR(INDEX(前提条件!$C$12:$C$15,MATCH(1,L278:O278,0)),"未設定")</f>
        <v>標準期</v>
      </c>
      <c r="H278" s="44" t="str">
        <f aca="false">"S値+"&amp;E278&amp;"／"&amp;F278&amp;"（"&amp;G278&amp;"）"</f>
        <v>S値+3／標準形（標準期）</v>
      </c>
      <c r="J278" s="14" t="n">
        <f aca="false">IF(IF(前提条件!$G$6&lt;=前提条件!$H$6,AND($D278&gt;=前提条件!$G$6,$D278&lt;=前提条件!$H$6),OR($D278&gt;=前提条件!$G$6,$D278&lt;=前提条件!$H$6)),1,0)</f>
        <v>0</v>
      </c>
      <c r="K278" s="14" t="n">
        <f aca="false">IF(IF(前提条件!$G$7&lt;=前提条件!$H$7,AND($D278&gt;=前提条件!$G$7,$D278&lt;=前提条件!$H$7),OR($D278&gt;=前提条件!$G$7,$D278&lt;=前提条件!$H$7)),1,0)</f>
        <v>0</v>
      </c>
      <c r="L278" s="14" t="n">
        <f aca="false">IF(IF(前提条件!$H$12&lt;=前提条件!$I$12,AND($D278&gt;=前提条件!$H$12,$D278&lt;=前提条件!$I$12),OR($D278&gt;=前提条件!$H$12,$D278&lt;=前提条件!$I$12)),1,0)</f>
        <v>0</v>
      </c>
      <c r="M278" s="14" t="n">
        <f aca="false">IF(IF(前提条件!$H$13&lt;=前提条件!$I$13,AND($D278&gt;=前提条件!$H$13,$D278&lt;=前提条件!$I$13),OR($D278&gt;=前提条件!$H$13,$D278&lt;=前提条件!$I$13)),1,0)</f>
        <v>0</v>
      </c>
      <c r="N278" s="14" t="n">
        <f aca="false">IF(IF(前提条件!$H$14&lt;=前提条件!$I$14,AND($D278&gt;=前提条件!$H$14,$D278&lt;=前提条件!$I$14),OR($D278&gt;=前提条件!$H$14,$D278&lt;=前提条件!$I$14)),1,0)</f>
        <v>1</v>
      </c>
      <c r="O278" s="14" t="n">
        <f aca="false">IF(IF(前提条件!$H$15&lt;=前提条件!$I$15,AND($D278&gt;=前提条件!$H$15,$D278&lt;=前提条件!$I$15),OR($D278&gt;=前提条件!$H$15,$D278&lt;=前提条件!$I$15)),1,0)</f>
        <v>0</v>
      </c>
    </row>
    <row r="279" customFormat="false" ht="15" hidden="false" customHeight="false" outlineLevel="0" collapsed="false">
      <c r="A279" s="48" t="n">
        <v>10</v>
      </c>
      <c r="B279" s="48" t="n">
        <v>3</v>
      </c>
      <c r="C279" s="48" t="str">
        <f aca="false">A279&amp;"/"&amp;B279</f>
        <v>10/3</v>
      </c>
      <c r="D279" s="48" t="n">
        <f aca="false">A279*100+B279</f>
        <v>1003</v>
      </c>
      <c r="E279" s="45" t="n">
        <f aca="false">IF(SUM(J279:K279)&gt;0,前提条件!$B$6,前提条件!$B$8)</f>
        <v>3</v>
      </c>
      <c r="F279" s="48" t="str">
        <f aca="false">IFERROR(INDEX(前提条件!$B$12:$B$15,MATCH(1,L279:O279,0)),"未設定")</f>
        <v>標準形</v>
      </c>
      <c r="G279" s="48" t="str">
        <f aca="false">IFERROR(INDEX(前提条件!$C$12:$C$15,MATCH(1,L279:O279,0)),"未設定")</f>
        <v>標準期</v>
      </c>
      <c r="H279" s="44" t="str">
        <f aca="false">"S値+"&amp;E279&amp;"／"&amp;F279&amp;"（"&amp;G279&amp;"）"</f>
        <v>S値+3／標準形（標準期）</v>
      </c>
      <c r="J279" s="14" t="n">
        <f aca="false">IF(IF(前提条件!$G$6&lt;=前提条件!$H$6,AND($D279&gt;=前提条件!$G$6,$D279&lt;=前提条件!$H$6),OR($D279&gt;=前提条件!$G$6,$D279&lt;=前提条件!$H$6)),1,0)</f>
        <v>0</v>
      </c>
      <c r="K279" s="14" t="n">
        <f aca="false">IF(IF(前提条件!$G$7&lt;=前提条件!$H$7,AND($D279&gt;=前提条件!$G$7,$D279&lt;=前提条件!$H$7),OR($D279&gt;=前提条件!$G$7,$D279&lt;=前提条件!$H$7)),1,0)</f>
        <v>0</v>
      </c>
      <c r="L279" s="14" t="n">
        <f aca="false">IF(IF(前提条件!$H$12&lt;=前提条件!$I$12,AND($D279&gt;=前提条件!$H$12,$D279&lt;=前提条件!$I$12),OR($D279&gt;=前提条件!$H$12,$D279&lt;=前提条件!$I$12)),1,0)</f>
        <v>0</v>
      </c>
      <c r="M279" s="14" t="n">
        <f aca="false">IF(IF(前提条件!$H$13&lt;=前提条件!$I$13,AND($D279&gt;=前提条件!$H$13,$D279&lt;=前提条件!$I$13),OR($D279&gt;=前提条件!$H$13,$D279&lt;=前提条件!$I$13)),1,0)</f>
        <v>0</v>
      </c>
      <c r="N279" s="14" t="n">
        <f aca="false">IF(IF(前提条件!$H$14&lt;=前提条件!$I$14,AND($D279&gt;=前提条件!$H$14,$D279&lt;=前提条件!$I$14),OR($D279&gt;=前提条件!$H$14,$D279&lt;=前提条件!$I$14)),1,0)</f>
        <v>1</v>
      </c>
      <c r="O279" s="14" t="n">
        <f aca="false">IF(IF(前提条件!$H$15&lt;=前提条件!$I$15,AND($D279&gt;=前提条件!$H$15,$D279&lt;=前提条件!$I$15),OR($D279&gt;=前提条件!$H$15,$D279&lt;=前提条件!$I$15)),1,0)</f>
        <v>0</v>
      </c>
    </row>
    <row r="280" customFormat="false" ht="15" hidden="false" customHeight="false" outlineLevel="0" collapsed="false">
      <c r="A280" s="48" t="n">
        <v>10</v>
      </c>
      <c r="B280" s="48" t="n">
        <v>4</v>
      </c>
      <c r="C280" s="48" t="str">
        <f aca="false">A280&amp;"/"&amp;B280</f>
        <v>10/4</v>
      </c>
      <c r="D280" s="48" t="n">
        <f aca="false">A280*100+B280</f>
        <v>1004</v>
      </c>
      <c r="E280" s="45" t="n">
        <f aca="false">IF(SUM(J280:K280)&gt;0,前提条件!$B$6,前提条件!$B$8)</f>
        <v>3</v>
      </c>
      <c r="F280" s="48" t="str">
        <f aca="false">IFERROR(INDEX(前提条件!$B$12:$B$15,MATCH(1,L280:O280,0)),"未設定")</f>
        <v>標準形</v>
      </c>
      <c r="G280" s="48" t="str">
        <f aca="false">IFERROR(INDEX(前提条件!$C$12:$C$15,MATCH(1,L280:O280,0)),"未設定")</f>
        <v>標準期</v>
      </c>
      <c r="H280" s="44" t="str">
        <f aca="false">"S値+"&amp;E280&amp;"／"&amp;F280&amp;"（"&amp;G280&amp;"）"</f>
        <v>S値+3／標準形（標準期）</v>
      </c>
      <c r="J280" s="14" t="n">
        <f aca="false">IF(IF(前提条件!$G$6&lt;=前提条件!$H$6,AND($D280&gt;=前提条件!$G$6,$D280&lt;=前提条件!$H$6),OR($D280&gt;=前提条件!$G$6,$D280&lt;=前提条件!$H$6)),1,0)</f>
        <v>0</v>
      </c>
      <c r="K280" s="14" t="n">
        <f aca="false">IF(IF(前提条件!$G$7&lt;=前提条件!$H$7,AND($D280&gt;=前提条件!$G$7,$D280&lt;=前提条件!$H$7),OR($D280&gt;=前提条件!$G$7,$D280&lt;=前提条件!$H$7)),1,0)</f>
        <v>0</v>
      </c>
      <c r="L280" s="14" t="n">
        <f aca="false">IF(IF(前提条件!$H$12&lt;=前提条件!$I$12,AND($D280&gt;=前提条件!$H$12,$D280&lt;=前提条件!$I$12),OR($D280&gt;=前提条件!$H$12,$D280&lt;=前提条件!$I$12)),1,0)</f>
        <v>0</v>
      </c>
      <c r="M280" s="14" t="n">
        <f aca="false">IF(IF(前提条件!$H$13&lt;=前提条件!$I$13,AND($D280&gt;=前提条件!$H$13,$D280&lt;=前提条件!$I$13),OR($D280&gt;=前提条件!$H$13,$D280&lt;=前提条件!$I$13)),1,0)</f>
        <v>0</v>
      </c>
      <c r="N280" s="14" t="n">
        <f aca="false">IF(IF(前提条件!$H$14&lt;=前提条件!$I$14,AND($D280&gt;=前提条件!$H$14,$D280&lt;=前提条件!$I$14),OR($D280&gt;=前提条件!$H$14,$D280&lt;=前提条件!$I$14)),1,0)</f>
        <v>1</v>
      </c>
      <c r="O280" s="14" t="n">
        <f aca="false">IF(IF(前提条件!$H$15&lt;=前提条件!$I$15,AND($D280&gt;=前提条件!$H$15,$D280&lt;=前提条件!$I$15),OR($D280&gt;=前提条件!$H$15,$D280&lt;=前提条件!$I$15)),1,0)</f>
        <v>0</v>
      </c>
    </row>
    <row r="281" customFormat="false" ht="15" hidden="false" customHeight="false" outlineLevel="0" collapsed="false">
      <c r="A281" s="48" t="n">
        <v>10</v>
      </c>
      <c r="B281" s="48" t="n">
        <v>5</v>
      </c>
      <c r="C281" s="48" t="str">
        <f aca="false">A281&amp;"/"&amp;B281</f>
        <v>10/5</v>
      </c>
      <c r="D281" s="48" t="n">
        <f aca="false">A281*100+B281</f>
        <v>1005</v>
      </c>
      <c r="E281" s="45" t="n">
        <f aca="false">IF(SUM(J281:K281)&gt;0,前提条件!$B$6,前提条件!$B$8)</f>
        <v>3</v>
      </c>
      <c r="F281" s="48" t="str">
        <f aca="false">IFERROR(INDEX(前提条件!$B$12:$B$15,MATCH(1,L281:O281,0)),"未設定")</f>
        <v>標準形</v>
      </c>
      <c r="G281" s="48" t="str">
        <f aca="false">IFERROR(INDEX(前提条件!$C$12:$C$15,MATCH(1,L281:O281,0)),"未設定")</f>
        <v>標準期</v>
      </c>
      <c r="H281" s="44" t="str">
        <f aca="false">"S値+"&amp;E281&amp;"／"&amp;F281&amp;"（"&amp;G281&amp;"）"</f>
        <v>S値+3／標準形（標準期）</v>
      </c>
      <c r="J281" s="14" t="n">
        <f aca="false">IF(IF(前提条件!$G$6&lt;=前提条件!$H$6,AND($D281&gt;=前提条件!$G$6,$D281&lt;=前提条件!$H$6),OR($D281&gt;=前提条件!$G$6,$D281&lt;=前提条件!$H$6)),1,0)</f>
        <v>0</v>
      </c>
      <c r="K281" s="14" t="n">
        <f aca="false">IF(IF(前提条件!$G$7&lt;=前提条件!$H$7,AND($D281&gt;=前提条件!$G$7,$D281&lt;=前提条件!$H$7),OR($D281&gt;=前提条件!$G$7,$D281&lt;=前提条件!$H$7)),1,0)</f>
        <v>0</v>
      </c>
      <c r="L281" s="14" t="n">
        <f aca="false">IF(IF(前提条件!$H$12&lt;=前提条件!$I$12,AND($D281&gt;=前提条件!$H$12,$D281&lt;=前提条件!$I$12),OR($D281&gt;=前提条件!$H$12,$D281&lt;=前提条件!$I$12)),1,0)</f>
        <v>0</v>
      </c>
      <c r="M281" s="14" t="n">
        <f aca="false">IF(IF(前提条件!$H$13&lt;=前提条件!$I$13,AND($D281&gt;=前提条件!$H$13,$D281&lt;=前提条件!$I$13),OR($D281&gt;=前提条件!$H$13,$D281&lt;=前提条件!$I$13)),1,0)</f>
        <v>0</v>
      </c>
      <c r="N281" s="14" t="n">
        <f aca="false">IF(IF(前提条件!$H$14&lt;=前提条件!$I$14,AND($D281&gt;=前提条件!$H$14,$D281&lt;=前提条件!$I$14),OR($D281&gt;=前提条件!$H$14,$D281&lt;=前提条件!$I$14)),1,0)</f>
        <v>1</v>
      </c>
      <c r="O281" s="14" t="n">
        <f aca="false">IF(IF(前提条件!$H$15&lt;=前提条件!$I$15,AND($D281&gt;=前提条件!$H$15,$D281&lt;=前提条件!$I$15),OR($D281&gt;=前提条件!$H$15,$D281&lt;=前提条件!$I$15)),1,0)</f>
        <v>0</v>
      </c>
    </row>
    <row r="282" customFormat="false" ht="15" hidden="false" customHeight="false" outlineLevel="0" collapsed="false">
      <c r="A282" s="48" t="n">
        <v>10</v>
      </c>
      <c r="B282" s="48" t="n">
        <v>6</v>
      </c>
      <c r="C282" s="48" t="str">
        <f aca="false">A282&amp;"/"&amp;B282</f>
        <v>10/6</v>
      </c>
      <c r="D282" s="48" t="n">
        <f aca="false">A282*100+B282</f>
        <v>1006</v>
      </c>
      <c r="E282" s="45" t="n">
        <f aca="false">IF(SUM(J282:K282)&gt;0,前提条件!$B$6,前提条件!$B$8)</f>
        <v>3</v>
      </c>
      <c r="F282" s="48" t="str">
        <f aca="false">IFERROR(INDEX(前提条件!$B$12:$B$15,MATCH(1,L282:O282,0)),"未設定")</f>
        <v>標準形</v>
      </c>
      <c r="G282" s="48" t="str">
        <f aca="false">IFERROR(INDEX(前提条件!$C$12:$C$15,MATCH(1,L282:O282,0)),"未設定")</f>
        <v>標準期</v>
      </c>
      <c r="H282" s="44" t="str">
        <f aca="false">"S値+"&amp;E282&amp;"／"&amp;F282&amp;"（"&amp;G282&amp;"）"</f>
        <v>S値+3／標準形（標準期）</v>
      </c>
      <c r="J282" s="14" t="n">
        <f aca="false">IF(IF(前提条件!$G$6&lt;=前提条件!$H$6,AND($D282&gt;=前提条件!$G$6,$D282&lt;=前提条件!$H$6),OR($D282&gt;=前提条件!$G$6,$D282&lt;=前提条件!$H$6)),1,0)</f>
        <v>0</v>
      </c>
      <c r="K282" s="14" t="n">
        <f aca="false">IF(IF(前提条件!$G$7&lt;=前提条件!$H$7,AND($D282&gt;=前提条件!$G$7,$D282&lt;=前提条件!$H$7),OR($D282&gt;=前提条件!$G$7,$D282&lt;=前提条件!$H$7)),1,0)</f>
        <v>0</v>
      </c>
      <c r="L282" s="14" t="n">
        <f aca="false">IF(IF(前提条件!$H$12&lt;=前提条件!$I$12,AND($D282&gt;=前提条件!$H$12,$D282&lt;=前提条件!$I$12),OR($D282&gt;=前提条件!$H$12,$D282&lt;=前提条件!$I$12)),1,0)</f>
        <v>0</v>
      </c>
      <c r="M282" s="14" t="n">
        <f aca="false">IF(IF(前提条件!$H$13&lt;=前提条件!$I$13,AND($D282&gt;=前提条件!$H$13,$D282&lt;=前提条件!$I$13),OR($D282&gt;=前提条件!$H$13,$D282&lt;=前提条件!$I$13)),1,0)</f>
        <v>0</v>
      </c>
      <c r="N282" s="14" t="n">
        <f aca="false">IF(IF(前提条件!$H$14&lt;=前提条件!$I$14,AND($D282&gt;=前提条件!$H$14,$D282&lt;=前提条件!$I$14),OR($D282&gt;=前提条件!$H$14,$D282&lt;=前提条件!$I$14)),1,0)</f>
        <v>1</v>
      </c>
      <c r="O282" s="14" t="n">
        <f aca="false">IF(IF(前提条件!$H$15&lt;=前提条件!$I$15,AND($D282&gt;=前提条件!$H$15,$D282&lt;=前提条件!$I$15),OR($D282&gt;=前提条件!$H$15,$D282&lt;=前提条件!$I$15)),1,0)</f>
        <v>0</v>
      </c>
    </row>
    <row r="283" customFormat="false" ht="15" hidden="false" customHeight="false" outlineLevel="0" collapsed="false">
      <c r="A283" s="48" t="n">
        <v>10</v>
      </c>
      <c r="B283" s="48" t="n">
        <v>7</v>
      </c>
      <c r="C283" s="48" t="str">
        <f aca="false">A283&amp;"/"&amp;B283</f>
        <v>10/7</v>
      </c>
      <c r="D283" s="48" t="n">
        <f aca="false">A283*100+B283</f>
        <v>1007</v>
      </c>
      <c r="E283" s="45" t="n">
        <f aca="false">IF(SUM(J283:K283)&gt;0,前提条件!$B$6,前提条件!$B$8)</f>
        <v>3</v>
      </c>
      <c r="F283" s="48" t="str">
        <f aca="false">IFERROR(INDEX(前提条件!$B$12:$B$15,MATCH(1,L283:O283,0)),"未設定")</f>
        <v>標準形</v>
      </c>
      <c r="G283" s="48" t="str">
        <f aca="false">IFERROR(INDEX(前提条件!$C$12:$C$15,MATCH(1,L283:O283,0)),"未設定")</f>
        <v>標準期</v>
      </c>
      <c r="H283" s="44" t="str">
        <f aca="false">"S値+"&amp;E283&amp;"／"&amp;F283&amp;"（"&amp;G283&amp;"）"</f>
        <v>S値+3／標準形（標準期）</v>
      </c>
      <c r="J283" s="14" t="n">
        <f aca="false">IF(IF(前提条件!$G$6&lt;=前提条件!$H$6,AND($D283&gt;=前提条件!$G$6,$D283&lt;=前提条件!$H$6),OR($D283&gt;=前提条件!$G$6,$D283&lt;=前提条件!$H$6)),1,0)</f>
        <v>0</v>
      </c>
      <c r="K283" s="14" t="n">
        <f aca="false">IF(IF(前提条件!$G$7&lt;=前提条件!$H$7,AND($D283&gt;=前提条件!$G$7,$D283&lt;=前提条件!$H$7),OR($D283&gt;=前提条件!$G$7,$D283&lt;=前提条件!$H$7)),1,0)</f>
        <v>0</v>
      </c>
      <c r="L283" s="14" t="n">
        <f aca="false">IF(IF(前提条件!$H$12&lt;=前提条件!$I$12,AND($D283&gt;=前提条件!$H$12,$D283&lt;=前提条件!$I$12),OR($D283&gt;=前提条件!$H$12,$D283&lt;=前提条件!$I$12)),1,0)</f>
        <v>0</v>
      </c>
      <c r="M283" s="14" t="n">
        <f aca="false">IF(IF(前提条件!$H$13&lt;=前提条件!$I$13,AND($D283&gt;=前提条件!$H$13,$D283&lt;=前提条件!$I$13),OR($D283&gt;=前提条件!$H$13,$D283&lt;=前提条件!$I$13)),1,0)</f>
        <v>0</v>
      </c>
      <c r="N283" s="14" t="n">
        <f aca="false">IF(IF(前提条件!$H$14&lt;=前提条件!$I$14,AND($D283&gt;=前提条件!$H$14,$D283&lt;=前提条件!$I$14),OR($D283&gt;=前提条件!$H$14,$D283&lt;=前提条件!$I$14)),1,0)</f>
        <v>1</v>
      </c>
      <c r="O283" s="14" t="n">
        <f aca="false">IF(IF(前提条件!$H$15&lt;=前提条件!$I$15,AND($D283&gt;=前提条件!$H$15,$D283&lt;=前提条件!$I$15),OR($D283&gt;=前提条件!$H$15,$D283&lt;=前提条件!$I$15)),1,0)</f>
        <v>0</v>
      </c>
    </row>
    <row r="284" customFormat="false" ht="15" hidden="false" customHeight="false" outlineLevel="0" collapsed="false">
      <c r="A284" s="48" t="n">
        <v>10</v>
      </c>
      <c r="B284" s="48" t="n">
        <v>8</v>
      </c>
      <c r="C284" s="48" t="str">
        <f aca="false">A284&amp;"/"&amp;B284</f>
        <v>10/8</v>
      </c>
      <c r="D284" s="48" t="n">
        <f aca="false">A284*100+B284</f>
        <v>1008</v>
      </c>
      <c r="E284" s="45" t="n">
        <f aca="false">IF(SUM(J284:K284)&gt;0,前提条件!$B$6,前提条件!$B$8)</f>
        <v>3</v>
      </c>
      <c r="F284" s="48" t="str">
        <f aca="false">IFERROR(INDEX(前提条件!$B$12:$B$15,MATCH(1,L284:O284,0)),"未設定")</f>
        <v>標準形</v>
      </c>
      <c r="G284" s="48" t="str">
        <f aca="false">IFERROR(INDEX(前提条件!$C$12:$C$15,MATCH(1,L284:O284,0)),"未設定")</f>
        <v>標準期</v>
      </c>
      <c r="H284" s="44" t="str">
        <f aca="false">"S値+"&amp;E284&amp;"／"&amp;F284&amp;"（"&amp;G284&amp;"）"</f>
        <v>S値+3／標準形（標準期）</v>
      </c>
      <c r="J284" s="14" t="n">
        <f aca="false">IF(IF(前提条件!$G$6&lt;=前提条件!$H$6,AND($D284&gt;=前提条件!$G$6,$D284&lt;=前提条件!$H$6),OR($D284&gt;=前提条件!$G$6,$D284&lt;=前提条件!$H$6)),1,0)</f>
        <v>0</v>
      </c>
      <c r="K284" s="14" t="n">
        <f aca="false">IF(IF(前提条件!$G$7&lt;=前提条件!$H$7,AND($D284&gt;=前提条件!$G$7,$D284&lt;=前提条件!$H$7),OR($D284&gt;=前提条件!$G$7,$D284&lt;=前提条件!$H$7)),1,0)</f>
        <v>0</v>
      </c>
      <c r="L284" s="14" t="n">
        <f aca="false">IF(IF(前提条件!$H$12&lt;=前提条件!$I$12,AND($D284&gt;=前提条件!$H$12,$D284&lt;=前提条件!$I$12),OR($D284&gt;=前提条件!$H$12,$D284&lt;=前提条件!$I$12)),1,0)</f>
        <v>0</v>
      </c>
      <c r="M284" s="14" t="n">
        <f aca="false">IF(IF(前提条件!$H$13&lt;=前提条件!$I$13,AND($D284&gt;=前提条件!$H$13,$D284&lt;=前提条件!$I$13),OR($D284&gt;=前提条件!$H$13,$D284&lt;=前提条件!$I$13)),1,0)</f>
        <v>0</v>
      </c>
      <c r="N284" s="14" t="n">
        <f aca="false">IF(IF(前提条件!$H$14&lt;=前提条件!$I$14,AND($D284&gt;=前提条件!$H$14,$D284&lt;=前提条件!$I$14),OR($D284&gt;=前提条件!$H$14,$D284&lt;=前提条件!$I$14)),1,0)</f>
        <v>1</v>
      </c>
      <c r="O284" s="14" t="n">
        <f aca="false">IF(IF(前提条件!$H$15&lt;=前提条件!$I$15,AND($D284&gt;=前提条件!$H$15,$D284&lt;=前提条件!$I$15),OR($D284&gt;=前提条件!$H$15,$D284&lt;=前提条件!$I$15)),1,0)</f>
        <v>0</v>
      </c>
    </row>
    <row r="285" customFormat="false" ht="15" hidden="false" customHeight="false" outlineLevel="0" collapsed="false">
      <c r="A285" s="48" t="n">
        <v>10</v>
      </c>
      <c r="B285" s="48" t="n">
        <v>9</v>
      </c>
      <c r="C285" s="48" t="str">
        <f aca="false">A285&amp;"/"&amp;B285</f>
        <v>10/9</v>
      </c>
      <c r="D285" s="48" t="n">
        <f aca="false">A285*100+B285</f>
        <v>1009</v>
      </c>
      <c r="E285" s="45" t="n">
        <f aca="false">IF(SUM(J285:K285)&gt;0,前提条件!$B$6,前提条件!$B$8)</f>
        <v>3</v>
      </c>
      <c r="F285" s="48" t="str">
        <f aca="false">IFERROR(INDEX(前提条件!$B$12:$B$15,MATCH(1,L285:O285,0)),"未設定")</f>
        <v>標準形</v>
      </c>
      <c r="G285" s="48" t="str">
        <f aca="false">IFERROR(INDEX(前提条件!$C$12:$C$15,MATCH(1,L285:O285,0)),"未設定")</f>
        <v>標準期</v>
      </c>
      <c r="H285" s="44" t="str">
        <f aca="false">"S値+"&amp;E285&amp;"／"&amp;F285&amp;"（"&amp;G285&amp;"）"</f>
        <v>S値+3／標準形（標準期）</v>
      </c>
      <c r="J285" s="14" t="n">
        <f aca="false">IF(IF(前提条件!$G$6&lt;=前提条件!$H$6,AND($D285&gt;=前提条件!$G$6,$D285&lt;=前提条件!$H$6),OR($D285&gt;=前提条件!$G$6,$D285&lt;=前提条件!$H$6)),1,0)</f>
        <v>0</v>
      </c>
      <c r="K285" s="14" t="n">
        <f aca="false">IF(IF(前提条件!$G$7&lt;=前提条件!$H$7,AND($D285&gt;=前提条件!$G$7,$D285&lt;=前提条件!$H$7),OR($D285&gt;=前提条件!$G$7,$D285&lt;=前提条件!$H$7)),1,0)</f>
        <v>0</v>
      </c>
      <c r="L285" s="14" t="n">
        <f aca="false">IF(IF(前提条件!$H$12&lt;=前提条件!$I$12,AND($D285&gt;=前提条件!$H$12,$D285&lt;=前提条件!$I$12),OR($D285&gt;=前提条件!$H$12,$D285&lt;=前提条件!$I$12)),1,0)</f>
        <v>0</v>
      </c>
      <c r="M285" s="14" t="n">
        <f aca="false">IF(IF(前提条件!$H$13&lt;=前提条件!$I$13,AND($D285&gt;=前提条件!$H$13,$D285&lt;=前提条件!$I$13),OR($D285&gt;=前提条件!$H$13,$D285&lt;=前提条件!$I$13)),1,0)</f>
        <v>0</v>
      </c>
      <c r="N285" s="14" t="n">
        <f aca="false">IF(IF(前提条件!$H$14&lt;=前提条件!$I$14,AND($D285&gt;=前提条件!$H$14,$D285&lt;=前提条件!$I$14),OR($D285&gt;=前提条件!$H$14,$D285&lt;=前提条件!$I$14)),1,0)</f>
        <v>1</v>
      </c>
      <c r="O285" s="14" t="n">
        <f aca="false">IF(IF(前提条件!$H$15&lt;=前提条件!$I$15,AND($D285&gt;=前提条件!$H$15,$D285&lt;=前提条件!$I$15),OR($D285&gt;=前提条件!$H$15,$D285&lt;=前提条件!$I$15)),1,0)</f>
        <v>0</v>
      </c>
    </row>
    <row r="286" customFormat="false" ht="15" hidden="false" customHeight="false" outlineLevel="0" collapsed="false">
      <c r="A286" s="48" t="n">
        <v>10</v>
      </c>
      <c r="B286" s="48" t="n">
        <v>10</v>
      </c>
      <c r="C286" s="48" t="str">
        <f aca="false">A286&amp;"/"&amp;B286</f>
        <v>10/10</v>
      </c>
      <c r="D286" s="48" t="n">
        <f aca="false">A286*100+B286</f>
        <v>1010</v>
      </c>
      <c r="E286" s="45" t="n">
        <f aca="false">IF(SUM(J286:K286)&gt;0,前提条件!$B$6,前提条件!$B$8)</f>
        <v>3</v>
      </c>
      <c r="F286" s="48" t="str">
        <f aca="false">IFERROR(INDEX(前提条件!$B$12:$B$15,MATCH(1,L286:O286,0)),"未設定")</f>
        <v>標準形</v>
      </c>
      <c r="G286" s="48" t="str">
        <f aca="false">IFERROR(INDEX(前提条件!$C$12:$C$15,MATCH(1,L286:O286,0)),"未設定")</f>
        <v>標準期</v>
      </c>
      <c r="H286" s="44" t="str">
        <f aca="false">"S値+"&amp;E286&amp;"／"&amp;F286&amp;"（"&amp;G286&amp;"）"</f>
        <v>S値+3／標準形（標準期）</v>
      </c>
      <c r="J286" s="14" t="n">
        <f aca="false">IF(IF(前提条件!$G$6&lt;=前提条件!$H$6,AND($D286&gt;=前提条件!$G$6,$D286&lt;=前提条件!$H$6),OR($D286&gt;=前提条件!$G$6,$D286&lt;=前提条件!$H$6)),1,0)</f>
        <v>0</v>
      </c>
      <c r="K286" s="14" t="n">
        <f aca="false">IF(IF(前提条件!$G$7&lt;=前提条件!$H$7,AND($D286&gt;=前提条件!$G$7,$D286&lt;=前提条件!$H$7),OR($D286&gt;=前提条件!$G$7,$D286&lt;=前提条件!$H$7)),1,0)</f>
        <v>0</v>
      </c>
      <c r="L286" s="14" t="n">
        <f aca="false">IF(IF(前提条件!$H$12&lt;=前提条件!$I$12,AND($D286&gt;=前提条件!$H$12,$D286&lt;=前提条件!$I$12),OR($D286&gt;=前提条件!$H$12,$D286&lt;=前提条件!$I$12)),1,0)</f>
        <v>0</v>
      </c>
      <c r="M286" s="14" t="n">
        <f aca="false">IF(IF(前提条件!$H$13&lt;=前提条件!$I$13,AND($D286&gt;=前提条件!$H$13,$D286&lt;=前提条件!$I$13),OR($D286&gt;=前提条件!$H$13,$D286&lt;=前提条件!$I$13)),1,0)</f>
        <v>0</v>
      </c>
      <c r="N286" s="14" t="n">
        <f aca="false">IF(IF(前提条件!$H$14&lt;=前提条件!$I$14,AND($D286&gt;=前提条件!$H$14,$D286&lt;=前提条件!$I$14),OR($D286&gt;=前提条件!$H$14,$D286&lt;=前提条件!$I$14)),1,0)</f>
        <v>1</v>
      </c>
      <c r="O286" s="14" t="n">
        <f aca="false">IF(IF(前提条件!$H$15&lt;=前提条件!$I$15,AND($D286&gt;=前提条件!$H$15,$D286&lt;=前提条件!$I$15),OR($D286&gt;=前提条件!$H$15,$D286&lt;=前提条件!$I$15)),1,0)</f>
        <v>0</v>
      </c>
    </row>
    <row r="287" customFormat="false" ht="15" hidden="false" customHeight="false" outlineLevel="0" collapsed="false">
      <c r="A287" s="48" t="n">
        <v>10</v>
      </c>
      <c r="B287" s="48" t="n">
        <v>11</v>
      </c>
      <c r="C287" s="48" t="str">
        <f aca="false">A287&amp;"/"&amp;B287</f>
        <v>10/11</v>
      </c>
      <c r="D287" s="48" t="n">
        <f aca="false">A287*100+B287</f>
        <v>1011</v>
      </c>
      <c r="E287" s="45" t="n">
        <f aca="false">IF(SUM(J287:K287)&gt;0,前提条件!$B$6,前提条件!$B$8)</f>
        <v>3</v>
      </c>
      <c r="F287" s="48" t="str">
        <f aca="false">IFERROR(INDEX(前提条件!$B$12:$B$15,MATCH(1,L287:O287,0)),"未設定")</f>
        <v>標準形</v>
      </c>
      <c r="G287" s="48" t="str">
        <f aca="false">IFERROR(INDEX(前提条件!$C$12:$C$15,MATCH(1,L287:O287,0)),"未設定")</f>
        <v>標準期</v>
      </c>
      <c r="H287" s="44" t="str">
        <f aca="false">"S値+"&amp;E287&amp;"／"&amp;F287&amp;"（"&amp;G287&amp;"）"</f>
        <v>S値+3／標準形（標準期）</v>
      </c>
      <c r="J287" s="14" t="n">
        <f aca="false">IF(IF(前提条件!$G$6&lt;=前提条件!$H$6,AND($D287&gt;=前提条件!$G$6,$D287&lt;=前提条件!$H$6),OR($D287&gt;=前提条件!$G$6,$D287&lt;=前提条件!$H$6)),1,0)</f>
        <v>0</v>
      </c>
      <c r="K287" s="14" t="n">
        <f aca="false">IF(IF(前提条件!$G$7&lt;=前提条件!$H$7,AND($D287&gt;=前提条件!$G$7,$D287&lt;=前提条件!$H$7),OR($D287&gt;=前提条件!$G$7,$D287&lt;=前提条件!$H$7)),1,0)</f>
        <v>0</v>
      </c>
      <c r="L287" s="14" t="n">
        <f aca="false">IF(IF(前提条件!$H$12&lt;=前提条件!$I$12,AND($D287&gt;=前提条件!$H$12,$D287&lt;=前提条件!$I$12),OR($D287&gt;=前提条件!$H$12,$D287&lt;=前提条件!$I$12)),1,0)</f>
        <v>0</v>
      </c>
      <c r="M287" s="14" t="n">
        <f aca="false">IF(IF(前提条件!$H$13&lt;=前提条件!$I$13,AND($D287&gt;=前提条件!$H$13,$D287&lt;=前提条件!$I$13),OR($D287&gt;=前提条件!$H$13,$D287&lt;=前提条件!$I$13)),1,0)</f>
        <v>0</v>
      </c>
      <c r="N287" s="14" t="n">
        <f aca="false">IF(IF(前提条件!$H$14&lt;=前提条件!$I$14,AND($D287&gt;=前提条件!$H$14,$D287&lt;=前提条件!$I$14),OR($D287&gt;=前提条件!$H$14,$D287&lt;=前提条件!$I$14)),1,0)</f>
        <v>1</v>
      </c>
      <c r="O287" s="14" t="n">
        <f aca="false">IF(IF(前提条件!$H$15&lt;=前提条件!$I$15,AND($D287&gt;=前提条件!$H$15,$D287&lt;=前提条件!$I$15),OR($D287&gt;=前提条件!$H$15,$D287&lt;=前提条件!$I$15)),1,0)</f>
        <v>0</v>
      </c>
    </row>
    <row r="288" customFormat="false" ht="15" hidden="false" customHeight="false" outlineLevel="0" collapsed="false">
      <c r="A288" s="48" t="n">
        <v>10</v>
      </c>
      <c r="B288" s="48" t="n">
        <v>12</v>
      </c>
      <c r="C288" s="48" t="str">
        <f aca="false">A288&amp;"/"&amp;B288</f>
        <v>10/12</v>
      </c>
      <c r="D288" s="48" t="n">
        <f aca="false">A288*100+B288</f>
        <v>1012</v>
      </c>
      <c r="E288" s="45" t="n">
        <f aca="false">IF(SUM(J288:K288)&gt;0,前提条件!$B$6,前提条件!$B$8)</f>
        <v>3</v>
      </c>
      <c r="F288" s="48" t="str">
        <f aca="false">IFERROR(INDEX(前提条件!$B$12:$B$15,MATCH(1,L288:O288,0)),"未設定")</f>
        <v>標準形</v>
      </c>
      <c r="G288" s="48" t="str">
        <f aca="false">IFERROR(INDEX(前提条件!$C$12:$C$15,MATCH(1,L288:O288,0)),"未設定")</f>
        <v>標準期</v>
      </c>
      <c r="H288" s="44" t="str">
        <f aca="false">"S値+"&amp;E288&amp;"／"&amp;F288&amp;"（"&amp;G288&amp;"）"</f>
        <v>S値+3／標準形（標準期）</v>
      </c>
      <c r="J288" s="14" t="n">
        <f aca="false">IF(IF(前提条件!$G$6&lt;=前提条件!$H$6,AND($D288&gt;=前提条件!$G$6,$D288&lt;=前提条件!$H$6),OR($D288&gt;=前提条件!$G$6,$D288&lt;=前提条件!$H$6)),1,0)</f>
        <v>0</v>
      </c>
      <c r="K288" s="14" t="n">
        <f aca="false">IF(IF(前提条件!$G$7&lt;=前提条件!$H$7,AND($D288&gt;=前提条件!$G$7,$D288&lt;=前提条件!$H$7),OR($D288&gt;=前提条件!$G$7,$D288&lt;=前提条件!$H$7)),1,0)</f>
        <v>0</v>
      </c>
      <c r="L288" s="14" t="n">
        <f aca="false">IF(IF(前提条件!$H$12&lt;=前提条件!$I$12,AND($D288&gt;=前提条件!$H$12,$D288&lt;=前提条件!$I$12),OR($D288&gt;=前提条件!$H$12,$D288&lt;=前提条件!$I$12)),1,0)</f>
        <v>0</v>
      </c>
      <c r="M288" s="14" t="n">
        <f aca="false">IF(IF(前提条件!$H$13&lt;=前提条件!$I$13,AND($D288&gt;=前提条件!$H$13,$D288&lt;=前提条件!$I$13),OR($D288&gt;=前提条件!$H$13,$D288&lt;=前提条件!$I$13)),1,0)</f>
        <v>0</v>
      </c>
      <c r="N288" s="14" t="n">
        <f aca="false">IF(IF(前提条件!$H$14&lt;=前提条件!$I$14,AND($D288&gt;=前提条件!$H$14,$D288&lt;=前提条件!$I$14),OR($D288&gt;=前提条件!$H$14,$D288&lt;=前提条件!$I$14)),1,0)</f>
        <v>1</v>
      </c>
      <c r="O288" s="14" t="n">
        <f aca="false">IF(IF(前提条件!$H$15&lt;=前提条件!$I$15,AND($D288&gt;=前提条件!$H$15,$D288&lt;=前提条件!$I$15),OR($D288&gt;=前提条件!$H$15,$D288&lt;=前提条件!$I$15)),1,0)</f>
        <v>0</v>
      </c>
    </row>
    <row r="289" customFormat="false" ht="15" hidden="false" customHeight="false" outlineLevel="0" collapsed="false">
      <c r="A289" s="48" t="n">
        <v>10</v>
      </c>
      <c r="B289" s="48" t="n">
        <v>13</v>
      </c>
      <c r="C289" s="48" t="str">
        <f aca="false">A289&amp;"/"&amp;B289</f>
        <v>10/13</v>
      </c>
      <c r="D289" s="48" t="n">
        <f aca="false">A289*100+B289</f>
        <v>1013</v>
      </c>
      <c r="E289" s="45" t="n">
        <f aca="false">IF(SUM(J289:K289)&gt;0,前提条件!$B$6,前提条件!$B$8)</f>
        <v>3</v>
      </c>
      <c r="F289" s="48" t="str">
        <f aca="false">IFERROR(INDEX(前提条件!$B$12:$B$15,MATCH(1,L289:O289,0)),"未設定")</f>
        <v>標準形</v>
      </c>
      <c r="G289" s="48" t="str">
        <f aca="false">IFERROR(INDEX(前提条件!$C$12:$C$15,MATCH(1,L289:O289,0)),"未設定")</f>
        <v>標準期</v>
      </c>
      <c r="H289" s="44" t="str">
        <f aca="false">"S値+"&amp;E289&amp;"／"&amp;F289&amp;"（"&amp;G289&amp;"）"</f>
        <v>S値+3／標準形（標準期）</v>
      </c>
      <c r="J289" s="14" t="n">
        <f aca="false">IF(IF(前提条件!$G$6&lt;=前提条件!$H$6,AND($D289&gt;=前提条件!$G$6,$D289&lt;=前提条件!$H$6),OR($D289&gt;=前提条件!$G$6,$D289&lt;=前提条件!$H$6)),1,0)</f>
        <v>0</v>
      </c>
      <c r="K289" s="14" t="n">
        <f aca="false">IF(IF(前提条件!$G$7&lt;=前提条件!$H$7,AND($D289&gt;=前提条件!$G$7,$D289&lt;=前提条件!$H$7),OR($D289&gt;=前提条件!$G$7,$D289&lt;=前提条件!$H$7)),1,0)</f>
        <v>0</v>
      </c>
      <c r="L289" s="14" t="n">
        <f aca="false">IF(IF(前提条件!$H$12&lt;=前提条件!$I$12,AND($D289&gt;=前提条件!$H$12,$D289&lt;=前提条件!$I$12),OR($D289&gt;=前提条件!$H$12,$D289&lt;=前提条件!$I$12)),1,0)</f>
        <v>0</v>
      </c>
      <c r="M289" s="14" t="n">
        <f aca="false">IF(IF(前提条件!$H$13&lt;=前提条件!$I$13,AND($D289&gt;=前提条件!$H$13,$D289&lt;=前提条件!$I$13),OR($D289&gt;=前提条件!$H$13,$D289&lt;=前提条件!$I$13)),1,0)</f>
        <v>0</v>
      </c>
      <c r="N289" s="14" t="n">
        <f aca="false">IF(IF(前提条件!$H$14&lt;=前提条件!$I$14,AND($D289&gt;=前提条件!$H$14,$D289&lt;=前提条件!$I$14),OR($D289&gt;=前提条件!$H$14,$D289&lt;=前提条件!$I$14)),1,0)</f>
        <v>1</v>
      </c>
      <c r="O289" s="14" t="n">
        <f aca="false">IF(IF(前提条件!$H$15&lt;=前提条件!$I$15,AND($D289&gt;=前提条件!$H$15,$D289&lt;=前提条件!$I$15),OR($D289&gt;=前提条件!$H$15,$D289&lt;=前提条件!$I$15)),1,0)</f>
        <v>0</v>
      </c>
    </row>
    <row r="290" customFormat="false" ht="15" hidden="false" customHeight="false" outlineLevel="0" collapsed="false">
      <c r="A290" s="48" t="n">
        <v>10</v>
      </c>
      <c r="B290" s="48" t="n">
        <v>14</v>
      </c>
      <c r="C290" s="48" t="str">
        <f aca="false">A290&amp;"/"&amp;B290</f>
        <v>10/14</v>
      </c>
      <c r="D290" s="48" t="n">
        <f aca="false">A290*100+B290</f>
        <v>1014</v>
      </c>
      <c r="E290" s="45" t="n">
        <f aca="false">IF(SUM(J290:K290)&gt;0,前提条件!$B$6,前提条件!$B$8)</f>
        <v>3</v>
      </c>
      <c r="F290" s="48" t="str">
        <f aca="false">IFERROR(INDEX(前提条件!$B$12:$B$15,MATCH(1,L290:O290,0)),"未設定")</f>
        <v>標準形</v>
      </c>
      <c r="G290" s="48" t="str">
        <f aca="false">IFERROR(INDEX(前提条件!$C$12:$C$15,MATCH(1,L290:O290,0)),"未設定")</f>
        <v>標準期</v>
      </c>
      <c r="H290" s="44" t="str">
        <f aca="false">"S値+"&amp;E290&amp;"／"&amp;F290&amp;"（"&amp;G290&amp;"）"</f>
        <v>S値+3／標準形（標準期）</v>
      </c>
      <c r="J290" s="14" t="n">
        <f aca="false">IF(IF(前提条件!$G$6&lt;=前提条件!$H$6,AND($D290&gt;=前提条件!$G$6,$D290&lt;=前提条件!$H$6),OR($D290&gt;=前提条件!$G$6,$D290&lt;=前提条件!$H$6)),1,0)</f>
        <v>0</v>
      </c>
      <c r="K290" s="14" t="n">
        <f aca="false">IF(IF(前提条件!$G$7&lt;=前提条件!$H$7,AND($D290&gt;=前提条件!$G$7,$D290&lt;=前提条件!$H$7),OR($D290&gt;=前提条件!$G$7,$D290&lt;=前提条件!$H$7)),1,0)</f>
        <v>0</v>
      </c>
      <c r="L290" s="14" t="n">
        <f aca="false">IF(IF(前提条件!$H$12&lt;=前提条件!$I$12,AND($D290&gt;=前提条件!$H$12,$D290&lt;=前提条件!$I$12),OR($D290&gt;=前提条件!$H$12,$D290&lt;=前提条件!$I$12)),1,0)</f>
        <v>0</v>
      </c>
      <c r="M290" s="14" t="n">
        <f aca="false">IF(IF(前提条件!$H$13&lt;=前提条件!$I$13,AND($D290&gt;=前提条件!$H$13,$D290&lt;=前提条件!$I$13),OR($D290&gt;=前提条件!$H$13,$D290&lt;=前提条件!$I$13)),1,0)</f>
        <v>0</v>
      </c>
      <c r="N290" s="14" t="n">
        <f aca="false">IF(IF(前提条件!$H$14&lt;=前提条件!$I$14,AND($D290&gt;=前提条件!$H$14,$D290&lt;=前提条件!$I$14),OR($D290&gt;=前提条件!$H$14,$D290&lt;=前提条件!$I$14)),1,0)</f>
        <v>1</v>
      </c>
      <c r="O290" s="14" t="n">
        <f aca="false">IF(IF(前提条件!$H$15&lt;=前提条件!$I$15,AND($D290&gt;=前提条件!$H$15,$D290&lt;=前提条件!$I$15),OR($D290&gt;=前提条件!$H$15,$D290&lt;=前提条件!$I$15)),1,0)</f>
        <v>0</v>
      </c>
    </row>
    <row r="291" customFormat="false" ht="15" hidden="false" customHeight="false" outlineLevel="0" collapsed="false">
      <c r="A291" s="48" t="n">
        <v>10</v>
      </c>
      <c r="B291" s="48" t="n">
        <v>15</v>
      </c>
      <c r="C291" s="48" t="str">
        <f aca="false">A291&amp;"/"&amp;B291</f>
        <v>10/15</v>
      </c>
      <c r="D291" s="48" t="n">
        <f aca="false">A291*100+B291</f>
        <v>1015</v>
      </c>
      <c r="E291" s="45" t="n">
        <f aca="false">IF(SUM(J291:K291)&gt;0,前提条件!$B$6,前提条件!$B$8)</f>
        <v>3</v>
      </c>
      <c r="F291" s="48" t="str">
        <f aca="false">IFERROR(INDEX(前提条件!$B$12:$B$15,MATCH(1,L291:O291,0)),"未設定")</f>
        <v>標準形</v>
      </c>
      <c r="G291" s="48" t="str">
        <f aca="false">IFERROR(INDEX(前提条件!$C$12:$C$15,MATCH(1,L291:O291,0)),"未設定")</f>
        <v>標準期</v>
      </c>
      <c r="H291" s="44" t="str">
        <f aca="false">"S値+"&amp;E291&amp;"／"&amp;F291&amp;"（"&amp;G291&amp;"）"</f>
        <v>S値+3／標準形（標準期）</v>
      </c>
      <c r="J291" s="14" t="n">
        <f aca="false">IF(IF(前提条件!$G$6&lt;=前提条件!$H$6,AND($D291&gt;=前提条件!$G$6,$D291&lt;=前提条件!$H$6),OR($D291&gt;=前提条件!$G$6,$D291&lt;=前提条件!$H$6)),1,0)</f>
        <v>0</v>
      </c>
      <c r="K291" s="14" t="n">
        <f aca="false">IF(IF(前提条件!$G$7&lt;=前提条件!$H$7,AND($D291&gt;=前提条件!$G$7,$D291&lt;=前提条件!$H$7),OR($D291&gt;=前提条件!$G$7,$D291&lt;=前提条件!$H$7)),1,0)</f>
        <v>0</v>
      </c>
      <c r="L291" s="14" t="n">
        <f aca="false">IF(IF(前提条件!$H$12&lt;=前提条件!$I$12,AND($D291&gt;=前提条件!$H$12,$D291&lt;=前提条件!$I$12),OR($D291&gt;=前提条件!$H$12,$D291&lt;=前提条件!$I$12)),1,0)</f>
        <v>0</v>
      </c>
      <c r="M291" s="14" t="n">
        <f aca="false">IF(IF(前提条件!$H$13&lt;=前提条件!$I$13,AND($D291&gt;=前提条件!$H$13,$D291&lt;=前提条件!$I$13),OR($D291&gt;=前提条件!$H$13,$D291&lt;=前提条件!$I$13)),1,0)</f>
        <v>0</v>
      </c>
      <c r="N291" s="14" t="n">
        <f aca="false">IF(IF(前提条件!$H$14&lt;=前提条件!$I$14,AND($D291&gt;=前提条件!$H$14,$D291&lt;=前提条件!$I$14),OR($D291&gt;=前提条件!$H$14,$D291&lt;=前提条件!$I$14)),1,0)</f>
        <v>1</v>
      </c>
      <c r="O291" s="14" t="n">
        <f aca="false">IF(IF(前提条件!$H$15&lt;=前提条件!$I$15,AND($D291&gt;=前提条件!$H$15,$D291&lt;=前提条件!$I$15),OR($D291&gt;=前提条件!$H$15,$D291&lt;=前提条件!$I$15)),1,0)</f>
        <v>0</v>
      </c>
    </row>
    <row r="292" customFormat="false" ht="15" hidden="false" customHeight="false" outlineLevel="0" collapsed="false">
      <c r="A292" s="48" t="n">
        <v>10</v>
      </c>
      <c r="B292" s="48" t="n">
        <v>16</v>
      </c>
      <c r="C292" s="48" t="str">
        <f aca="false">A292&amp;"/"&amp;B292</f>
        <v>10/16</v>
      </c>
      <c r="D292" s="48" t="n">
        <f aca="false">A292*100+B292</f>
        <v>1016</v>
      </c>
      <c r="E292" s="45" t="n">
        <f aca="false">IF(SUM(J292:K292)&gt;0,前提条件!$B$6,前提条件!$B$8)</f>
        <v>3</v>
      </c>
      <c r="F292" s="48" t="str">
        <f aca="false">IFERROR(INDEX(前提条件!$B$12:$B$15,MATCH(1,L292:O292,0)),"未設定")</f>
        <v>標準形</v>
      </c>
      <c r="G292" s="48" t="str">
        <f aca="false">IFERROR(INDEX(前提条件!$C$12:$C$15,MATCH(1,L292:O292,0)),"未設定")</f>
        <v>標準期</v>
      </c>
      <c r="H292" s="44" t="str">
        <f aca="false">"S値+"&amp;E292&amp;"／"&amp;F292&amp;"（"&amp;G292&amp;"）"</f>
        <v>S値+3／標準形（標準期）</v>
      </c>
      <c r="J292" s="14" t="n">
        <f aca="false">IF(IF(前提条件!$G$6&lt;=前提条件!$H$6,AND($D292&gt;=前提条件!$G$6,$D292&lt;=前提条件!$H$6),OR($D292&gt;=前提条件!$G$6,$D292&lt;=前提条件!$H$6)),1,0)</f>
        <v>0</v>
      </c>
      <c r="K292" s="14" t="n">
        <f aca="false">IF(IF(前提条件!$G$7&lt;=前提条件!$H$7,AND($D292&gt;=前提条件!$G$7,$D292&lt;=前提条件!$H$7),OR($D292&gt;=前提条件!$G$7,$D292&lt;=前提条件!$H$7)),1,0)</f>
        <v>0</v>
      </c>
      <c r="L292" s="14" t="n">
        <f aca="false">IF(IF(前提条件!$H$12&lt;=前提条件!$I$12,AND($D292&gt;=前提条件!$H$12,$D292&lt;=前提条件!$I$12),OR($D292&gt;=前提条件!$H$12,$D292&lt;=前提条件!$I$12)),1,0)</f>
        <v>0</v>
      </c>
      <c r="M292" s="14" t="n">
        <f aca="false">IF(IF(前提条件!$H$13&lt;=前提条件!$I$13,AND($D292&gt;=前提条件!$H$13,$D292&lt;=前提条件!$I$13),OR($D292&gt;=前提条件!$H$13,$D292&lt;=前提条件!$I$13)),1,0)</f>
        <v>0</v>
      </c>
      <c r="N292" s="14" t="n">
        <f aca="false">IF(IF(前提条件!$H$14&lt;=前提条件!$I$14,AND($D292&gt;=前提条件!$H$14,$D292&lt;=前提条件!$I$14),OR($D292&gt;=前提条件!$H$14,$D292&lt;=前提条件!$I$14)),1,0)</f>
        <v>1</v>
      </c>
      <c r="O292" s="14" t="n">
        <f aca="false">IF(IF(前提条件!$H$15&lt;=前提条件!$I$15,AND($D292&gt;=前提条件!$H$15,$D292&lt;=前提条件!$I$15),OR($D292&gt;=前提条件!$H$15,$D292&lt;=前提条件!$I$15)),1,0)</f>
        <v>0</v>
      </c>
    </row>
    <row r="293" customFormat="false" ht="15" hidden="false" customHeight="false" outlineLevel="0" collapsed="false">
      <c r="A293" s="48" t="n">
        <v>10</v>
      </c>
      <c r="B293" s="48" t="n">
        <v>17</v>
      </c>
      <c r="C293" s="48" t="str">
        <f aca="false">A293&amp;"/"&amp;B293</f>
        <v>10/17</v>
      </c>
      <c r="D293" s="48" t="n">
        <f aca="false">A293*100+B293</f>
        <v>1017</v>
      </c>
      <c r="E293" s="45" t="n">
        <f aca="false">IF(SUM(J293:K293)&gt;0,前提条件!$B$6,前提条件!$B$8)</f>
        <v>3</v>
      </c>
      <c r="F293" s="48" t="str">
        <f aca="false">IFERROR(INDEX(前提条件!$B$12:$B$15,MATCH(1,L293:O293,0)),"未設定")</f>
        <v>標準形</v>
      </c>
      <c r="G293" s="48" t="str">
        <f aca="false">IFERROR(INDEX(前提条件!$C$12:$C$15,MATCH(1,L293:O293,0)),"未設定")</f>
        <v>標準期</v>
      </c>
      <c r="H293" s="44" t="str">
        <f aca="false">"S値+"&amp;E293&amp;"／"&amp;F293&amp;"（"&amp;G293&amp;"）"</f>
        <v>S値+3／標準形（標準期）</v>
      </c>
      <c r="J293" s="14" t="n">
        <f aca="false">IF(IF(前提条件!$G$6&lt;=前提条件!$H$6,AND($D293&gt;=前提条件!$G$6,$D293&lt;=前提条件!$H$6),OR($D293&gt;=前提条件!$G$6,$D293&lt;=前提条件!$H$6)),1,0)</f>
        <v>0</v>
      </c>
      <c r="K293" s="14" t="n">
        <f aca="false">IF(IF(前提条件!$G$7&lt;=前提条件!$H$7,AND($D293&gt;=前提条件!$G$7,$D293&lt;=前提条件!$H$7),OR($D293&gt;=前提条件!$G$7,$D293&lt;=前提条件!$H$7)),1,0)</f>
        <v>0</v>
      </c>
      <c r="L293" s="14" t="n">
        <f aca="false">IF(IF(前提条件!$H$12&lt;=前提条件!$I$12,AND($D293&gt;=前提条件!$H$12,$D293&lt;=前提条件!$I$12),OR($D293&gt;=前提条件!$H$12,$D293&lt;=前提条件!$I$12)),1,0)</f>
        <v>0</v>
      </c>
      <c r="M293" s="14" t="n">
        <f aca="false">IF(IF(前提条件!$H$13&lt;=前提条件!$I$13,AND($D293&gt;=前提条件!$H$13,$D293&lt;=前提条件!$I$13),OR($D293&gt;=前提条件!$H$13,$D293&lt;=前提条件!$I$13)),1,0)</f>
        <v>0</v>
      </c>
      <c r="N293" s="14" t="n">
        <f aca="false">IF(IF(前提条件!$H$14&lt;=前提条件!$I$14,AND($D293&gt;=前提条件!$H$14,$D293&lt;=前提条件!$I$14),OR($D293&gt;=前提条件!$H$14,$D293&lt;=前提条件!$I$14)),1,0)</f>
        <v>1</v>
      </c>
      <c r="O293" s="14" t="n">
        <f aca="false">IF(IF(前提条件!$H$15&lt;=前提条件!$I$15,AND($D293&gt;=前提条件!$H$15,$D293&lt;=前提条件!$I$15),OR($D293&gt;=前提条件!$H$15,$D293&lt;=前提条件!$I$15)),1,0)</f>
        <v>0</v>
      </c>
    </row>
    <row r="294" customFormat="false" ht="15" hidden="false" customHeight="false" outlineLevel="0" collapsed="false">
      <c r="A294" s="48" t="n">
        <v>10</v>
      </c>
      <c r="B294" s="48" t="n">
        <v>18</v>
      </c>
      <c r="C294" s="48" t="str">
        <f aca="false">A294&amp;"/"&amp;B294</f>
        <v>10/18</v>
      </c>
      <c r="D294" s="48" t="n">
        <f aca="false">A294*100+B294</f>
        <v>1018</v>
      </c>
      <c r="E294" s="45" t="n">
        <f aca="false">IF(SUM(J294:K294)&gt;0,前提条件!$B$6,前提条件!$B$8)</f>
        <v>3</v>
      </c>
      <c r="F294" s="48" t="str">
        <f aca="false">IFERROR(INDEX(前提条件!$B$12:$B$15,MATCH(1,L294:O294,0)),"未設定")</f>
        <v>標準形</v>
      </c>
      <c r="G294" s="48" t="str">
        <f aca="false">IFERROR(INDEX(前提条件!$C$12:$C$15,MATCH(1,L294:O294,0)),"未設定")</f>
        <v>標準期</v>
      </c>
      <c r="H294" s="44" t="str">
        <f aca="false">"S値+"&amp;E294&amp;"／"&amp;F294&amp;"（"&amp;G294&amp;"）"</f>
        <v>S値+3／標準形（標準期）</v>
      </c>
      <c r="J294" s="14" t="n">
        <f aca="false">IF(IF(前提条件!$G$6&lt;=前提条件!$H$6,AND($D294&gt;=前提条件!$G$6,$D294&lt;=前提条件!$H$6),OR($D294&gt;=前提条件!$G$6,$D294&lt;=前提条件!$H$6)),1,0)</f>
        <v>0</v>
      </c>
      <c r="K294" s="14" t="n">
        <f aca="false">IF(IF(前提条件!$G$7&lt;=前提条件!$H$7,AND($D294&gt;=前提条件!$G$7,$D294&lt;=前提条件!$H$7),OR($D294&gt;=前提条件!$G$7,$D294&lt;=前提条件!$H$7)),1,0)</f>
        <v>0</v>
      </c>
      <c r="L294" s="14" t="n">
        <f aca="false">IF(IF(前提条件!$H$12&lt;=前提条件!$I$12,AND($D294&gt;=前提条件!$H$12,$D294&lt;=前提条件!$I$12),OR($D294&gt;=前提条件!$H$12,$D294&lt;=前提条件!$I$12)),1,0)</f>
        <v>0</v>
      </c>
      <c r="M294" s="14" t="n">
        <f aca="false">IF(IF(前提条件!$H$13&lt;=前提条件!$I$13,AND($D294&gt;=前提条件!$H$13,$D294&lt;=前提条件!$I$13),OR($D294&gt;=前提条件!$H$13,$D294&lt;=前提条件!$I$13)),1,0)</f>
        <v>0</v>
      </c>
      <c r="N294" s="14" t="n">
        <f aca="false">IF(IF(前提条件!$H$14&lt;=前提条件!$I$14,AND($D294&gt;=前提条件!$H$14,$D294&lt;=前提条件!$I$14),OR($D294&gt;=前提条件!$H$14,$D294&lt;=前提条件!$I$14)),1,0)</f>
        <v>1</v>
      </c>
      <c r="O294" s="14" t="n">
        <f aca="false">IF(IF(前提条件!$H$15&lt;=前提条件!$I$15,AND($D294&gt;=前提条件!$H$15,$D294&lt;=前提条件!$I$15),OR($D294&gt;=前提条件!$H$15,$D294&lt;=前提条件!$I$15)),1,0)</f>
        <v>0</v>
      </c>
    </row>
    <row r="295" customFormat="false" ht="15" hidden="false" customHeight="false" outlineLevel="0" collapsed="false">
      <c r="A295" s="48" t="n">
        <v>10</v>
      </c>
      <c r="B295" s="48" t="n">
        <v>19</v>
      </c>
      <c r="C295" s="48" t="str">
        <f aca="false">A295&amp;"/"&amp;B295</f>
        <v>10/19</v>
      </c>
      <c r="D295" s="48" t="n">
        <f aca="false">A295*100+B295</f>
        <v>1019</v>
      </c>
      <c r="E295" s="45" t="n">
        <f aca="false">IF(SUM(J295:K295)&gt;0,前提条件!$B$6,前提条件!$B$8)</f>
        <v>3</v>
      </c>
      <c r="F295" s="48" t="str">
        <f aca="false">IFERROR(INDEX(前提条件!$B$12:$B$15,MATCH(1,L295:O295,0)),"未設定")</f>
        <v>標準形</v>
      </c>
      <c r="G295" s="48" t="str">
        <f aca="false">IFERROR(INDEX(前提条件!$C$12:$C$15,MATCH(1,L295:O295,0)),"未設定")</f>
        <v>標準期</v>
      </c>
      <c r="H295" s="44" t="str">
        <f aca="false">"S値+"&amp;E295&amp;"／"&amp;F295&amp;"（"&amp;G295&amp;"）"</f>
        <v>S値+3／標準形（標準期）</v>
      </c>
      <c r="J295" s="14" t="n">
        <f aca="false">IF(IF(前提条件!$G$6&lt;=前提条件!$H$6,AND($D295&gt;=前提条件!$G$6,$D295&lt;=前提条件!$H$6),OR($D295&gt;=前提条件!$G$6,$D295&lt;=前提条件!$H$6)),1,0)</f>
        <v>0</v>
      </c>
      <c r="K295" s="14" t="n">
        <f aca="false">IF(IF(前提条件!$G$7&lt;=前提条件!$H$7,AND($D295&gt;=前提条件!$G$7,$D295&lt;=前提条件!$H$7),OR($D295&gt;=前提条件!$G$7,$D295&lt;=前提条件!$H$7)),1,0)</f>
        <v>0</v>
      </c>
      <c r="L295" s="14" t="n">
        <f aca="false">IF(IF(前提条件!$H$12&lt;=前提条件!$I$12,AND($D295&gt;=前提条件!$H$12,$D295&lt;=前提条件!$I$12),OR($D295&gt;=前提条件!$H$12,$D295&lt;=前提条件!$I$12)),1,0)</f>
        <v>0</v>
      </c>
      <c r="M295" s="14" t="n">
        <f aca="false">IF(IF(前提条件!$H$13&lt;=前提条件!$I$13,AND($D295&gt;=前提条件!$H$13,$D295&lt;=前提条件!$I$13),OR($D295&gt;=前提条件!$H$13,$D295&lt;=前提条件!$I$13)),1,0)</f>
        <v>0</v>
      </c>
      <c r="N295" s="14" t="n">
        <f aca="false">IF(IF(前提条件!$H$14&lt;=前提条件!$I$14,AND($D295&gt;=前提条件!$H$14,$D295&lt;=前提条件!$I$14),OR($D295&gt;=前提条件!$H$14,$D295&lt;=前提条件!$I$14)),1,0)</f>
        <v>1</v>
      </c>
      <c r="O295" s="14" t="n">
        <f aca="false">IF(IF(前提条件!$H$15&lt;=前提条件!$I$15,AND($D295&gt;=前提条件!$H$15,$D295&lt;=前提条件!$I$15),OR($D295&gt;=前提条件!$H$15,$D295&lt;=前提条件!$I$15)),1,0)</f>
        <v>0</v>
      </c>
    </row>
    <row r="296" customFormat="false" ht="15" hidden="false" customHeight="false" outlineLevel="0" collapsed="false">
      <c r="A296" s="48" t="n">
        <v>10</v>
      </c>
      <c r="B296" s="48" t="n">
        <v>20</v>
      </c>
      <c r="C296" s="48" t="str">
        <f aca="false">A296&amp;"/"&amp;B296</f>
        <v>10/20</v>
      </c>
      <c r="D296" s="48" t="n">
        <f aca="false">A296*100+B296</f>
        <v>1020</v>
      </c>
      <c r="E296" s="45" t="n">
        <f aca="false">IF(SUM(J296:K296)&gt;0,前提条件!$B$6,前提条件!$B$8)</f>
        <v>3</v>
      </c>
      <c r="F296" s="48" t="str">
        <f aca="false">IFERROR(INDEX(前提条件!$B$12:$B$15,MATCH(1,L296:O296,0)),"未設定")</f>
        <v>標準形</v>
      </c>
      <c r="G296" s="48" t="str">
        <f aca="false">IFERROR(INDEX(前提条件!$C$12:$C$15,MATCH(1,L296:O296,0)),"未設定")</f>
        <v>標準期</v>
      </c>
      <c r="H296" s="44" t="str">
        <f aca="false">"S値+"&amp;E296&amp;"／"&amp;F296&amp;"（"&amp;G296&amp;"）"</f>
        <v>S値+3／標準形（標準期）</v>
      </c>
      <c r="J296" s="14" t="n">
        <f aca="false">IF(IF(前提条件!$G$6&lt;=前提条件!$H$6,AND($D296&gt;=前提条件!$G$6,$D296&lt;=前提条件!$H$6),OR($D296&gt;=前提条件!$G$6,$D296&lt;=前提条件!$H$6)),1,0)</f>
        <v>0</v>
      </c>
      <c r="K296" s="14" t="n">
        <f aca="false">IF(IF(前提条件!$G$7&lt;=前提条件!$H$7,AND($D296&gt;=前提条件!$G$7,$D296&lt;=前提条件!$H$7),OR($D296&gt;=前提条件!$G$7,$D296&lt;=前提条件!$H$7)),1,0)</f>
        <v>0</v>
      </c>
      <c r="L296" s="14" t="n">
        <f aca="false">IF(IF(前提条件!$H$12&lt;=前提条件!$I$12,AND($D296&gt;=前提条件!$H$12,$D296&lt;=前提条件!$I$12),OR($D296&gt;=前提条件!$H$12,$D296&lt;=前提条件!$I$12)),1,0)</f>
        <v>0</v>
      </c>
      <c r="M296" s="14" t="n">
        <f aca="false">IF(IF(前提条件!$H$13&lt;=前提条件!$I$13,AND($D296&gt;=前提条件!$H$13,$D296&lt;=前提条件!$I$13),OR($D296&gt;=前提条件!$H$13,$D296&lt;=前提条件!$I$13)),1,0)</f>
        <v>0</v>
      </c>
      <c r="N296" s="14" t="n">
        <f aca="false">IF(IF(前提条件!$H$14&lt;=前提条件!$I$14,AND($D296&gt;=前提条件!$H$14,$D296&lt;=前提条件!$I$14),OR($D296&gt;=前提条件!$H$14,$D296&lt;=前提条件!$I$14)),1,0)</f>
        <v>1</v>
      </c>
      <c r="O296" s="14" t="n">
        <f aca="false">IF(IF(前提条件!$H$15&lt;=前提条件!$I$15,AND($D296&gt;=前提条件!$H$15,$D296&lt;=前提条件!$I$15),OR($D296&gt;=前提条件!$H$15,$D296&lt;=前提条件!$I$15)),1,0)</f>
        <v>0</v>
      </c>
    </row>
    <row r="297" customFormat="false" ht="15" hidden="false" customHeight="false" outlineLevel="0" collapsed="false">
      <c r="A297" s="48" t="n">
        <v>10</v>
      </c>
      <c r="B297" s="48" t="n">
        <v>21</v>
      </c>
      <c r="C297" s="48" t="str">
        <f aca="false">A297&amp;"/"&amp;B297</f>
        <v>10/21</v>
      </c>
      <c r="D297" s="48" t="n">
        <f aca="false">A297*100+B297</f>
        <v>1021</v>
      </c>
      <c r="E297" s="45" t="n">
        <f aca="false">IF(SUM(J297:K297)&gt;0,前提条件!$B$6,前提条件!$B$8)</f>
        <v>3</v>
      </c>
      <c r="F297" s="48" t="str">
        <f aca="false">IFERROR(INDEX(前提条件!$B$12:$B$15,MATCH(1,L297:O297,0)),"未設定")</f>
        <v>標準形</v>
      </c>
      <c r="G297" s="48" t="str">
        <f aca="false">IFERROR(INDEX(前提条件!$C$12:$C$15,MATCH(1,L297:O297,0)),"未設定")</f>
        <v>標準期</v>
      </c>
      <c r="H297" s="44" t="str">
        <f aca="false">"S値+"&amp;E297&amp;"／"&amp;F297&amp;"（"&amp;G297&amp;"）"</f>
        <v>S値+3／標準形（標準期）</v>
      </c>
      <c r="J297" s="14" t="n">
        <f aca="false">IF(IF(前提条件!$G$6&lt;=前提条件!$H$6,AND($D297&gt;=前提条件!$G$6,$D297&lt;=前提条件!$H$6),OR($D297&gt;=前提条件!$G$6,$D297&lt;=前提条件!$H$6)),1,0)</f>
        <v>0</v>
      </c>
      <c r="K297" s="14" t="n">
        <f aca="false">IF(IF(前提条件!$G$7&lt;=前提条件!$H$7,AND($D297&gt;=前提条件!$G$7,$D297&lt;=前提条件!$H$7),OR($D297&gt;=前提条件!$G$7,$D297&lt;=前提条件!$H$7)),1,0)</f>
        <v>0</v>
      </c>
      <c r="L297" s="14" t="n">
        <f aca="false">IF(IF(前提条件!$H$12&lt;=前提条件!$I$12,AND($D297&gt;=前提条件!$H$12,$D297&lt;=前提条件!$I$12),OR($D297&gt;=前提条件!$H$12,$D297&lt;=前提条件!$I$12)),1,0)</f>
        <v>0</v>
      </c>
      <c r="M297" s="14" t="n">
        <f aca="false">IF(IF(前提条件!$H$13&lt;=前提条件!$I$13,AND($D297&gt;=前提条件!$H$13,$D297&lt;=前提条件!$I$13),OR($D297&gt;=前提条件!$H$13,$D297&lt;=前提条件!$I$13)),1,0)</f>
        <v>0</v>
      </c>
      <c r="N297" s="14" t="n">
        <f aca="false">IF(IF(前提条件!$H$14&lt;=前提条件!$I$14,AND($D297&gt;=前提条件!$H$14,$D297&lt;=前提条件!$I$14),OR($D297&gt;=前提条件!$H$14,$D297&lt;=前提条件!$I$14)),1,0)</f>
        <v>1</v>
      </c>
      <c r="O297" s="14" t="n">
        <f aca="false">IF(IF(前提条件!$H$15&lt;=前提条件!$I$15,AND($D297&gt;=前提条件!$H$15,$D297&lt;=前提条件!$I$15),OR($D297&gt;=前提条件!$H$15,$D297&lt;=前提条件!$I$15)),1,0)</f>
        <v>0</v>
      </c>
    </row>
    <row r="298" customFormat="false" ht="15" hidden="false" customHeight="false" outlineLevel="0" collapsed="false">
      <c r="A298" s="48" t="n">
        <v>10</v>
      </c>
      <c r="B298" s="48" t="n">
        <v>22</v>
      </c>
      <c r="C298" s="48" t="str">
        <f aca="false">A298&amp;"/"&amp;B298</f>
        <v>10/22</v>
      </c>
      <c r="D298" s="48" t="n">
        <f aca="false">A298*100+B298</f>
        <v>1022</v>
      </c>
      <c r="E298" s="45" t="n">
        <f aca="false">IF(SUM(J298:K298)&gt;0,前提条件!$B$6,前提条件!$B$8)</f>
        <v>3</v>
      </c>
      <c r="F298" s="48" t="str">
        <f aca="false">IFERROR(INDEX(前提条件!$B$12:$B$15,MATCH(1,L298:O298,0)),"未設定")</f>
        <v>標準形</v>
      </c>
      <c r="G298" s="48" t="str">
        <f aca="false">IFERROR(INDEX(前提条件!$C$12:$C$15,MATCH(1,L298:O298,0)),"未設定")</f>
        <v>標準期</v>
      </c>
      <c r="H298" s="44" t="str">
        <f aca="false">"S値+"&amp;E298&amp;"／"&amp;F298&amp;"（"&amp;G298&amp;"）"</f>
        <v>S値+3／標準形（標準期）</v>
      </c>
      <c r="J298" s="14" t="n">
        <f aca="false">IF(IF(前提条件!$G$6&lt;=前提条件!$H$6,AND($D298&gt;=前提条件!$G$6,$D298&lt;=前提条件!$H$6),OR($D298&gt;=前提条件!$G$6,$D298&lt;=前提条件!$H$6)),1,0)</f>
        <v>0</v>
      </c>
      <c r="K298" s="14" t="n">
        <f aca="false">IF(IF(前提条件!$G$7&lt;=前提条件!$H$7,AND($D298&gt;=前提条件!$G$7,$D298&lt;=前提条件!$H$7),OR($D298&gt;=前提条件!$G$7,$D298&lt;=前提条件!$H$7)),1,0)</f>
        <v>0</v>
      </c>
      <c r="L298" s="14" t="n">
        <f aca="false">IF(IF(前提条件!$H$12&lt;=前提条件!$I$12,AND($D298&gt;=前提条件!$H$12,$D298&lt;=前提条件!$I$12),OR($D298&gt;=前提条件!$H$12,$D298&lt;=前提条件!$I$12)),1,0)</f>
        <v>0</v>
      </c>
      <c r="M298" s="14" t="n">
        <f aca="false">IF(IF(前提条件!$H$13&lt;=前提条件!$I$13,AND($D298&gt;=前提条件!$H$13,$D298&lt;=前提条件!$I$13),OR($D298&gt;=前提条件!$H$13,$D298&lt;=前提条件!$I$13)),1,0)</f>
        <v>0</v>
      </c>
      <c r="N298" s="14" t="n">
        <f aca="false">IF(IF(前提条件!$H$14&lt;=前提条件!$I$14,AND($D298&gt;=前提条件!$H$14,$D298&lt;=前提条件!$I$14),OR($D298&gt;=前提条件!$H$14,$D298&lt;=前提条件!$I$14)),1,0)</f>
        <v>1</v>
      </c>
      <c r="O298" s="14" t="n">
        <f aca="false">IF(IF(前提条件!$H$15&lt;=前提条件!$I$15,AND($D298&gt;=前提条件!$H$15,$D298&lt;=前提条件!$I$15),OR($D298&gt;=前提条件!$H$15,$D298&lt;=前提条件!$I$15)),1,0)</f>
        <v>0</v>
      </c>
    </row>
    <row r="299" customFormat="false" ht="15" hidden="false" customHeight="false" outlineLevel="0" collapsed="false">
      <c r="A299" s="48" t="n">
        <v>10</v>
      </c>
      <c r="B299" s="48" t="n">
        <v>23</v>
      </c>
      <c r="C299" s="48" t="str">
        <f aca="false">A299&amp;"/"&amp;B299</f>
        <v>10/23</v>
      </c>
      <c r="D299" s="48" t="n">
        <f aca="false">A299*100+B299</f>
        <v>1023</v>
      </c>
      <c r="E299" s="45" t="n">
        <f aca="false">IF(SUM(J299:K299)&gt;0,前提条件!$B$6,前提条件!$B$8)</f>
        <v>3</v>
      </c>
      <c r="F299" s="48" t="str">
        <f aca="false">IFERROR(INDEX(前提条件!$B$12:$B$15,MATCH(1,L299:O299,0)),"未設定")</f>
        <v>標準形</v>
      </c>
      <c r="G299" s="48" t="str">
        <f aca="false">IFERROR(INDEX(前提条件!$C$12:$C$15,MATCH(1,L299:O299,0)),"未設定")</f>
        <v>標準期</v>
      </c>
      <c r="H299" s="44" t="str">
        <f aca="false">"S値+"&amp;E299&amp;"／"&amp;F299&amp;"（"&amp;G299&amp;"）"</f>
        <v>S値+3／標準形（標準期）</v>
      </c>
      <c r="J299" s="14" t="n">
        <f aca="false">IF(IF(前提条件!$G$6&lt;=前提条件!$H$6,AND($D299&gt;=前提条件!$G$6,$D299&lt;=前提条件!$H$6),OR($D299&gt;=前提条件!$G$6,$D299&lt;=前提条件!$H$6)),1,0)</f>
        <v>0</v>
      </c>
      <c r="K299" s="14" t="n">
        <f aca="false">IF(IF(前提条件!$G$7&lt;=前提条件!$H$7,AND($D299&gt;=前提条件!$G$7,$D299&lt;=前提条件!$H$7),OR($D299&gt;=前提条件!$G$7,$D299&lt;=前提条件!$H$7)),1,0)</f>
        <v>0</v>
      </c>
      <c r="L299" s="14" t="n">
        <f aca="false">IF(IF(前提条件!$H$12&lt;=前提条件!$I$12,AND($D299&gt;=前提条件!$H$12,$D299&lt;=前提条件!$I$12),OR($D299&gt;=前提条件!$H$12,$D299&lt;=前提条件!$I$12)),1,0)</f>
        <v>0</v>
      </c>
      <c r="M299" s="14" t="n">
        <f aca="false">IF(IF(前提条件!$H$13&lt;=前提条件!$I$13,AND($D299&gt;=前提条件!$H$13,$D299&lt;=前提条件!$I$13),OR($D299&gt;=前提条件!$H$13,$D299&lt;=前提条件!$I$13)),1,0)</f>
        <v>0</v>
      </c>
      <c r="N299" s="14" t="n">
        <f aca="false">IF(IF(前提条件!$H$14&lt;=前提条件!$I$14,AND($D299&gt;=前提条件!$H$14,$D299&lt;=前提条件!$I$14),OR($D299&gt;=前提条件!$H$14,$D299&lt;=前提条件!$I$14)),1,0)</f>
        <v>1</v>
      </c>
      <c r="O299" s="14" t="n">
        <f aca="false">IF(IF(前提条件!$H$15&lt;=前提条件!$I$15,AND($D299&gt;=前提条件!$H$15,$D299&lt;=前提条件!$I$15),OR($D299&gt;=前提条件!$H$15,$D299&lt;=前提条件!$I$15)),1,0)</f>
        <v>0</v>
      </c>
    </row>
    <row r="300" customFormat="false" ht="15" hidden="false" customHeight="false" outlineLevel="0" collapsed="false">
      <c r="A300" s="48" t="n">
        <v>10</v>
      </c>
      <c r="B300" s="48" t="n">
        <v>24</v>
      </c>
      <c r="C300" s="48" t="str">
        <f aca="false">A300&amp;"/"&amp;B300</f>
        <v>10/24</v>
      </c>
      <c r="D300" s="48" t="n">
        <f aca="false">A300*100+B300</f>
        <v>1024</v>
      </c>
      <c r="E300" s="45" t="n">
        <f aca="false">IF(SUM(J300:K300)&gt;0,前提条件!$B$6,前提条件!$B$8)</f>
        <v>3</v>
      </c>
      <c r="F300" s="48" t="str">
        <f aca="false">IFERROR(INDEX(前提条件!$B$12:$B$15,MATCH(1,L300:O300,0)),"未設定")</f>
        <v>標準形</v>
      </c>
      <c r="G300" s="48" t="str">
        <f aca="false">IFERROR(INDEX(前提条件!$C$12:$C$15,MATCH(1,L300:O300,0)),"未設定")</f>
        <v>標準期</v>
      </c>
      <c r="H300" s="44" t="str">
        <f aca="false">"S値+"&amp;E300&amp;"／"&amp;F300&amp;"（"&amp;G300&amp;"）"</f>
        <v>S値+3／標準形（標準期）</v>
      </c>
      <c r="J300" s="14" t="n">
        <f aca="false">IF(IF(前提条件!$G$6&lt;=前提条件!$H$6,AND($D300&gt;=前提条件!$G$6,$D300&lt;=前提条件!$H$6),OR($D300&gt;=前提条件!$G$6,$D300&lt;=前提条件!$H$6)),1,0)</f>
        <v>0</v>
      </c>
      <c r="K300" s="14" t="n">
        <f aca="false">IF(IF(前提条件!$G$7&lt;=前提条件!$H$7,AND($D300&gt;=前提条件!$G$7,$D300&lt;=前提条件!$H$7),OR($D300&gt;=前提条件!$G$7,$D300&lt;=前提条件!$H$7)),1,0)</f>
        <v>0</v>
      </c>
      <c r="L300" s="14" t="n">
        <f aca="false">IF(IF(前提条件!$H$12&lt;=前提条件!$I$12,AND($D300&gt;=前提条件!$H$12,$D300&lt;=前提条件!$I$12),OR($D300&gt;=前提条件!$H$12,$D300&lt;=前提条件!$I$12)),1,0)</f>
        <v>0</v>
      </c>
      <c r="M300" s="14" t="n">
        <f aca="false">IF(IF(前提条件!$H$13&lt;=前提条件!$I$13,AND($D300&gt;=前提条件!$H$13,$D300&lt;=前提条件!$I$13),OR($D300&gt;=前提条件!$H$13,$D300&lt;=前提条件!$I$13)),1,0)</f>
        <v>0</v>
      </c>
      <c r="N300" s="14" t="n">
        <f aca="false">IF(IF(前提条件!$H$14&lt;=前提条件!$I$14,AND($D300&gt;=前提条件!$H$14,$D300&lt;=前提条件!$I$14),OR($D300&gt;=前提条件!$H$14,$D300&lt;=前提条件!$I$14)),1,0)</f>
        <v>1</v>
      </c>
      <c r="O300" s="14" t="n">
        <f aca="false">IF(IF(前提条件!$H$15&lt;=前提条件!$I$15,AND($D300&gt;=前提条件!$H$15,$D300&lt;=前提条件!$I$15),OR($D300&gt;=前提条件!$H$15,$D300&lt;=前提条件!$I$15)),1,0)</f>
        <v>0</v>
      </c>
    </row>
    <row r="301" customFormat="false" ht="15" hidden="false" customHeight="false" outlineLevel="0" collapsed="false">
      <c r="A301" s="48" t="n">
        <v>10</v>
      </c>
      <c r="B301" s="48" t="n">
        <v>25</v>
      </c>
      <c r="C301" s="48" t="str">
        <f aca="false">A301&amp;"/"&amp;B301</f>
        <v>10/25</v>
      </c>
      <c r="D301" s="48" t="n">
        <f aca="false">A301*100+B301</f>
        <v>1025</v>
      </c>
      <c r="E301" s="45" t="n">
        <f aca="false">IF(SUM(J301:K301)&gt;0,前提条件!$B$6,前提条件!$B$8)</f>
        <v>3</v>
      </c>
      <c r="F301" s="48" t="str">
        <f aca="false">IFERROR(INDEX(前提条件!$B$12:$B$15,MATCH(1,L301:O301,0)),"未設定")</f>
        <v>標準形</v>
      </c>
      <c r="G301" s="48" t="str">
        <f aca="false">IFERROR(INDEX(前提条件!$C$12:$C$15,MATCH(1,L301:O301,0)),"未設定")</f>
        <v>標準期</v>
      </c>
      <c r="H301" s="44" t="str">
        <f aca="false">"S値+"&amp;E301&amp;"／"&amp;F301&amp;"（"&amp;G301&amp;"）"</f>
        <v>S値+3／標準形（標準期）</v>
      </c>
      <c r="J301" s="14" t="n">
        <f aca="false">IF(IF(前提条件!$G$6&lt;=前提条件!$H$6,AND($D301&gt;=前提条件!$G$6,$D301&lt;=前提条件!$H$6),OR($D301&gt;=前提条件!$G$6,$D301&lt;=前提条件!$H$6)),1,0)</f>
        <v>0</v>
      </c>
      <c r="K301" s="14" t="n">
        <f aca="false">IF(IF(前提条件!$G$7&lt;=前提条件!$H$7,AND($D301&gt;=前提条件!$G$7,$D301&lt;=前提条件!$H$7),OR($D301&gt;=前提条件!$G$7,$D301&lt;=前提条件!$H$7)),1,0)</f>
        <v>0</v>
      </c>
      <c r="L301" s="14" t="n">
        <f aca="false">IF(IF(前提条件!$H$12&lt;=前提条件!$I$12,AND($D301&gt;=前提条件!$H$12,$D301&lt;=前提条件!$I$12),OR($D301&gt;=前提条件!$H$12,$D301&lt;=前提条件!$I$12)),1,0)</f>
        <v>0</v>
      </c>
      <c r="M301" s="14" t="n">
        <f aca="false">IF(IF(前提条件!$H$13&lt;=前提条件!$I$13,AND($D301&gt;=前提条件!$H$13,$D301&lt;=前提条件!$I$13),OR($D301&gt;=前提条件!$H$13,$D301&lt;=前提条件!$I$13)),1,0)</f>
        <v>0</v>
      </c>
      <c r="N301" s="14" t="n">
        <f aca="false">IF(IF(前提条件!$H$14&lt;=前提条件!$I$14,AND($D301&gt;=前提条件!$H$14,$D301&lt;=前提条件!$I$14),OR($D301&gt;=前提条件!$H$14,$D301&lt;=前提条件!$I$14)),1,0)</f>
        <v>1</v>
      </c>
      <c r="O301" s="14" t="n">
        <f aca="false">IF(IF(前提条件!$H$15&lt;=前提条件!$I$15,AND($D301&gt;=前提条件!$H$15,$D301&lt;=前提条件!$I$15),OR($D301&gt;=前提条件!$H$15,$D301&lt;=前提条件!$I$15)),1,0)</f>
        <v>0</v>
      </c>
    </row>
    <row r="302" customFormat="false" ht="15" hidden="false" customHeight="false" outlineLevel="0" collapsed="false">
      <c r="A302" s="48" t="n">
        <v>10</v>
      </c>
      <c r="B302" s="48" t="n">
        <v>26</v>
      </c>
      <c r="C302" s="48" t="str">
        <f aca="false">A302&amp;"/"&amp;B302</f>
        <v>10/26</v>
      </c>
      <c r="D302" s="48" t="n">
        <f aca="false">A302*100+B302</f>
        <v>1026</v>
      </c>
      <c r="E302" s="45" t="n">
        <f aca="false">IF(SUM(J302:K302)&gt;0,前提条件!$B$6,前提条件!$B$8)</f>
        <v>3</v>
      </c>
      <c r="F302" s="48" t="str">
        <f aca="false">IFERROR(INDEX(前提条件!$B$12:$B$15,MATCH(1,L302:O302,0)),"未設定")</f>
        <v>標準形</v>
      </c>
      <c r="G302" s="48" t="str">
        <f aca="false">IFERROR(INDEX(前提条件!$C$12:$C$15,MATCH(1,L302:O302,0)),"未設定")</f>
        <v>標準期</v>
      </c>
      <c r="H302" s="44" t="str">
        <f aca="false">"S値+"&amp;E302&amp;"／"&amp;F302&amp;"（"&amp;G302&amp;"）"</f>
        <v>S値+3／標準形（標準期）</v>
      </c>
      <c r="J302" s="14" t="n">
        <f aca="false">IF(IF(前提条件!$G$6&lt;=前提条件!$H$6,AND($D302&gt;=前提条件!$G$6,$D302&lt;=前提条件!$H$6),OR($D302&gt;=前提条件!$G$6,$D302&lt;=前提条件!$H$6)),1,0)</f>
        <v>0</v>
      </c>
      <c r="K302" s="14" t="n">
        <f aca="false">IF(IF(前提条件!$G$7&lt;=前提条件!$H$7,AND($D302&gt;=前提条件!$G$7,$D302&lt;=前提条件!$H$7),OR($D302&gt;=前提条件!$G$7,$D302&lt;=前提条件!$H$7)),1,0)</f>
        <v>0</v>
      </c>
      <c r="L302" s="14" t="n">
        <f aca="false">IF(IF(前提条件!$H$12&lt;=前提条件!$I$12,AND($D302&gt;=前提条件!$H$12,$D302&lt;=前提条件!$I$12),OR($D302&gt;=前提条件!$H$12,$D302&lt;=前提条件!$I$12)),1,0)</f>
        <v>0</v>
      </c>
      <c r="M302" s="14" t="n">
        <f aca="false">IF(IF(前提条件!$H$13&lt;=前提条件!$I$13,AND($D302&gt;=前提条件!$H$13,$D302&lt;=前提条件!$I$13),OR($D302&gt;=前提条件!$H$13,$D302&lt;=前提条件!$I$13)),1,0)</f>
        <v>0</v>
      </c>
      <c r="N302" s="14" t="n">
        <f aca="false">IF(IF(前提条件!$H$14&lt;=前提条件!$I$14,AND($D302&gt;=前提条件!$H$14,$D302&lt;=前提条件!$I$14),OR($D302&gt;=前提条件!$H$14,$D302&lt;=前提条件!$I$14)),1,0)</f>
        <v>1</v>
      </c>
      <c r="O302" s="14" t="n">
        <f aca="false">IF(IF(前提条件!$H$15&lt;=前提条件!$I$15,AND($D302&gt;=前提条件!$H$15,$D302&lt;=前提条件!$I$15),OR($D302&gt;=前提条件!$H$15,$D302&lt;=前提条件!$I$15)),1,0)</f>
        <v>0</v>
      </c>
    </row>
    <row r="303" customFormat="false" ht="15" hidden="false" customHeight="false" outlineLevel="0" collapsed="false">
      <c r="A303" s="48" t="n">
        <v>10</v>
      </c>
      <c r="B303" s="48" t="n">
        <v>27</v>
      </c>
      <c r="C303" s="48" t="str">
        <f aca="false">A303&amp;"/"&amp;B303</f>
        <v>10/27</v>
      </c>
      <c r="D303" s="48" t="n">
        <f aca="false">A303*100+B303</f>
        <v>1027</v>
      </c>
      <c r="E303" s="45" t="n">
        <f aca="false">IF(SUM(J303:K303)&gt;0,前提条件!$B$6,前提条件!$B$8)</f>
        <v>3</v>
      </c>
      <c r="F303" s="48" t="str">
        <f aca="false">IFERROR(INDEX(前提条件!$B$12:$B$15,MATCH(1,L303:O303,0)),"未設定")</f>
        <v>標準形</v>
      </c>
      <c r="G303" s="48" t="str">
        <f aca="false">IFERROR(INDEX(前提条件!$C$12:$C$15,MATCH(1,L303:O303,0)),"未設定")</f>
        <v>標準期</v>
      </c>
      <c r="H303" s="44" t="str">
        <f aca="false">"S値+"&amp;E303&amp;"／"&amp;F303&amp;"（"&amp;G303&amp;"）"</f>
        <v>S値+3／標準形（標準期）</v>
      </c>
      <c r="J303" s="14" t="n">
        <f aca="false">IF(IF(前提条件!$G$6&lt;=前提条件!$H$6,AND($D303&gt;=前提条件!$G$6,$D303&lt;=前提条件!$H$6),OR($D303&gt;=前提条件!$G$6,$D303&lt;=前提条件!$H$6)),1,0)</f>
        <v>0</v>
      </c>
      <c r="K303" s="14" t="n">
        <f aca="false">IF(IF(前提条件!$G$7&lt;=前提条件!$H$7,AND($D303&gt;=前提条件!$G$7,$D303&lt;=前提条件!$H$7),OR($D303&gt;=前提条件!$G$7,$D303&lt;=前提条件!$H$7)),1,0)</f>
        <v>0</v>
      </c>
      <c r="L303" s="14" t="n">
        <f aca="false">IF(IF(前提条件!$H$12&lt;=前提条件!$I$12,AND($D303&gt;=前提条件!$H$12,$D303&lt;=前提条件!$I$12),OR($D303&gt;=前提条件!$H$12,$D303&lt;=前提条件!$I$12)),1,0)</f>
        <v>0</v>
      </c>
      <c r="M303" s="14" t="n">
        <f aca="false">IF(IF(前提条件!$H$13&lt;=前提条件!$I$13,AND($D303&gt;=前提条件!$H$13,$D303&lt;=前提条件!$I$13),OR($D303&gt;=前提条件!$H$13,$D303&lt;=前提条件!$I$13)),1,0)</f>
        <v>0</v>
      </c>
      <c r="N303" s="14" t="n">
        <f aca="false">IF(IF(前提条件!$H$14&lt;=前提条件!$I$14,AND($D303&gt;=前提条件!$H$14,$D303&lt;=前提条件!$I$14),OR($D303&gt;=前提条件!$H$14,$D303&lt;=前提条件!$I$14)),1,0)</f>
        <v>1</v>
      </c>
      <c r="O303" s="14" t="n">
        <f aca="false">IF(IF(前提条件!$H$15&lt;=前提条件!$I$15,AND($D303&gt;=前提条件!$H$15,$D303&lt;=前提条件!$I$15),OR($D303&gt;=前提条件!$H$15,$D303&lt;=前提条件!$I$15)),1,0)</f>
        <v>0</v>
      </c>
    </row>
    <row r="304" customFormat="false" ht="15" hidden="false" customHeight="false" outlineLevel="0" collapsed="false">
      <c r="A304" s="48" t="n">
        <v>10</v>
      </c>
      <c r="B304" s="48" t="n">
        <v>28</v>
      </c>
      <c r="C304" s="48" t="str">
        <f aca="false">A304&amp;"/"&amp;B304</f>
        <v>10/28</v>
      </c>
      <c r="D304" s="48" t="n">
        <f aca="false">A304*100+B304</f>
        <v>1028</v>
      </c>
      <c r="E304" s="45" t="n">
        <f aca="false">IF(SUM(J304:K304)&gt;0,前提条件!$B$6,前提条件!$B$8)</f>
        <v>3</v>
      </c>
      <c r="F304" s="48" t="str">
        <f aca="false">IFERROR(INDEX(前提条件!$B$12:$B$15,MATCH(1,L304:O304,0)),"未設定")</f>
        <v>標準形</v>
      </c>
      <c r="G304" s="48" t="str">
        <f aca="false">IFERROR(INDEX(前提条件!$C$12:$C$15,MATCH(1,L304:O304,0)),"未設定")</f>
        <v>標準期</v>
      </c>
      <c r="H304" s="44" t="str">
        <f aca="false">"S値+"&amp;E304&amp;"／"&amp;F304&amp;"（"&amp;G304&amp;"）"</f>
        <v>S値+3／標準形（標準期）</v>
      </c>
      <c r="J304" s="14" t="n">
        <f aca="false">IF(IF(前提条件!$G$6&lt;=前提条件!$H$6,AND($D304&gt;=前提条件!$G$6,$D304&lt;=前提条件!$H$6),OR($D304&gt;=前提条件!$G$6,$D304&lt;=前提条件!$H$6)),1,0)</f>
        <v>0</v>
      </c>
      <c r="K304" s="14" t="n">
        <f aca="false">IF(IF(前提条件!$G$7&lt;=前提条件!$H$7,AND($D304&gt;=前提条件!$G$7,$D304&lt;=前提条件!$H$7),OR($D304&gt;=前提条件!$G$7,$D304&lt;=前提条件!$H$7)),1,0)</f>
        <v>0</v>
      </c>
      <c r="L304" s="14" t="n">
        <f aca="false">IF(IF(前提条件!$H$12&lt;=前提条件!$I$12,AND($D304&gt;=前提条件!$H$12,$D304&lt;=前提条件!$I$12),OR($D304&gt;=前提条件!$H$12,$D304&lt;=前提条件!$I$12)),1,0)</f>
        <v>0</v>
      </c>
      <c r="M304" s="14" t="n">
        <f aca="false">IF(IF(前提条件!$H$13&lt;=前提条件!$I$13,AND($D304&gt;=前提条件!$H$13,$D304&lt;=前提条件!$I$13),OR($D304&gt;=前提条件!$H$13,$D304&lt;=前提条件!$I$13)),1,0)</f>
        <v>0</v>
      </c>
      <c r="N304" s="14" t="n">
        <f aca="false">IF(IF(前提条件!$H$14&lt;=前提条件!$I$14,AND($D304&gt;=前提条件!$H$14,$D304&lt;=前提条件!$I$14),OR($D304&gt;=前提条件!$H$14,$D304&lt;=前提条件!$I$14)),1,0)</f>
        <v>1</v>
      </c>
      <c r="O304" s="14" t="n">
        <f aca="false">IF(IF(前提条件!$H$15&lt;=前提条件!$I$15,AND($D304&gt;=前提条件!$H$15,$D304&lt;=前提条件!$I$15),OR($D304&gt;=前提条件!$H$15,$D304&lt;=前提条件!$I$15)),1,0)</f>
        <v>0</v>
      </c>
    </row>
    <row r="305" customFormat="false" ht="15" hidden="false" customHeight="false" outlineLevel="0" collapsed="false">
      <c r="A305" s="48" t="n">
        <v>10</v>
      </c>
      <c r="B305" s="48" t="n">
        <v>29</v>
      </c>
      <c r="C305" s="48" t="str">
        <f aca="false">A305&amp;"/"&amp;B305</f>
        <v>10/29</v>
      </c>
      <c r="D305" s="48" t="n">
        <f aca="false">A305*100+B305</f>
        <v>1029</v>
      </c>
      <c r="E305" s="45" t="n">
        <f aca="false">IF(SUM(J305:K305)&gt;0,前提条件!$B$6,前提条件!$B$8)</f>
        <v>3</v>
      </c>
      <c r="F305" s="48" t="str">
        <f aca="false">IFERROR(INDEX(前提条件!$B$12:$B$15,MATCH(1,L305:O305,0)),"未設定")</f>
        <v>標準形</v>
      </c>
      <c r="G305" s="48" t="str">
        <f aca="false">IFERROR(INDEX(前提条件!$C$12:$C$15,MATCH(1,L305:O305,0)),"未設定")</f>
        <v>標準期</v>
      </c>
      <c r="H305" s="44" t="str">
        <f aca="false">"S値+"&amp;E305&amp;"／"&amp;F305&amp;"（"&amp;G305&amp;"）"</f>
        <v>S値+3／標準形（標準期）</v>
      </c>
      <c r="J305" s="14" t="n">
        <f aca="false">IF(IF(前提条件!$G$6&lt;=前提条件!$H$6,AND($D305&gt;=前提条件!$G$6,$D305&lt;=前提条件!$H$6),OR($D305&gt;=前提条件!$G$6,$D305&lt;=前提条件!$H$6)),1,0)</f>
        <v>0</v>
      </c>
      <c r="K305" s="14" t="n">
        <f aca="false">IF(IF(前提条件!$G$7&lt;=前提条件!$H$7,AND($D305&gt;=前提条件!$G$7,$D305&lt;=前提条件!$H$7),OR($D305&gt;=前提条件!$G$7,$D305&lt;=前提条件!$H$7)),1,0)</f>
        <v>0</v>
      </c>
      <c r="L305" s="14" t="n">
        <f aca="false">IF(IF(前提条件!$H$12&lt;=前提条件!$I$12,AND($D305&gt;=前提条件!$H$12,$D305&lt;=前提条件!$I$12),OR($D305&gt;=前提条件!$H$12,$D305&lt;=前提条件!$I$12)),1,0)</f>
        <v>0</v>
      </c>
      <c r="M305" s="14" t="n">
        <f aca="false">IF(IF(前提条件!$H$13&lt;=前提条件!$I$13,AND($D305&gt;=前提条件!$H$13,$D305&lt;=前提条件!$I$13),OR($D305&gt;=前提条件!$H$13,$D305&lt;=前提条件!$I$13)),1,0)</f>
        <v>0</v>
      </c>
      <c r="N305" s="14" t="n">
        <f aca="false">IF(IF(前提条件!$H$14&lt;=前提条件!$I$14,AND($D305&gt;=前提条件!$H$14,$D305&lt;=前提条件!$I$14),OR($D305&gt;=前提条件!$H$14,$D305&lt;=前提条件!$I$14)),1,0)</f>
        <v>1</v>
      </c>
      <c r="O305" s="14" t="n">
        <f aca="false">IF(IF(前提条件!$H$15&lt;=前提条件!$I$15,AND($D305&gt;=前提条件!$H$15,$D305&lt;=前提条件!$I$15),OR($D305&gt;=前提条件!$H$15,$D305&lt;=前提条件!$I$15)),1,0)</f>
        <v>0</v>
      </c>
    </row>
    <row r="306" customFormat="false" ht="15" hidden="false" customHeight="false" outlineLevel="0" collapsed="false">
      <c r="A306" s="48" t="n">
        <v>10</v>
      </c>
      <c r="B306" s="48" t="n">
        <v>30</v>
      </c>
      <c r="C306" s="48" t="str">
        <f aca="false">A306&amp;"/"&amp;B306</f>
        <v>10/30</v>
      </c>
      <c r="D306" s="48" t="n">
        <f aca="false">A306*100+B306</f>
        <v>1030</v>
      </c>
      <c r="E306" s="45" t="n">
        <f aca="false">IF(SUM(J306:K306)&gt;0,前提条件!$B$6,前提条件!$B$8)</f>
        <v>3</v>
      </c>
      <c r="F306" s="48" t="str">
        <f aca="false">IFERROR(INDEX(前提条件!$B$12:$B$15,MATCH(1,L306:O306,0)),"未設定")</f>
        <v>標準形</v>
      </c>
      <c r="G306" s="48" t="str">
        <f aca="false">IFERROR(INDEX(前提条件!$C$12:$C$15,MATCH(1,L306:O306,0)),"未設定")</f>
        <v>標準期</v>
      </c>
      <c r="H306" s="44" t="str">
        <f aca="false">"S値+"&amp;E306&amp;"／"&amp;F306&amp;"（"&amp;G306&amp;"）"</f>
        <v>S値+3／標準形（標準期）</v>
      </c>
      <c r="J306" s="14" t="n">
        <f aca="false">IF(IF(前提条件!$G$6&lt;=前提条件!$H$6,AND($D306&gt;=前提条件!$G$6,$D306&lt;=前提条件!$H$6),OR($D306&gt;=前提条件!$G$6,$D306&lt;=前提条件!$H$6)),1,0)</f>
        <v>0</v>
      </c>
      <c r="K306" s="14" t="n">
        <f aca="false">IF(IF(前提条件!$G$7&lt;=前提条件!$H$7,AND($D306&gt;=前提条件!$G$7,$D306&lt;=前提条件!$H$7),OR($D306&gt;=前提条件!$G$7,$D306&lt;=前提条件!$H$7)),1,0)</f>
        <v>0</v>
      </c>
      <c r="L306" s="14" t="n">
        <f aca="false">IF(IF(前提条件!$H$12&lt;=前提条件!$I$12,AND($D306&gt;=前提条件!$H$12,$D306&lt;=前提条件!$I$12),OR($D306&gt;=前提条件!$H$12,$D306&lt;=前提条件!$I$12)),1,0)</f>
        <v>0</v>
      </c>
      <c r="M306" s="14" t="n">
        <f aca="false">IF(IF(前提条件!$H$13&lt;=前提条件!$I$13,AND($D306&gt;=前提条件!$H$13,$D306&lt;=前提条件!$I$13),OR($D306&gt;=前提条件!$H$13,$D306&lt;=前提条件!$I$13)),1,0)</f>
        <v>0</v>
      </c>
      <c r="N306" s="14" t="n">
        <f aca="false">IF(IF(前提条件!$H$14&lt;=前提条件!$I$14,AND($D306&gt;=前提条件!$H$14,$D306&lt;=前提条件!$I$14),OR($D306&gt;=前提条件!$H$14,$D306&lt;=前提条件!$I$14)),1,0)</f>
        <v>1</v>
      </c>
      <c r="O306" s="14" t="n">
        <f aca="false">IF(IF(前提条件!$H$15&lt;=前提条件!$I$15,AND($D306&gt;=前提条件!$H$15,$D306&lt;=前提条件!$I$15),OR($D306&gt;=前提条件!$H$15,$D306&lt;=前提条件!$I$15)),1,0)</f>
        <v>0</v>
      </c>
    </row>
    <row r="307" customFormat="false" ht="15" hidden="false" customHeight="false" outlineLevel="0" collapsed="false">
      <c r="A307" s="48" t="n">
        <v>10</v>
      </c>
      <c r="B307" s="48" t="n">
        <v>31</v>
      </c>
      <c r="C307" s="48" t="str">
        <f aca="false">A307&amp;"/"&amp;B307</f>
        <v>10/31</v>
      </c>
      <c r="D307" s="48" t="n">
        <f aca="false">A307*100+B307</f>
        <v>1031</v>
      </c>
      <c r="E307" s="45" t="n">
        <f aca="false">IF(SUM(J307:K307)&gt;0,前提条件!$B$6,前提条件!$B$8)</f>
        <v>3</v>
      </c>
      <c r="F307" s="48" t="str">
        <f aca="false">IFERROR(INDEX(前提条件!$B$12:$B$15,MATCH(1,L307:O307,0)),"未設定")</f>
        <v>標準形</v>
      </c>
      <c r="G307" s="48" t="str">
        <f aca="false">IFERROR(INDEX(前提条件!$C$12:$C$15,MATCH(1,L307:O307,0)),"未設定")</f>
        <v>標準期</v>
      </c>
      <c r="H307" s="44" t="str">
        <f aca="false">"S値+"&amp;E307&amp;"／"&amp;F307&amp;"（"&amp;G307&amp;"）"</f>
        <v>S値+3／標準形（標準期）</v>
      </c>
      <c r="J307" s="14" t="n">
        <f aca="false">IF(IF(前提条件!$G$6&lt;=前提条件!$H$6,AND($D307&gt;=前提条件!$G$6,$D307&lt;=前提条件!$H$6),OR($D307&gt;=前提条件!$G$6,$D307&lt;=前提条件!$H$6)),1,0)</f>
        <v>0</v>
      </c>
      <c r="K307" s="14" t="n">
        <f aca="false">IF(IF(前提条件!$G$7&lt;=前提条件!$H$7,AND($D307&gt;=前提条件!$G$7,$D307&lt;=前提条件!$H$7),OR($D307&gt;=前提条件!$G$7,$D307&lt;=前提条件!$H$7)),1,0)</f>
        <v>0</v>
      </c>
      <c r="L307" s="14" t="n">
        <f aca="false">IF(IF(前提条件!$H$12&lt;=前提条件!$I$12,AND($D307&gt;=前提条件!$H$12,$D307&lt;=前提条件!$I$12),OR($D307&gt;=前提条件!$H$12,$D307&lt;=前提条件!$I$12)),1,0)</f>
        <v>0</v>
      </c>
      <c r="M307" s="14" t="n">
        <f aca="false">IF(IF(前提条件!$H$13&lt;=前提条件!$I$13,AND($D307&gt;=前提条件!$H$13,$D307&lt;=前提条件!$I$13),OR($D307&gt;=前提条件!$H$13,$D307&lt;=前提条件!$I$13)),1,0)</f>
        <v>0</v>
      </c>
      <c r="N307" s="14" t="n">
        <f aca="false">IF(IF(前提条件!$H$14&lt;=前提条件!$I$14,AND($D307&gt;=前提条件!$H$14,$D307&lt;=前提条件!$I$14),OR($D307&gt;=前提条件!$H$14,$D307&lt;=前提条件!$I$14)),1,0)</f>
        <v>1</v>
      </c>
      <c r="O307" s="14" t="n">
        <f aca="false">IF(IF(前提条件!$H$15&lt;=前提条件!$I$15,AND($D307&gt;=前提条件!$H$15,$D307&lt;=前提条件!$I$15),OR($D307&gt;=前提条件!$H$15,$D307&lt;=前提条件!$I$15)),1,0)</f>
        <v>0</v>
      </c>
    </row>
    <row r="308" customFormat="false" ht="15" hidden="false" customHeight="false" outlineLevel="0" collapsed="false">
      <c r="A308" s="48" t="n">
        <v>11</v>
      </c>
      <c r="B308" s="48" t="n">
        <v>1</v>
      </c>
      <c r="C308" s="48" t="str">
        <f aca="false">A308&amp;"/"&amp;B308</f>
        <v>11/1</v>
      </c>
      <c r="D308" s="48" t="n">
        <f aca="false">A308*100+B308</f>
        <v>1101</v>
      </c>
      <c r="E308" s="45" t="n">
        <f aca="false">IF(SUM(J308:K308)&gt;0,前提条件!$B$6,前提条件!$B$8)</f>
        <v>3</v>
      </c>
      <c r="F308" s="48" t="str">
        <f aca="false">IFERROR(INDEX(前提条件!$B$12:$B$15,MATCH(1,L308:O308,0)),"未設定")</f>
        <v>標準形</v>
      </c>
      <c r="G308" s="48" t="str">
        <f aca="false">IFERROR(INDEX(前提条件!$C$12:$C$15,MATCH(1,L308:O308,0)),"未設定")</f>
        <v>標準期</v>
      </c>
      <c r="H308" s="44" t="str">
        <f aca="false">"S値+"&amp;E308&amp;"／"&amp;F308&amp;"（"&amp;G308&amp;"）"</f>
        <v>S値+3／標準形（標準期）</v>
      </c>
      <c r="J308" s="14" t="n">
        <f aca="false">IF(IF(前提条件!$G$6&lt;=前提条件!$H$6,AND($D308&gt;=前提条件!$G$6,$D308&lt;=前提条件!$H$6),OR($D308&gt;=前提条件!$G$6,$D308&lt;=前提条件!$H$6)),1,0)</f>
        <v>0</v>
      </c>
      <c r="K308" s="14" t="n">
        <f aca="false">IF(IF(前提条件!$G$7&lt;=前提条件!$H$7,AND($D308&gt;=前提条件!$G$7,$D308&lt;=前提条件!$H$7),OR($D308&gt;=前提条件!$G$7,$D308&lt;=前提条件!$H$7)),1,0)</f>
        <v>0</v>
      </c>
      <c r="L308" s="14" t="n">
        <f aca="false">IF(IF(前提条件!$H$12&lt;=前提条件!$I$12,AND($D308&gt;=前提条件!$H$12,$D308&lt;=前提条件!$I$12),OR($D308&gt;=前提条件!$H$12,$D308&lt;=前提条件!$I$12)),1,0)</f>
        <v>0</v>
      </c>
      <c r="M308" s="14" t="n">
        <f aca="false">IF(IF(前提条件!$H$13&lt;=前提条件!$I$13,AND($D308&gt;=前提条件!$H$13,$D308&lt;=前提条件!$I$13),OR($D308&gt;=前提条件!$H$13,$D308&lt;=前提条件!$I$13)),1,0)</f>
        <v>0</v>
      </c>
      <c r="N308" s="14" t="n">
        <f aca="false">IF(IF(前提条件!$H$14&lt;=前提条件!$I$14,AND($D308&gt;=前提条件!$H$14,$D308&lt;=前提条件!$I$14),OR($D308&gt;=前提条件!$H$14,$D308&lt;=前提条件!$I$14)),1,0)</f>
        <v>1</v>
      </c>
      <c r="O308" s="14" t="n">
        <f aca="false">IF(IF(前提条件!$H$15&lt;=前提条件!$I$15,AND($D308&gt;=前提条件!$H$15,$D308&lt;=前提条件!$I$15),OR($D308&gt;=前提条件!$H$15,$D308&lt;=前提条件!$I$15)),1,0)</f>
        <v>0</v>
      </c>
    </row>
    <row r="309" customFormat="false" ht="15" hidden="false" customHeight="false" outlineLevel="0" collapsed="false">
      <c r="A309" s="48" t="n">
        <v>11</v>
      </c>
      <c r="B309" s="48" t="n">
        <v>2</v>
      </c>
      <c r="C309" s="48" t="str">
        <f aca="false">A309&amp;"/"&amp;B309</f>
        <v>11/2</v>
      </c>
      <c r="D309" s="48" t="n">
        <f aca="false">A309*100+B309</f>
        <v>1102</v>
      </c>
      <c r="E309" s="45" t="n">
        <f aca="false">IF(SUM(J309:K309)&gt;0,前提条件!$B$6,前提条件!$B$8)</f>
        <v>3</v>
      </c>
      <c r="F309" s="48" t="str">
        <f aca="false">IFERROR(INDEX(前提条件!$B$12:$B$15,MATCH(1,L309:O309,0)),"未設定")</f>
        <v>標準形</v>
      </c>
      <c r="G309" s="48" t="str">
        <f aca="false">IFERROR(INDEX(前提条件!$C$12:$C$15,MATCH(1,L309:O309,0)),"未設定")</f>
        <v>標準期</v>
      </c>
      <c r="H309" s="44" t="str">
        <f aca="false">"S値+"&amp;E309&amp;"／"&amp;F309&amp;"（"&amp;G309&amp;"）"</f>
        <v>S値+3／標準形（標準期）</v>
      </c>
      <c r="J309" s="14" t="n">
        <f aca="false">IF(IF(前提条件!$G$6&lt;=前提条件!$H$6,AND($D309&gt;=前提条件!$G$6,$D309&lt;=前提条件!$H$6),OR($D309&gt;=前提条件!$G$6,$D309&lt;=前提条件!$H$6)),1,0)</f>
        <v>0</v>
      </c>
      <c r="K309" s="14" t="n">
        <f aca="false">IF(IF(前提条件!$G$7&lt;=前提条件!$H$7,AND($D309&gt;=前提条件!$G$7,$D309&lt;=前提条件!$H$7),OR($D309&gt;=前提条件!$G$7,$D309&lt;=前提条件!$H$7)),1,0)</f>
        <v>0</v>
      </c>
      <c r="L309" s="14" t="n">
        <f aca="false">IF(IF(前提条件!$H$12&lt;=前提条件!$I$12,AND($D309&gt;=前提条件!$H$12,$D309&lt;=前提条件!$I$12),OR($D309&gt;=前提条件!$H$12,$D309&lt;=前提条件!$I$12)),1,0)</f>
        <v>0</v>
      </c>
      <c r="M309" s="14" t="n">
        <f aca="false">IF(IF(前提条件!$H$13&lt;=前提条件!$I$13,AND($D309&gt;=前提条件!$H$13,$D309&lt;=前提条件!$I$13),OR($D309&gt;=前提条件!$H$13,$D309&lt;=前提条件!$I$13)),1,0)</f>
        <v>0</v>
      </c>
      <c r="N309" s="14" t="n">
        <f aca="false">IF(IF(前提条件!$H$14&lt;=前提条件!$I$14,AND($D309&gt;=前提条件!$H$14,$D309&lt;=前提条件!$I$14),OR($D309&gt;=前提条件!$H$14,$D309&lt;=前提条件!$I$14)),1,0)</f>
        <v>1</v>
      </c>
      <c r="O309" s="14" t="n">
        <f aca="false">IF(IF(前提条件!$H$15&lt;=前提条件!$I$15,AND($D309&gt;=前提条件!$H$15,$D309&lt;=前提条件!$I$15),OR($D309&gt;=前提条件!$H$15,$D309&lt;=前提条件!$I$15)),1,0)</f>
        <v>0</v>
      </c>
    </row>
    <row r="310" customFormat="false" ht="15" hidden="false" customHeight="false" outlineLevel="0" collapsed="false">
      <c r="A310" s="48" t="n">
        <v>11</v>
      </c>
      <c r="B310" s="48" t="n">
        <v>3</v>
      </c>
      <c r="C310" s="48" t="str">
        <f aca="false">A310&amp;"/"&amp;B310</f>
        <v>11/3</v>
      </c>
      <c r="D310" s="48" t="n">
        <f aca="false">A310*100+B310</f>
        <v>1103</v>
      </c>
      <c r="E310" s="45" t="n">
        <f aca="false">IF(SUM(J310:K310)&gt;0,前提条件!$B$6,前提条件!$B$8)</f>
        <v>3</v>
      </c>
      <c r="F310" s="48" t="str">
        <f aca="false">IFERROR(INDEX(前提条件!$B$12:$B$15,MATCH(1,L310:O310,0)),"未設定")</f>
        <v>標準形</v>
      </c>
      <c r="G310" s="48" t="str">
        <f aca="false">IFERROR(INDEX(前提条件!$C$12:$C$15,MATCH(1,L310:O310,0)),"未設定")</f>
        <v>標準期</v>
      </c>
      <c r="H310" s="44" t="str">
        <f aca="false">"S値+"&amp;E310&amp;"／"&amp;F310&amp;"（"&amp;G310&amp;"）"</f>
        <v>S値+3／標準形（標準期）</v>
      </c>
      <c r="J310" s="14" t="n">
        <f aca="false">IF(IF(前提条件!$G$6&lt;=前提条件!$H$6,AND($D310&gt;=前提条件!$G$6,$D310&lt;=前提条件!$H$6),OR($D310&gt;=前提条件!$G$6,$D310&lt;=前提条件!$H$6)),1,0)</f>
        <v>0</v>
      </c>
      <c r="K310" s="14" t="n">
        <f aca="false">IF(IF(前提条件!$G$7&lt;=前提条件!$H$7,AND($D310&gt;=前提条件!$G$7,$D310&lt;=前提条件!$H$7),OR($D310&gt;=前提条件!$G$7,$D310&lt;=前提条件!$H$7)),1,0)</f>
        <v>0</v>
      </c>
      <c r="L310" s="14" t="n">
        <f aca="false">IF(IF(前提条件!$H$12&lt;=前提条件!$I$12,AND($D310&gt;=前提条件!$H$12,$D310&lt;=前提条件!$I$12),OR($D310&gt;=前提条件!$H$12,$D310&lt;=前提条件!$I$12)),1,0)</f>
        <v>0</v>
      </c>
      <c r="M310" s="14" t="n">
        <f aca="false">IF(IF(前提条件!$H$13&lt;=前提条件!$I$13,AND($D310&gt;=前提条件!$H$13,$D310&lt;=前提条件!$I$13),OR($D310&gt;=前提条件!$H$13,$D310&lt;=前提条件!$I$13)),1,0)</f>
        <v>0</v>
      </c>
      <c r="N310" s="14" t="n">
        <f aca="false">IF(IF(前提条件!$H$14&lt;=前提条件!$I$14,AND($D310&gt;=前提条件!$H$14,$D310&lt;=前提条件!$I$14),OR($D310&gt;=前提条件!$H$14,$D310&lt;=前提条件!$I$14)),1,0)</f>
        <v>1</v>
      </c>
      <c r="O310" s="14" t="n">
        <f aca="false">IF(IF(前提条件!$H$15&lt;=前提条件!$I$15,AND($D310&gt;=前提条件!$H$15,$D310&lt;=前提条件!$I$15),OR($D310&gt;=前提条件!$H$15,$D310&lt;=前提条件!$I$15)),1,0)</f>
        <v>0</v>
      </c>
    </row>
    <row r="311" customFormat="false" ht="15" hidden="false" customHeight="false" outlineLevel="0" collapsed="false">
      <c r="A311" s="48" t="n">
        <v>11</v>
      </c>
      <c r="B311" s="48" t="n">
        <v>4</v>
      </c>
      <c r="C311" s="48" t="str">
        <f aca="false">A311&amp;"/"&amp;B311</f>
        <v>11/4</v>
      </c>
      <c r="D311" s="48" t="n">
        <f aca="false">A311*100+B311</f>
        <v>1104</v>
      </c>
      <c r="E311" s="45" t="n">
        <f aca="false">IF(SUM(J311:K311)&gt;0,前提条件!$B$6,前提条件!$B$8)</f>
        <v>3</v>
      </c>
      <c r="F311" s="48" t="str">
        <f aca="false">IFERROR(INDEX(前提条件!$B$12:$B$15,MATCH(1,L311:O311,0)),"未設定")</f>
        <v>標準形</v>
      </c>
      <c r="G311" s="48" t="str">
        <f aca="false">IFERROR(INDEX(前提条件!$C$12:$C$15,MATCH(1,L311:O311,0)),"未設定")</f>
        <v>標準期</v>
      </c>
      <c r="H311" s="44" t="str">
        <f aca="false">"S値+"&amp;E311&amp;"／"&amp;F311&amp;"（"&amp;G311&amp;"）"</f>
        <v>S値+3／標準形（標準期）</v>
      </c>
      <c r="J311" s="14" t="n">
        <f aca="false">IF(IF(前提条件!$G$6&lt;=前提条件!$H$6,AND($D311&gt;=前提条件!$G$6,$D311&lt;=前提条件!$H$6),OR($D311&gt;=前提条件!$G$6,$D311&lt;=前提条件!$H$6)),1,0)</f>
        <v>0</v>
      </c>
      <c r="K311" s="14" t="n">
        <f aca="false">IF(IF(前提条件!$G$7&lt;=前提条件!$H$7,AND($D311&gt;=前提条件!$G$7,$D311&lt;=前提条件!$H$7),OR($D311&gt;=前提条件!$G$7,$D311&lt;=前提条件!$H$7)),1,0)</f>
        <v>0</v>
      </c>
      <c r="L311" s="14" t="n">
        <f aca="false">IF(IF(前提条件!$H$12&lt;=前提条件!$I$12,AND($D311&gt;=前提条件!$H$12,$D311&lt;=前提条件!$I$12),OR($D311&gt;=前提条件!$H$12,$D311&lt;=前提条件!$I$12)),1,0)</f>
        <v>0</v>
      </c>
      <c r="M311" s="14" t="n">
        <f aca="false">IF(IF(前提条件!$H$13&lt;=前提条件!$I$13,AND($D311&gt;=前提条件!$H$13,$D311&lt;=前提条件!$I$13),OR($D311&gt;=前提条件!$H$13,$D311&lt;=前提条件!$I$13)),1,0)</f>
        <v>0</v>
      </c>
      <c r="N311" s="14" t="n">
        <f aca="false">IF(IF(前提条件!$H$14&lt;=前提条件!$I$14,AND($D311&gt;=前提条件!$H$14,$D311&lt;=前提条件!$I$14),OR($D311&gt;=前提条件!$H$14,$D311&lt;=前提条件!$I$14)),1,0)</f>
        <v>1</v>
      </c>
      <c r="O311" s="14" t="n">
        <f aca="false">IF(IF(前提条件!$H$15&lt;=前提条件!$I$15,AND($D311&gt;=前提条件!$H$15,$D311&lt;=前提条件!$I$15),OR($D311&gt;=前提条件!$H$15,$D311&lt;=前提条件!$I$15)),1,0)</f>
        <v>0</v>
      </c>
    </row>
    <row r="312" customFormat="false" ht="15" hidden="false" customHeight="false" outlineLevel="0" collapsed="false">
      <c r="A312" s="48" t="n">
        <v>11</v>
      </c>
      <c r="B312" s="48" t="n">
        <v>5</v>
      </c>
      <c r="C312" s="48" t="str">
        <f aca="false">A312&amp;"/"&amp;B312</f>
        <v>11/5</v>
      </c>
      <c r="D312" s="48" t="n">
        <f aca="false">A312*100+B312</f>
        <v>1105</v>
      </c>
      <c r="E312" s="45" t="n">
        <f aca="false">IF(SUM(J312:K312)&gt;0,前提条件!$B$6,前提条件!$B$8)</f>
        <v>3</v>
      </c>
      <c r="F312" s="48" t="str">
        <f aca="false">IFERROR(INDEX(前提条件!$B$12:$B$15,MATCH(1,L312:O312,0)),"未設定")</f>
        <v>標準形</v>
      </c>
      <c r="G312" s="48" t="str">
        <f aca="false">IFERROR(INDEX(前提条件!$C$12:$C$15,MATCH(1,L312:O312,0)),"未設定")</f>
        <v>標準期</v>
      </c>
      <c r="H312" s="44" t="str">
        <f aca="false">"S値+"&amp;E312&amp;"／"&amp;F312&amp;"（"&amp;G312&amp;"）"</f>
        <v>S値+3／標準形（標準期）</v>
      </c>
      <c r="J312" s="14" t="n">
        <f aca="false">IF(IF(前提条件!$G$6&lt;=前提条件!$H$6,AND($D312&gt;=前提条件!$G$6,$D312&lt;=前提条件!$H$6),OR($D312&gt;=前提条件!$G$6,$D312&lt;=前提条件!$H$6)),1,0)</f>
        <v>0</v>
      </c>
      <c r="K312" s="14" t="n">
        <f aca="false">IF(IF(前提条件!$G$7&lt;=前提条件!$H$7,AND($D312&gt;=前提条件!$G$7,$D312&lt;=前提条件!$H$7),OR($D312&gt;=前提条件!$G$7,$D312&lt;=前提条件!$H$7)),1,0)</f>
        <v>0</v>
      </c>
      <c r="L312" s="14" t="n">
        <f aca="false">IF(IF(前提条件!$H$12&lt;=前提条件!$I$12,AND($D312&gt;=前提条件!$H$12,$D312&lt;=前提条件!$I$12),OR($D312&gt;=前提条件!$H$12,$D312&lt;=前提条件!$I$12)),1,0)</f>
        <v>0</v>
      </c>
      <c r="M312" s="14" t="n">
        <f aca="false">IF(IF(前提条件!$H$13&lt;=前提条件!$I$13,AND($D312&gt;=前提条件!$H$13,$D312&lt;=前提条件!$I$13),OR($D312&gt;=前提条件!$H$13,$D312&lt;=前提条件!$I$13)),1,0)</f>
        <v>0</v>
      </c>
      <c r="N312" s="14" t="n">
        <f aca="false">IF(IF(前提条件!$H$14&lt;=前提条件!$I$14,AND($D312&gt;=前提条件!$H$14,$D312&lt;=前提条件!$I$14),OR($D312&gt;=前提条件!$H$14,$D312&lt;=前提条件!$I$14)),1,0)</f>
        <v>1</v>
      </c>
      <c r="O312" s="14" t="n">
        <f aca="false">IF(IF(前提条件!$H$15&lt;=前提条件!$I$15,AND($D312&gt;=前提条件!$H$15,$D312&lt;=前提条件!$I$15),OR($D312&gt;=前提条件!$H$15,$D312&lt;=前提条件!$I$15)),1,0)</f>
        <v>0</v>
      </c>
    </row>
    <row r="313" customFormat="false" ht="15" hidden="false" customHeight="false" outlineLevel="0" collapsed="false">
      <c r="A313" s="48" t="n">
        <v>11</v>
      </c>
      <c r="B313" s="48" t="n">
        <v>6</v>
      </c>
      <c r="C313" s="48" t="str">
        <f aca="false">A313&amp;"/"&amp;B313</f>
        <v>11/6</v>
      </c>
      <c r="D313" s="48" t="n">
        <f aca="false">A313*100+B313</f>
        <v>1106</v>
      </c>
      <c r="E313" s="45" t="n">
        <f aca="false">IF(SUM(J313:K313)&gt;0,前提条件!$B$6,前提条件!$B$8)</f>
        <v>3</v>
      </c>
      <c r="F313" s="48" t="str">
        <f aca="false">IFERROR(INDEX(前提条件!$B$12:$B$15,MATCH(1,L313:O313,0)),"未設定")</f>
        <v>標準形</v>
      </c>
      <c r="G313" s="48" t="str">
        <f aca="false">IFERROR(INDEX(前提条件!$C$12:$C$15,MATCH(1,L313:O313,0)),"未設定")</f>
        <v>標準期</v>
      </c>
      <c r="H313" s="44" t="str">
        <f aca="false">"S値+"&amp;E313&amp;"／"&amp;F313&amp;"（"&amp;G313&amp;"）"</f>
        <v>S値+3／標準形（標準期）</v>
      </c>
      <c r="J313" s="14" t="n">
        <f aca="false">IF(IF(前提条件!$G$6&lt;=前提条件!$H$6,AND($D313&gt;=前提条件!$G$6,$D313&lt;=前提条件!$H$6),OR($D313&gt;=前提条件!$G$6,$D313&lt;=前提条件!$H$6)),1,0)</f>
        <v>0</v>
      </c>
      <c r="K313" s="14" t="n">
        <f aca="false">IF(IF(前提条件!$G$7&lt;=前提条件!$H$7,AND($D313&gt;=前提条件!$G$7,$D313&lt;=前提条件!$H$7),OR($D313&gt;=前提条件!$G$7,$D313&lt;=前提条件!$H$7)),1,0)</f>
        <v>0</v>
      </c>
      <c r="L313" s="14" t="n">
        <f aca="false">IF(IF(前提条件!$H$12&lt;=前提条件!$I$12,AND($D313&gt;=前提条件!$H$12,$D313&lt;=前提条件!$I$12),OR($D313&gt;=前提条件!$H$12,$D313&lt;=前提条件!$I$12)),1,0)</f>
        <v>0</v>
      </c>
      <c r="M313" s="14" t="n">
        <f aca="false">IF(IF(前提条件!$H$13&lt;=前提条件!$I$13,AND($D313&gt;=前提条件!$H$13,$D313&lt;=前提条件!$I$13),OR($D313&gt;=前提条件!$H$13,$D313&lt;=前提条件!$I$13)),1,0)</f>
        <v>0</v>
      </c>
      <c r="N313" s="14" t="n">
        <f aca="false">IF(IF(前提条件!$H$14&lt;=前提条件!$I$14,AND($D313&gt;=前提条件!$H$14,$D313&lt;=前提条件!$I$14),OR($D313&gt;=前提条件!$H$14,$D313&lt;=前提条件!$I$14)),1,0)</f>
        <v>1</v>
      </c>
      <c r="O313" s="14" t="n">
        <f aca="false">IF(IF(前提条件!$H$15&lt;=前提条件!$I$15,AND($D313&gt;=前提条件!$H$15,$D313&lt;=前提条件!$I$15),OR($D313&gt;=前提条件!$H$15,$D313&lt;=前提条件!$I$15)),1,0)</f>
        <v>0</v>
      </c>
    </row>
    <row r="314" customFormat="false" ht="15" hidden="false" customHeight="false" outlineLevel="0" collapsed="false">
      <c r="A314" s="48" t="n">
        <v>11</v>
      </c>
      <c r="B314" s="48" t="n">
        <v>7</v>
      </c>
      <c r="C314" s="48" t="str">
        <f aca="false">A314&amp;"/"&amp;B314</f>
        <v>11/7</v>
      </c>
      <c r="D314" s="48" t="n">
        <f aca="false">A314*100+B314</f>
        <v>1107</v>
      </c>
      <c r="E314" s="45" t="n">
        <f aca="false">IF(SUM(J314:K314)&gt;0,前提条件!$B$6,前提条件!$B$8)</f>
        <v>3</v>
      </c>
      <c r="F314" s="48" t="str">
        <f aca="false">IFERROR(INDEX(前提条件!$B$12:$B$15,MATCH(1,L314:O314,0)),"未設定")</f>
        <v>標準形</v>
      </c>
      <c r="G314" s="48" t="str">
        <f aca="false">IFERROR(INDEX(前提条件!$C$12:$C$15,MATCH(1,L314:O314,0)),"未設定")</f>
        <v>標準期</v>
      </c>
      <c r="H314" s="44" t="str">
        <f aca="false">"S値+"&amp;E314&amp;"／"&amp;F314&amp;"（"&amp;G314&amp;"）"</f>
        <v>S値+3／標準形（標準期）</v>
      </c>
      <c r="J314" s="14" t="n">
        <f aca="false">IF(IF(前提条件!$G$6&lt;=前提条件!$H$6,AND($D314&gt;=前提条件!$G$6,$D314&lt;=前提条件!$H$6),OR($D314&gt;=前提条件!$G$6,$D314&lt;=前提条件!$H$6)),1,0)</f>
        <v>0</v>
      </c>
      <c r="K314" s="14" t="n">
        <f aca="false">IF(IF(前提条件!$G$7&lt;=前提条件!$H$7,AND($D314&gt;=前提条件!$G$7,$D314&lt;=前提条件!$H$7),OR($D314&gt;=前提条件!$G$7,$D314&lt;=前提条件!$H$7)),1,0)</f>
        <v>0</v>
      </c>
      <c r="L314" s="14" t="n">
        <f aca="false">IF(IF(前提条件!$H$12&lt;=前提条件!$I$12,AND($D314&gt;=前提条件!$H$12,$D314&lt;=前提条件!$I$12),OR($D314&gt;=前提条件!$H$12,$D314&lt;=前提条件!$I$12)),1,0)</f>
        <v>0</v>
      </c>
      <c r="M314" s="14" t="n">
        <f aca="false">IF(IF(前提条件!$H$13&lt;=前提条件!$I$13,AND($D314&gt;=前提条件!$H$13,$D314&lt;=前提条件!$I$13),OR($D314&gt;=前提条件!$H$13,$D314&lt;=前提条件!$I$13)),1,0)</f>
        <v>0</v>
      </c>
      <c r="N314" s="14" t="n">
        <f aca="false">IF(IF(前提条件!$H$14&lt;=前提条件!$I$14,AND($D314&gt;=前提条件!$H$14,$D314&lt;=前提条件!$I$14),OR($D314&gt;=前提条件!$H$14,$D314&lt;=前提条件!$I$14)),1,0)</f>
        <v>1</v>
      </c>
      <c r="O314" s="14" t="n">
        <f aca="false">IF(IF(前提条件!$H$15&lt;=前提条件!$I$15,AND($D314&gt;=前提条件!$H$15,$D314&lt;=前提条件!$I$15),OR($D314&gt;=前提条件!$H$15,$D314&lt;=前提条件!$I$15)),1,0)</f>
        <v>0</v>
      </c>
    </row>
    <row r="315" customFormat="false" ht="15" hidden="false" customHeight="false" outlineLevel="0" collapsed="false">
      <c r="A315" s="48" t="n">
        <v>11</v>
      </c>
      <c r="B315" s="48" t="n">
        <v>8</v>
      </c>
      <c r="C315" s="48" t="str">
        <f aca="false">A315&amp;"/"&amp;B315</f>
        <v>11/8</v>
      </c>
      <c r="D315" s="48" t="n">
        <f aca="false">A315*100+B315</f>
        <v>1108</v>
      </c>
      <c r="E315" s="45" t="n">
        <f aca="false">IF(SUM(J315:K315)&gt;0,前提条件!$B$6,前提条件!$B$8)</f>
        <v>3</v>
      </c>
      <c r="F315" s="48" t="str">
        <f aca="false">IFERROR(INDEX(前提条件!$B$12:$B$15,MATCH(1,L315:O315,0)),"未設定")</f>
        <v>標準形</v>
      </c>
      <c r="G315" s="48" t="str">
        <f aca="false">IFERROR(INDEX(前提条件!$C$12:$C$15,MATCH(1,L315:O315,0)),"未設定")</f>
        <v>標準期</v>
      </c>
      <c r="H315" s="44" t="str">
        <f aca="false">"S値+"&amp;E315&amp;"／"&amp;F315&amp;"（"&amp;G315&amp;"）"</f>
        <v>S値+3／標準形（標準期）</v>
      </c>
      <c r="J315" s="14" t="n">
        <f aca="false">IF(IF(前提条件!$G$6&lt;=前提条件!$H$6,AND($D315&gt;=前提条件!$G$6,$D315&lt;=前提条件!$H$6),OR($D315&gt;=前提条件!$G$6,$D315&lt;=前提条件!$H$6)),1,0)</f>
        <v>0</v>
      </c>
      <c r="K315" s="14" t="n">
        <f aca="false">IF(IF(前提条件!$G$7&lt;=前提条件!$H$7,AND($D315&gt;=前提条件!$G$7,$D315&lt;=前提条件!$H$7),OR($D315&gt;=前提条件!$G$7,$D315&lt;=前提条件!$H$7)),1,0)</f>
        <v>0</v>
      </c>
      <c r="L315" s="14" t="n">
        <f aca="false">IF(IF(前提条件!$H$12&lt;=前提条件!$I$12,AND($D315&gt;=前提条件!$H$12,$D315&lt;=前提条件!$I$12),OR($D315&gt;=前提条件!$H$12,$D315&lt;=前提条件!$I$12)),1,0)</f>
        <v>0</v>
      </c>
      <c r="M315" s="14" t="n">
        <f aca="false">IF(IF(前提条件!$H$13&lt;=前提条件!$I$13,AND($D315&gt;=前提条件!$H$13,$D315&lt;=前提条件!$I$13),OR($D315&gt;=前提条件!$H$13,$D315&lt;=前提条件!$I$13)),1,0)</f>
        <v>0</v>
      </c>
      <c r="N315" s="14" t="n">
        <f aca="false">IF(IF(前提条件!$H$14&lt;=前提条件!$I$14,AND($D315&gt;=前提条件!$H$14,$D315&lt;=前提条件!$I$14),OR($D315&gt;=前提条件!$H$14,$D315&lt;=前提条件!$I$14)),1,0)</f>
        <v>1</v>
      </c>
      <c r="O315" s="14" t="n">
        <f aca="false">IF(IF(前提条件!$H$15&lt;=前提条件!$I$15,AND($D315&gt;=前提条件!$H$15,$D315&lt;=前提条件!$I$15),OR($D315&gt;=前提条件!$H$15,$D315&lt;=前提条件!$I$15)),1,0)</f>
        <v>0</v>
      </c>
    </row>
    <row r="316" customFormat="false" ht="15" hidden="false" customHeight="false" outlineLevel="0" collapsed="false">
      <c r="A316" s="48" t="n">
        <v>11</v>
      </c>
      <c r="B316" s="48" t="n">
        <v>9</v>
      </c>
      <c r="C316" s="48" t="str">
        <f aca="false">A316&amp;"/"&amp;B316</f>
        <v>11/9</v>
      </c>
      <c r="D316" s="48" t="n">
        <f aca="false">A316*100+B316</f>
        <v>1109</v>
      </c>
      <c r="E316" s="45" t="n">
        <f aca="false">IF(SUM(J316:K316)&gt;0,前提条件!$B$6,前提条件!$B$8)</f>
        <v>3</v>
      </c>
      <c r="F316" s="48" t="str">
        <f aca="false">IFERROR(INDEX(前提条件!$B$12:$B$15,MATCH(1,L316:O316,0)),"未設定")</f>
        <v>標準形</v>
      </c>
      <c r="G316" s="48" t="str">
        <f aca="false">IFERROR(INDEX(前提条件!$C$12:$C$15,MATCH(1,L316:O316,0)),"未設定")</f>
        <v>標準期</v>
      </c>
      <c r="H316" s="44" t="str">
        <f aca="false">"S値+"&amp;E316&amp;"／"&amp;F316&amp;"（"&amp;G316&amp;"）"</f>
        <v>S値+3／標準形（標準期）</v>
      </c>
      <c r="J316" s="14" t="n">
        <f aca="false">IF(IF(前提条件!$G$6&lt;=前提条件!$H$6,AND($D316&gt;=前提条件!$G$6,$D316&lt;=前提条件!$H$6),OR($D316&gt;=前提条件!$G$6,$D316&lt;=前提条件!$H$6)),1,0)</f>
        <v>0</v>
      </c>
      <c r="K316" s="14" t="n">
        <f aca="false">IF(IF(前提条件!$G$7&lt;=前提条件!$H$7,AND($D316&gt;=前提条件!$G$7,$D316&lt;=前提条件!$H$7),OR($D316&gt;=前提条件!$G$7,$D316&lt;=前提条件!$H$7)),1,0)</f>
        <v>0</v>
      </c>
      <c r="L316" s="14" t="n">
        <f aca="false">IF(IF(前提条件!$H$12&lt;=前提条件!$I$12,AND($D316&gt;=前提条件!$H$12,$D316&lt;=前提条件!$I$12),OR($D316&gt;=前提条件!$H$12,$D316&lt;=前提条件!$I$12)),1,0)</f>
        <v>0</v>
      </c>
      <c r="M316" s="14" t="n">
        <f aca="false">IF(IF(前提条件!$H$13&lt;=前提条件!$I$13,AND($D316&gt;=前提条件!$H$13,$D316&lt;=前提条件!$I$13),OR($D316&gt;=前提条件!$H$13,$D316&lt;=前提条件!$I$13)),1,0)</f>
        <v>0</v>
      </c>
      <c r="N316" s="14" t="n">
        <f aca="false">IF(IF(前提条件!$H$14&lt;=前提条件!$I$14,AND($D316&gt;=前提条件!$H$14,$D316&lt;=前提条件!$I$14),OR($D316&gt;=前提条件!$H$14,$D316&lt;=前提条件!$I$14)),1,0)</f>
        <v>1</v>
      </c>
      <c r="O316" s="14" t="n">
        <f aca="false">IF(IF(前提条件!$H$15&lt;=前提条件!$I$15,AND($D316&gt;=前提条件!$H$15,$D316&lt;=前提条件!$I$15),OR($D316&gt;=前提条件!$H$15,$D316&lt;=前提条件!$I$15)),1,0)</f>
        <v>0</v>
      </c>
    </row>
    <row r="317" customFormat="false" ht="15" hidden="false" customHeight="false" outlineLevel="0" collapsed="false">
      <c r="A317" s="48" t="n">
        <v>11</v>
      </c>
      <c r="B317" s="48" t="n">
        <v>10</v>
      </c>
      <c r="C317" s="48" t="str">
        <f aca="false">A317&amp;"/"&amp;B317</f>
        <v>11/10</v>
      </c>
      <c r="D317" s="48" t="n">
        <f aca="false">A317*100+B317</f>
        <v>1110</v>
      </c>
      <c r="E317" s="45" t="n">
        <f aca="false">IF(SUM(J317:K317)&gt;0,前提条件!$B$6,前提条件!$B$8)</f>
        <v>3</v>
      </c>
      <c r="F317" s="48" t="str">
        <f aca="false">IFERROR(INDEX(前提条件!$B$12:$B$15,MATCH(1,L317:O317,0)),"未設定")</f>
        <v>標準形</v>
      </c>
      <c r="G317" s="48" t="str">
        <f aca="false">IFERROR(INDEX(前提条件!$C$12:$C$15,MATCH(1,L317:O317,0)),"未設定")</f>
        <v>標準期</v>
      </c>
      <c r="H317" s="44" t="str">
        <f aca="false">"S値+"&amp;E317&amp;"／"&amp;F317&amp;"（"&amp;G317&amp;"）"</f>
        <v>S値+3／標準形（標準期）</v>
      </c>
      <c r="J317" s="14" t="n">
        <f aca="false">IF(IF(前提条件!$G$6&lt;=前提条件!$H$6,AND($D317&gt;=前提条件!$G$6,$D317&lt;=前提条件!$H$6),OR($D317&gt;=前提条件!$G$6,$D317&lt;=前提条件!$H$6)),1,0)</f>
        <v>0</v>
      </c>
      <c r="K317" s="14" t="n">
        <f aca="false">IF(IF(前提条件!$G$7&lt;=前提条件!$H$7,AND($D317&gt;=前提条件!$G$7,$D317&lt;=前提条件!$H$7),OR($D317&gt;=前提条件!$G$7,$D317&lt;=前提条件!$H$7)),1,0)</f>
        <v>0</v>
      </c>
      <c r="L317" s="14" t="n">
        <f aca="false">IF(IF(前提条件!$H$12&lt;=前提条件!$I$12,AND($D317&gt;=前提条件!$H$12,$D317&lt;=前提条件!$I$12),OR($D317&gt;=前提条件!$H$12,$D317&lt;=前提条件!$I$12)),1,0)</f>
        <v>0</v>
      </c>
      <c r="M317" s="14" t="n">
        <f aca="false">IF(IF(前提条件!$H$13&lt;=前提条件!$I$13,AND($D317&gt;=前提条件!$H$13,$D317&lt;=前提条件!$I$13),OR($D317&gt;=前提条件!$H$13,$D317&lt;=前提条件!$I$13)),1,0)</f>
        <v>0</v>
      </c>
      <c r="N317" s="14" t="n">
        <f aca="false">IF(IF(前提条件!$H$14&lt;=前提条件!$I$14,AND($D317&gt;=前提条件!$H$14,$D317&lt;=前提条件!$I$14),OR($D317&gt;=前提条件!$H$14,$D317&lt;=前提条件!$I$14)),1,0)</f>
        <v>1</v>
      </c>
      <c r="O317" s="14" t="n">
        <f aca="false">IF(IF(前提条件!$H$15&lt;=前提条件!$I$15,AND($D317&gt;=前提条件!$H$15,$D317&lt;=前提条件!$I$15),OR($D317&gt;=前提条件!$H$15,$D317&lt;=前提条件!$I$15)),1,0)</f>
        <v>0</v>
      </c>
    </row>
    <row r="318" customFormat="false" ht="15" hidden="false" customHeight="false" outlineLevel="0" collapsed="false">
      <c r="A318" s="48" t="n">
        <v>11</v>
      </c>
      <c r="B318" s="48" t="n">
        <v>11</v>
      </c>
      <c r="C318" s="48" t="str">
        <f aca="false">A318&amp;"/"&amp;B318</f>
        <v>11/11</v>
      </c>
      <c r="D318" s="48" t="n">
        <f aca="false">A318*100+B318</f>
        <v>1111</v>
      </c>
      <c r="E318" s="45" t="n">
        <f aca="false">IF(SUM(J318:K318)&gt;0,前提条件!$B$6,前提条件!$B$8)</f>
        <v>3</v>
      </c>
      <c r="F318" s="48" t="str">
        <f aca="false">IFERROR(INDEX(前提条件!$B$12:$B$15,MATCH(1,L318:O318,0)),"未設定")</f>
        <v>標準形</v>
      </c>
      <c r="G318" s="48" t="str">
        <f aca="false">IFERROR(INDEX(前提条件!$C$12:$C$15,MATCH(1,L318:O318,0)),"未設定")</f>
        <v>標準期</v>
      </c>
      <c r="H318" s="44" t="str">
        <f aca="false">"S値+"&amp;E318&amp;"／"&amp;F318&amp;"（"&amp;G318&amp;"）"</f>
        <v>S値+3／標準形（標準期）</v>
      </c>
      <c r="J318" s="14" t="n">
        <f aca="false">IF(IF(前提条件!$G$6&lt;=前提条件!$H$6,AND($D318&gt;=前提条件!$G$6,$D318&lt;=前提条件!$H$6),OR($D318&gt;=前提条件!$G$6,$D318&lt;=前提条件!$H$6)),1,0)</f>
        <v>0</v>
      </c>
      <c r="K318" s="14" t="n">
        <f aca="false">IF(IF(前提条件!$G$7&lt;=前提条件!$H$7,AND($D318&gt;=前提条件!$G$7,$D318&lt;=前提条件!$H$7),OR($D318&gt;=前提条件!$G$7,$D318&lt;=前提条件!$H$7)),1,0)</f>
        <v>0</v>
      </c>
      <c r="L318" s="14" t="n">
        <f aca="false">IF(IF(前提条件!$H$12&lt;=前提条件!$I$12,AND($D318&gt;=前提条件!$H$12,$D318&lt;=前提条件!$I$12),OR($D318&gt;=前提条件!$H$12,$D318&lt;=前提条件!$I$12)),1,0)</f>
        <v>0</v>
      </c>
      <c r="M318" s="14" t="n">
        <f aca="false">IF(IF(前提条件!$H$13&lt;=前提条件!$I$13,AND($D318&gt;=前提条件!$H$13,$D318&lt;=前提条件!$I$13),OR($D318&gt;=前提条件!$H$13,$D318&lt;=前提条件!$I$13)),1,0)</f>
        <v>0</v>
      </c>
      <c r="N318" s="14" t="n">
        <f aca="false">IF(IF(前提条件!$H$14&lt;=前提条件!$I$14,AND($D318&gt;=前提条件!$H$14,$D318&lt;=前提条件!$I$14),OR($D318&gt;=前提条件!$H$14,$D318&lt;=前提条件!$I$14)),1,0)</f>
        <v>1</v>
      </c>
      <c r="O318" s="14" t="n">
        <f aca="false">IF(IF(前提条件!$H$15&lt;=前提条件!$I$15,AND($D318&gt;=前提条件!$H$15,$D318&lt;=前提条件!$I$15),OR($D318&gt;=前提条件!$H$15,$D318&lt;=前提条件!$I$15)),1,0)</f>
        <v>0</v>
      </c>
    </row>
    <row r="319" customFormat="false" ht="15" hidden="false" customHeight="false" outlineLevel="0" collapsed="false">
      <c r="A319" s="48" t="n">
        <v>11</v>
      </c>
      <c r="B319" s="48" t="n">
        <v>12</v>
      </c>
      <c r="C319" s="48" t="str">
        <f aca="false">A319&amp;"/"&amp;B319</f>
        <v>11/12</v>
      </c>
      <c r="D319" s="48" t="n">
        <f aca="false">A319*100+B319</f>
        <v>1112</v>
      </c>
      <c r="E319" s="45" t="n">
        <f aca="false">IF(SUM(J319:K319)&gt;0,前提条件!$B$6,前提条件!$B$8)</f>
        <v>3</v>
      </c>
      <c r="F319" s="48" t="str">
        <f aca="false">IFERROR(INDEX(前提条件!$B$12:$B$15,MATCH(1,L319:O319,0)),"未設定")</f>
        <v>標準形</v>
      </c>
      <c r="G319" s="48" t="str">
        <f aca="false">IFERROR(INDEX(前提条件!$C$12:$C$15,MATCH(1,L319:O319,0)),"未設定")</f>
        <v>標準期</v>
      </c>
      <c r="H319" s="44" t="str">
        <f aca="false">"S値+"&amp;E319&amp;"／"&amp;F319&amp;"（"&amp;G319&amp;"）"</f>
        <v>S値+3／標準形（標準期）</v>
      </c>
      <c r="J319" s="14" t="n">
        <f aca="false">IF(IF(前提条件!$G$6&lt;=前提条件!$H$6,AND($D319&gt;=前提条件!$G$6,$D319&lt;=前提条件!$H$6),OR($D319&gt;=前提条件!$G$6,$D319&lt;=前提条件!$H$6)),1,0)</f>
        <v>0</v>
      </c>
      <c r="K319" s="14" t="n">
        <f aca="false">IF(IF(前提条件!$G$7&lt;=前提条件!$H$7,AND($D319&gt;=前提条件!$G$7,$D319&lt;=前提条件!$H$7),OR($D319&gt;=前提条件!$G$7,$D319&lt;=前提条件!$H$7)),1,0)</f>
        <v>0</v>
      </c>
      <c r="L319" s="14" t="n">
        <f aca="false">IF(IF(前提条件!$H$12&lt;=前提条件!$I$12,AND($D319&gt;=前提条件!$H$12,$D319&lt;=前提条件!$I$12),OR($D319&gt;=前提条件!$H$12,$D319&lt;=前提条件!$I$12)),1,0)</f>
        <v>0</v>
      </c>
      <c r="M319" s="14" t="n">
        <f aca="false">IF(IF(前提条件!$H$13&lt;=前提条件!$I$13,AND($D319&gt;=前提条件!$H$13,$D319&lt;=前提条件!$I$13),OR($D319&gt;=前提条件!$H$13,$D319&lt;=前提条件!$I$13)),1,0)</f>
        <v>0</v>
      </c>
      <c r="N319" s="14" t="n">
        <f aca="false">IF(IF(前提条件!$H$14&lt;=前提条件!$I$14,AND($D319&gt;=前提条件!$H$14,$D319&lt;=前提条件!$I$14),OR($D319&gt;=前提条件!$H$14,$D319&lt;=前提条件!$I$14)),1,0)</f>
        <v>1</v>
      </c>
      <c r="O319" s="14" t="n">
        <f aca="false">IF(IF(前提条件!$H$15&lt;=前提条件!$I$15,AND($D319&gt;=前提条件!$H$15,$D319&lt;=前提条件!$I$15),OR($D319&gt;=前提条件!$H$15,$D319&lt;=前提条件!$I$15)),1,0)</f>
        <v>0</v>
      </c>
    </row>
    <row r="320" customFormat="false" ht="15" hidden="false" customHeight="false" outlineLevel="0" collapsed="false">
      <c r="A320" s="48" t="n">
        <v>11</v>
      </c>
      <c r="B320" s="48" t="n">
        <v>13</v>
      </c>
      <c r="C320" s="48" t="str">
        <f aca="false">A320&amp;"/"&amp;B320</f>
        <v>11/13</v>
      </c>
      <c r="D320" s="48" t="n">
        <f aca="false">A320*100+B320</f>
        <v>1113</v>
      </c>
      <c r="E320" s="45" t="n">
        <f aca="false">IF(SUM(J320:K320)&gt;0,前提条件!$B$6,前提条件!$B$8)</f>
        <v>3</v>
      </c>
      <c r="F320" s="48" t="str">
        <f aca="false">IFERROR(INDEX(前提条件!$B$12:$B$15,MATCH(1,L320:O320,0)),"未設定")</f>
        <v>標準形</v>
      </c>
      <c r="G320" s="48" t="str">
        <f aca="false">IFERROR(INDEX(前提条件!$C$12:$C$15,MATCH(1,L320:O320,0)),"未設定")</f>
        <v>標準期</v>
      </c>
      <c r="H320" s="44" t="str">
        <f aca="false">"S値+"&amp;E320&amp;"／"&amp;F320&amp;"（"&amp;G320&amp;"）"</f>
        <v>S値+3／標準形（標準期）</v>
      </c>
      <c r="J320" s="14" t="n">
        <f aca="false">IF(IF(前提条件!$G$6&lt;=前提条件!$H$6,AND($D320&gt;=前提条件!$G$6,$D320&lt;=前提条件!$H$6),OR($D320&gt;=前提条件!$G$6,$D320&lt;=前提条件!$H$6)),1,0)</f>
        <v>0</v>
      </c>
      <c r="K320" s="14" t="n">
        <f aca="false">IF(IF(前提条件!$G$7&lt;=前提条件!$H$7,AND($D320&gt;=前提条件!$G$7,$D320&lt;=前提条件!$H$7),OR($D320&gt;=前提条件!$G$7,$D320&lt;=前提条件!$H$7)),1,0)</f>
        <v>0</v>
      </c>
      <c r="L320" s="14" t="n">
        <f aca="false">IF(IF(前提条件!$H$12&lt;=前提条件!$I$12,AND($D320&gt;=前提条件!$H$12,$D320&lt;=前提条件!$I$12),OR($D320&gt;=前提条件!$H$12,$D320&lt;=前提条件!$I$12)),1,0)</f>
        <v>0</v>
      </c>
      <c r="M320" s="14" t="n">
        <f aca="false">IF(IF(前提条件!$H$13&lt;=前提条件!$I$13,AND($D320&gt;=前提条件!$H$13,$D320&lt;=前提条件!$I$13),OR($D320&gt;=前提条件!$H$13,$D320&lt;=前提条件!$I$13)),1,0)</f>
        <v>0</v>
      </c>
      <c r="N320" s="14" t="n">
        <f aca="false">IF(IF(前提条件!$H$14&lt;=前提条件!$I$14,AND($D320&gt;=前提条件!$H$14,$D320&lt;=前提条件!$I$14),OR($D320&gt;=前提条件!$H$14,$D320&lt;=前提条件!$I$14)),1,0)</f>
        <v>1</v>
      </c>
      <c r="O320" s="14" t="n">
        <f aca="false">IF(IF(前提条件!$H$15&lt;=前提条件!$I$15,AND($D320&gt;=前提条件!$H$15,$D320&lt;=前提条件!$I$15),OR($D320&gt;=前提条件!$H$15,$D320&lt;=前提条件!$I$15)),1,0)</f>
        <v>0</v>
      </c>
    </row>
    <row r="321" customFormat="false" ht="15" hidden="false" customHeight="false" outlineLevel="0" collapsed="false">
      <c r="A321" s="48" t="n">
        <v>11</v>
      </c>
      <c r="B321" s="48" t="n">
        <v>14</v>
      </c>
      <c r="C321" s="48" t="str">
        <f aca="false">A321&amp;"/"&amp;B321</f>
        <v>11/14</v>
      </c>
      <c r="D321" s="48" t="n">
        <f aca="false">A321*100+B321</f>
        <v>1114</v>
      </c>
      <c r="E321" s="45" t="n">
        <f aca="false">IF(SUM(J321:K321)&gt;0,前提条件!$B$6,前提条件!$B$8)</f>
        <v>3</v>
      </c>
      <c r="F321" s="48" t="str">
        <f aca="false">IFERROR(INDEX(前提条件!$B$12:$B$15,MATCH(1,L321:O321,0)),"未設定")</f>
        <v>標準形</v>
      </c>
      <c r="G321" s="48" t="str">
        <f aca="false">IFERROR(INDEX(前提条件!$C$12:$C$15,MATCH(1,L321:O321,0)),"未設定")</f>
        <v>標準期</v>
      </c>
      <c r="H321" s="44" t="str">
        <f aca="false">"S値+"&amp;E321&amp;"／"&amp;F321&amp;"（"&amp;G321&amp;"）"</f>
        <v>S値+3／標準形（標準期）</v>
      </c>
      <c r="J321" s="14" t="n">
        <f aca="false">IF(IF(前提条件!$G$6&lt;=前提条件!$H$6,AND($D321&gt;=前提条件!$G$6,$D321&lt;=前提条件!$H$6),OR($D321&gt;=前提条件!$G$6,$D321&lt;=前提条件!$H$6)),1,0)</f>
        <v>0</v>
      </c>
      <c r="K321" s="14" t="n">
        <f aca="false">IF(IF(前提条件!$G$7&lt;=前提条件!$H$7,AND($D321&gt;=前提条件!$G$7,$D321&lt;=前提条件!$H$7),OR($D321&gt;=前提条件!$G$7,$D321&lt;=前提条件!$H$7)),1,0)</f>
        <v>0</v>
      </c>
      <c r="L321" s="14" t="n">
        <f aca="false">IF(IF(前提条件!$H$12&lt;=前提条件!$I$12,AND($D321&gt;=前提条件!$H$12,$D321&lt;=前提条件!$I$12),OR($D321&gt;=前提条件!$H$12,$D321&lt;=前提条件!$I$12)),1,0)</f>
        <v>0</v>
      </c>
      <c r="M321" s="14" t="n">
        <f aca="false">IF(IF(前提条件!$H$13&lt;=前提条件!$I$13,AND($D321&gt;=前提条件!$H$13,$D321&lt;=前提条件!$I$13),OR($D321&gt;=前提条件!$H$13,$D321&lt;=前提条件!$I$13)),1,0)</f>
        <v>0</v>
      </c>
      <c r="N321" s="14" t="n">
        <f aca="false">IF(IF(前提条件!$H$14&lt;=前提条件!$I$14,AND($D321&gt;=前提条件!$H$14,$D321&lt;=前提条件!$I$14),OR($D321&gt;=前提条件!$H$14,$D321&lt;=前提条件!$I$14)),1,0)</f>
        <v>1</v>
      </c>
      <c r="O321" s="14" t="n">
        <f aca="false">IF(IF(前提条件!$H$15&lt;=前提条件!$I$15,AND($D321&gt;=前提条件!$H$15,$D321&lt;=前提条件!$I$15),OR($D321&gt;=前提条件!$H$15,$D321&lt;=前提条件!$I$15)),1,0)</f>
        <v>0</v>
      </c>
    </row>
    <row r="322" customFormat="false" ht="15" hidden="false" customHeight="false" outlineLevel="0" collapsed="false">
      <c r="A322" s="48" t="n">
        <v>11</v>
      </c>
      <c r="B322" s="48" t="n">
        <v>15</v>
      </c>
      <c r="C322" s="48" t="str">
        <f aca="false">A322&amp;"/"&amp;B322</f>
        <v>11/15</v>
      </c>
      <c r="D322" s="48" t="n">
        <f aca="false">A322*100+B322</f>
        <v>1115</v>
      </c>
      <c r="E322" s="45" t="n">
        <f aca="false">IF(SUM(J322:K322)&gt;0,前提条件!$B$6,前提条件!$B$8)</f>
        <v>3</v>
      </c>
      <c r="F322" s="48" t="str">
        <f aca="false">IFERROR(INDEX(前提条件!$B$12:$B$15,MATCH(1,L322:O322,0)),"未設定")</f>
        <v>標準形</v>
      </c>
      <c r="G322" s="48" t="str">
        <f aca="false">IFERROR(INDEX(前提条件!$C$12:$C$15,MATCH(1,L322:O322,0)),"未設定")</f>
        <v>標準期</v>
      </c>
      <c r="H322" s="44" t="str">
        <f aca="false">"S値+"&amp;E322&amp;"／"&amp;F322&amp;"（"&amp;G322&amp;"）"</f>
        <v>S値+3／標準形（標準期）</v>
      </c>
      <c r="J322" s="14" t="n">
        <f aca="false">IF(IF(前提条件!$G$6&lt;=前提条件!$H$6,AND($D322&gt;=前提条件!$G$6,$D322&lt;=前提条件!$H$6),OR($D322&gt;=前提条件!$G$6,$D322&lt;=前提条件!$H$6)),1,0)</f>
        <v>0</v>
      </c>
      <c r="K322" s="14" t="n">
        <f aca="false">IF(IF(前提条件!$G$7&lt;=前提条件!$H$7,AND($D322&gt;=前提条件!$G$7,$D322&lt;=前提条件!$H$7),OR($D322&gt;=前提条件!$G$7,$D322&lt;=前提条件!$H$7)),1,0)</f>
        <v>0</v>
      </c>
      <c r="L322" s="14" t="n">
        <f aca="false">IF(IF(前提条件!$H$12&lt;=前提条件!$I$12,AND($D322&gt;=前提条件!$H$12,$D322&lt;=前提条件!$I$12),OR($D322&gt;=前提条件!$H$12,$D322&lt;=前提条件!$I$12)),1,0)</f>
        <v>0</v>
      </c>
      <c r="M322" s="14" t="n">
        <f aca="false">IF(IF(前提条件!$H$13&lt;=前提条件!$I$13,AND($D322&gt;=前提条件!$H$13,$D322&lt;=前提条件!$I$13),OR($D322&gt;=前提条件!$H$13,$D322&lt;=前提条件!$I$13)),1,0)</f>
        <v>0</v>
      </c>
      <c r="N322" s="14" t="n">
        <f aca="false">IF(IF(前提条件!$H$14&lt;=前提条件!$I$14,AND($D322&gt;=前提条件!$H$14,$D322&lt;=前提条件!$I$14),OR($D322&gt;=前提条件!$H$14,$D322&lt;=前提条件!$I$14)),1,0)</f>
        <v>1</v>
      </c>
      <c r="O322" s="14" t="n">
        <f aca="false">IF(IF(前提条件!$H$15&lt;=前提条件!$I$15,AND($D322&gt;=前提条件!$H$15,$D322&lt;=前提条件!$I$15),OR($D322&gt;=前提条件!$H$15,$D322&lt;=前提条件!$I$15)),1,0)</f>
        <v>0</v>
      </c>
    </row>
    <row r="323" customFormat="false" ht="15" hidden="false" customHeight="false" outlineLevel="0" collapsed="false">
      <c r="A323" s="48" t="n">
        <v>11</v>
      </c>
      <c r="B323" s="48" t="n">
        <v>16</v>
      </c>
      <c r="C323" s="48" t="str">
        <f aca="false">A323&amp;"/"&amp;B323</f>
        <v>11/16</v>
      </c>
      <c r="D323" s="48" t="n">
        <f aca="false">A323*100+B323</f>
        <v>1116</v>
      </c>
      <c r="E323" s="45" t="n">
        <f aca="false">IF(SUM(J323:K323)&gt;0,前提条件!$B$6,前提条件!$B$8)</f>
        <v>3</v>
      </c>
      <c r="F323" s="48" t="str">
        <f aca="false">IFERROR(INDEX(前提条件!$B$12:$B$15,MATCH(1,L323:O323,0)),"未設定")</f>
        <v>標準形</v>
      </c>
      <c r="G323" s="48" t="str">
        <f aca="false">IFERROR(INDEX(前提条件!$C$12:$C$15,MATCH(1,L323:O323,0)),"未設定")</f>
        <v>標準期</v>
      </c>
      <c r="H323" s="44" t="str">
        <f aca="false">"S値+"&amp;E323&amp;"／"&amp;F323&amp;"（"&amp;G323&amp;"）"</f>
        <v>S値+3／標準形（標準期）</v>
      </c>
      <c r="J323" s="14" t="n">
        <f aca="false">IF(IF(前提条件!$G$6&lt;=前提条件!$H$6,AND($D323&gt;=前提条件!$G$6,$D323&lt;=前提条件!$H$6),OR($D323&gt;=前提条件!$G$6,$D323&lt;=前提条件!$H$6)),1,0)</f>
        <v>0</v>
      </c>
      <c r="K323" s="14" t="n">
        <f aca="false">IF(IF(前提条件!$G$7&lt;=前提条件!$H$7,AND($D323&gt;=前提条件!$G$7,$D323&lt;=前提条件!$H$7),OR($D323&gt;=前提条件!$G$7,$D323&lt;=前提条件!$H$7)),1,0)</f>
        <v>0</v>
      </c>
      <c r="L323" s="14" t="n">
        <f aca="false">IF(IF(前提条件!$H$12&lt;=前提条件!$I$12,AND($D323&gt;=前提条件!$H$12,$D323&lt;=前提条件!$I$12),OR($D323&gt;=前提条件!$H$12,$D323&lt;=前提条件!$I$12)),1,0)</f>
        <v>0</v>
      </c>
      <c r="M323" s="14" t="n">
        <f aca="false">IF(IF(前提条件!$H$13&lt;=前提条件!$I$13,AND($D323&gt;=前提条件!$H$13,$D323&lt;=前提条件!$I$13),OR($D323&gt;=前提条件!$H$13,$D323&lt;=前提条件!$I$13)),1,0)</f>
        <v>0</v>
      </c>
      <c r="N323" s="14" t="n">
        <f aca="false">IF(IF(前提条件!$H$14&lt;=前提条件!$I$14,AND($D323&gt;=前提条件!$H$14,$D323&lt;=前提条件!$I$14),OR($D323&gt;=前提条件!$H$14,$D323&lt;=前提条件!$I$14)),1,0)</f>
        <v>1</v>
      </c>
      <c r="O323" s="14" t="n">
        <f aca="false">IF(IF(前提条件!$H$15&lt;=前提条件!$I$15,AND($D323&gt;=前提条件!$H$15,$D323&lt;=前提条件!$I$15),OR($D323&gt;=前提条件!$H$15,$D323&lt;=前提条件!$I$15)),1,0)</f>
        <v>0</v>
      </c>
    </row>
    <row r="324" customFormat="false" ht="15" hidden="false" customHeight="false" outlineLevel="0" collapsed="false">
      <c r="A324" s="48" t="n">
        <v>11</v>
      </c>
      <c r="B324" s="48" t="n">
        <v>17</v>
      </c>
      <c r="C324" s="48" t="str">
        <f aca="false">A324&amp;"/"&amp;B324</f>
        <v>11/17</v>
      </c>
      <c r="D324" s="48" t="n">
        <f aca="false">A324*100+B324</f>
        <v>1117</v>
      </c>
      <c r="E324" s="45" t="n">
        <f aca="false">IF(SUM(J324:K324)&gt;0,前提条件!$B$6,前提条件!$B$8)</f>
        <v>3</v>
      </c>
      <c r="F324" s="48" t="str">
        <f aca="false">IFERROR(INDEX(前提条件!$B$12:$B$15,MATCH(1,L324:O324,0)),"未設定")</f>
        <v>標準形</v>
      </c>
      <c r="G324" s="48" t="str">
        <f aca="false">IFERROR(INDEX(前提条件!$C$12:$C$15,MATCH(1,L324:O324,0)),"未設定")</f>
        <v>標準期</v>
      </c>
      <c r="H324" s="44" t="str">
        <f aca="false">"S値+"&amp;E324&amp;"／"&amp;F324&amp;"（"&amp;G324&amp;"）"</f>
        <v>S値+3／標準形（標準期）</v>
      </c>
      <c r="J324" s="14" t="n">
        <f aca="false">IF(IF(前提条件!$G$6&lt;=前提条件!$H$6,AND($D324&gt;=前提条件!$G$6,$D324&lt;=前提条件!$H$6),OR($D324&gt;=前提条件!$G$6,$D324&lt;=前提条件!$H$6)),1,0)</f>
        <v>0</v>
      </c>
      <c r="K324" s="14" t="n">
        <f aca="false">IF(IF(前提条件!$G$7&lt;=前提条件!$H$7,AND($D324&gt;=前提条件!$G$7,$D324&lt;=前提条件!$H$7),OR($D324&gt;=前提条件!$G$7,$D324&lt;=前提条件!$H$7)),1,0)</f>
        <v>0</v>
      </c>
      <c r="L324" s="14" t="n">
        <f aca="false">IF(IF(前提条件!$H$12&lt;=前提条件!$I$12,AND($D324&gt;=前提条件!$H$12,$D324&lt;=前提条件!$I$12),OR($D324&gt;=前提条件!$H$12,$D324&lt;=前提条件!$I$12)),1,0)</f>
        <v>0</v>
      </c>
      <c r="M324" s="14" t="n">
        <f aca="false">IF(IF(前提条件!$H$13&lt;=前提条件!$I$13,AND($D324&gt;=前提条件!$H$13,$D324&lt;=前提条件!$I$13),OR($D324&gt;=前提条件!$H$13,$D324&lt;=前提条件!$I$13)),1,0)</f>
        <v>0</v>
      </c>
      <c r="N324" s="14" t="n">
        <f aca="false">IF(IF(前提条件!$H$14&lt;=前提条件!$I$14,AND($D324&gt;=前提条件!$H$14,$D324&lt;=前提条件!$I$14),OR($D324&gt;=前提条件!$H$14,$D324&lt;=前提条件!$I$14)),1,0)</f>
        <v>1</v>
      </c>
      <c r="O324" s="14" t="n">
        <f aca="false">IF(IF(前提条件!$H$15&lt;=前提条件!$I$15,AND($D324&gt;=前提条件!$H$15,$D324&lt;=前提条件!$I$15),OR($D324&gt;=前提条件!$H$15,$D324&lt;=前提条件!$I$15)),1,0)</f>
        <v>0</v>
      </c>
    </row>
    <row r="325" customFormat="false" ht="15" hidden="false" customHeight="false" outlineLevel="0" collapsed="false">
      <c r="A325" s="48" t="n">
        <v>11</v>
      </c>
      <c r="B325" s="48" t="n">
        <v>18</v>
      </c>
      <c r="C325" s="48" t="str">
        <f aca="false">A325&amp;"/"&amp;B325</f>
        <v>11/18</v>
      </c>
      <c r="D325" s="48" t="n">
        <f aca="false">A325*100+B325</f>
        <v>1118</v>
      </c>
      <c r="E325" s="45" t="n">
        <f aca="false">IF(SUM(J325:K325)&gt;0,前提条件!$B$6,前提条件!$B$8)</f>
        <v>3</v>
      </c>
      <c r="F325" s="48" t="str">
        <f aca="false">IFERROR(INDEX(前提条件!$B$12:$B$15,MATCH(1,L325:O325,0)),"未設定")</f>
        <v>標準形</v>
      </c>
      <c r="G325" s="48" t="str">
        <f aca="false">IFERROR(INDEX(前提条件!$C$12:$C$15,MATCH(1,L325:O325,0)),"未設定")</f>
        <v>標準期</v>
      </c>
      <c r="H325" s="44" t="str">
        <f aca="false">"S値+"&amp;E325&amp;"／"&amp;F325&amp;"（"&amp;G325&amp;"）"</f>
        <v>S値+3／標準形（標準期）</v>
      </c>
      <c r="J325" s="14" t="n">
        <f aca="false">IF(IF(前提条件!$G$6&lt;=前提条件!$H$6,AND($D325&gt;=前提条件!$G$6,$D325&lt;=前提条件!$H$6),OR($D325&gt;=前提条件!$G$6,$D325&lt;=前提条件!$H$6)),1,0)</f>
        <v>0</v>
      </c>
      <c r="K325" s="14" t="n">
        <f aca="false">IF(IF(前提条件!$G$7&lt;=前提条件!$H$7,AND($D325&gt;=前提条件!$G$7,$D325&lt;=前提条件!$H$7),OR($D325&gt;=前提条件!$G$7,$D325&lt;=前提条件!$H$7)),1,0)</f>
        <v>0</v>
      </c>
      <c r="L325" s="14" t="n">
        <f aca="false">IF(IF(前提条件!$H$12&lt;=前提条件!$I$12,AND($D325&gt;=前提条件!$H$12,$D325&lt;=前提条件!$I$12),OR($D325&gt;=前提条件!$H$12,$D325&lt;=前提条件!$I$12)),1,0)</f>
        <v>0</v>
      </c>
      <c r="M325" s="14" t="n">
        <f aca="false">IF(IF(前提条件!$H$13&lt;=前提条件!$I$13,AND($D325&gt;=前提条件!$H$13,$D325&lt;=前提条件!$I$13),OR($D325&gt;=前提条件!$H$13,$D325&lt;=前提条件!$I$13)),1,0)</f>
        <v>0</v>
      </c>
      <c r="N325" s="14" t="n">
        <f aca="false">IF(IF(前提条件!$H$14&lt;=前提条件!$I$14,AND($D325&gt;=前提条件!$H$14,$D325&lt;=前提条件!$I$14),OR($D325&gt;=前提条件!$H$14,$D325&lt;=前提条件!$I$14)),1,0)</f>
        <v>1</v>
      </c>
      <c r="O325" s="14" t="n">
        <f aca="false">IF(IF(前提条件!$H$15&lt;=前提条件!$I$15,AND($D325&gt;=前提条件!$H$15,$D325&lt;=前提条件!$I$15),OR($D325&gt;=前提条件!$H$15,$D325&lt;=前提条件!$I$15)),1,0)</f>
        <v>0</v>
      </c>
    </row>
    <row r="326" customFormat="false" ht="15" hidden="false" customHeight="false" outlineLevel="0" collapsed="false">
      <c r="A326" s="48" t="n">
        <v>11</v>
      </c>
      <c r="B326" s="48" t="n">
        <v>19</v>
      </c>
      <c r="C326" s="48" t="str">
        <f aca="false">A326&amp;"/"&amp;B326</f>
        <v>11/19</v>
      </c>
      <c r="D326" s="48" t="n">
        <f aca="false">A326*100+B326</f>
        <v>1119</v>
      </c>
      <c r="E326" s="45" t="n">
        <f aca="false">IF(SUM(J326:K326)&gt;0,前提条件!$B$6,前提条件!$B$8)</f>
        <v>3</v>
      </c>
      <c r="F326" s="48" t="str">
        <f aca="false">IFERROR(INDEX(前提条件!$B$12:$B$15,MATCH(1,L326:O326,0)),"未設定")</f>
        <v>標準形</v>
      </c>
      <c r="G326" s="48" t="str">
        <f aca="false">IFERROR(INDEX(前提条件!$C$12:$C$15,MATCH(1,L326:O326,0)),"未設定")</f>
        <v>標準期</v>
      </c>
      <c r="H326" s="44" t="str">
        <f aca="false">"S値+"&amp;E326&amp;"／"&amp;F326&amp;"（"&amp;G326&amp;"）"</f>
        <v>S値+3／標準形（標準期）</v>
      </c>
      <c r="J326" s="14" t="n">
        <f aca="false">IF(IF(前提条件!$G$6&lt;=前提条件!$H$6,AND($D326&gt;=前提条件!$G$6,$D326&lt;=前提条件!$H$6),OR($D326&gt;=前提条件!$G$6,$D326&lt;=前提条件!$H$6)),1,0)</f>
        <v>0</v>
      </c>
      <c r="K326" s="14" t="n">
        <f aca="false">IF(IF(前提条件!$G$7&lt;=前提条件!$H$7,AND($D326&gt;=前提条件!$G$7,$D326&lt;=前提条件!$H$7),OR($D326&gt;=前提条件!$G$7,$D326&lt;=前提条件!$H$7)),1,0)</f>
        <v>0</v>
      </c>
      <c r="L326" s="14" t="n">
        <f aca="false">IF(IF(前提条件!$H$12&lt;=前提条件!$I$12,AND($D326&gt;=前提条件!$H$12,$D326&lt;=前提条件!$I$12),OR($D326&gt;=前提条件!$H$12,$D326&lt;=前提条件!$I$12)),1,0)</f>
        <v>0</v>
      </c>
      <c r="M326" s="14" t="n">
        <f aca="false">IF(IF(前提条件!$H$13&lt;=前提条件!$I$13,AND($D326&gt;=前提条件!$H$13,$D326&lt;=前提条件!$I$13),OR($D326&gt;=前提条件!$H$13,$D326&lt;=前提条件!$I$13)),1,0)</f>
        <v>0</v>
      </c>
      <c r="N326" s="14" t="n">
        <f aca="false">IF(IF(前提条件!$H$14&lt;=前提条件!$I$14,AND($D326&gt;=前提条件!$H$14,$D326&lt;=前提条件!$I$14),OR($D326&gt;=前提条件!$H$14,$D326&lt;=前提条件!$I$14)),1,0)</f>
        <v>1</v>
      </c>
      <c r="O326" s="14" t="n">
        <f aca="false">IF(IF(前提条件!$H$15&lt;=前提条件!$I$15,AND($D326&gt;=前提条件!$H$15,$D326&lt;=前提条件!$I$15),OR($D326&gt;=前提条件!$H$15,$D326&lt;=前提条件!$I$15)),1,0)</f>
        <v>0</v>
      </c>
    </row>
    <row r="327" customFormat="false" ht="15" hidden="false" customHeight="false" outlineLevel="0" collapsed="false">
      <c r="A327" s="48" t="n">
        <v>11</v>
      </c>
      <c r="B327" s="48" t="n">
        <v>20</v>
      </c>
      <c r="C327" s="48" t="str">
        <f aca="false">A327&amp;"/"&amp;B327</f>
        <v>11/20</v>
      </c>
      <c r="D327" s="48" t="n">
        <f aca="false">A327*100+B327</f>
        <v>1120</v>
      </c>
      <c r="E327" s="45" t="n">
        <f aca="false">IF(SUM(J327:K327)&gt;0,前提条件!$B$6,前提条件!$B$8)</f>
        <v>3</v>
      </c>
      <c r="F327" s="48" t="str">
        <f aca="false">IFERROR(INDEX(前提条件!$B$12:$B$15,MATCH(1,L327:O327,0)),"未設定")</f>
        <v>標準形</v>
      </c>
      <c r="G327" s="48" t="str">
        <f aca="false">IFERROR(INDEX(前提条件!$C$12:$C$15,MATCH(1,L327:O327,0)),"未設定")</f>
        <v>標準期</v>
      </c>
      <c r="H327" s="44" t="str">
        <f aca="false">"S値+"&amp;E327&amp;"／"&amp;F327&amp;"（"&amp;G327&amp;"）"</f>
        <v>S値+3／標準形（標準期）</v>
      </c>
      <c r="J327" s="14" t="n">
        <f aca="false">IF(IF(前提条件!$G$6&lt;=前提条件!$H$6,AND($D327&gt;=前提条件!$G$6,$D327&lt;=前提条件!$H$6),OR($D327&gt;=前提条件!$G$6,$D327&lt;=前提条件!$H$6)),1,0)</f>
        <v>0</v>
      </c>
      <c r="K327" s="14" t="n">
        <f aca="false">IF(IF(前提条件!$G$7&lt;=前提条件!$H$7,AND($D327&gt;=前提条件!$G$7,$D327&lt;=前提条件!$H$7),OR($D327&gt;=前提条件!$G$7,$D327&lt;=前提条件!$H$7)),1,0)</f>
        <v>0</v>
      </c>
      <c r="L327" s="14" t="n">
        <f aca="false">IF(IF(前提条件!$H$12&lt;=前提条件!$I$12,AND($D327&gt;=前提条件!$H$12,$D327&lt;=前提条件!$I$12),OR($D327&gt;=前提条件!$H$12,$D327&lt;=前提条件!$I$12)),1,0)</f>
        <v>0</v>
      </c>
      <c r="M327" s="14" t="n">
        <f aca="false">IF(IF(前提条件!$H$13&lt;=前提条件!$I$13,AND($D327&gt;=前提条件!$H$13,$D327&lt;=前提条件!$I$13),OR($D327&gt;=前提条件!$H$13,$D327&lt;=前提条件!$I$13)),1,0)</f>
        <v>0</v>
      </c>
      <c r="N327" s="14" t="n">
        <f aca="false">IF(IF(前提条件!$H$14&lt;=前提条件!$I$14,AND($D327&gt;=前提条件!$H$14,$D327&lt;=前提条件!$I$14),OR($D327&gt;=前提条件!$H$14,$D327&lt;=前提条件!$I$14)),1,0)</f>
        <v>1</v>
      </c>
      <c r="O327" s="14" t="n">
        <f aca="false">IF(IF(前提条件!$H$15&lt;=前提条件!$I$15,AND($D327&gt;=前提条件!$H$15,$D327&lt;=前提条件!$I$15),OR($D327&gt;=前提条件!$H$15,$D327&lt;=前提条件!$I$15)),1,0)</f>
        <v>0</v>
      </c>
    </row>
    <row r="328" customFormat="false" ht="15" hidden="false" customHeight="false" outlineLevel="0" collapsed="false">
      <c r="A328" s="48" t="n">
        <v>11</v>
      </c>
      <c r="B328" s="48" t="n">
        <v>21</v>
      </c>
      <c r="C328" s="48" t="str">
        <f aca="false">A328&amp;"/"&amp;B328</f>
        <v>11/21</v>
      </c>
      <c r="D328" s="48" t="n">
        <f aca="false">A328*100+B328</f>
        <v>1121</v>
      </c>
      <c r="E328" s="45" t="n">
        <f aca="false">IF(SUM(J328:K328)&gt;0,前提条件!$B$6,前提条件!$B$8)</f>
        <v>3</v>
      </c>
      <c r="F328" s="48" t="str">
        <f aca="false">IFERROR(INDEX(前提条件!$B$12:$B$15,MATCH(1,L328:O328,0)),"未設定")</f>
        <v>標準形</v>
      </c>
      <c r="G328" s="48" t="str">
        <f aca="false">IFERROR(INDEX(前提条件!$C$12:$C$15,MATCH(1,L328:O328,0)),"未設定")</f>
        <v>標準期</v>
      </c>
      <c r="H328" s="44" t="str">
        <f aca="false">"S値+"&amp;E328&amp;"／"&amp;F328&amp;"（"&amp;G328&amp;"）"</f>
        <v>S値+3／標準形（標準期）</v>
      </c>
      <c r="J328" s="14" t="n">
        <f aca="false">IF(IF(前提条件!$G$6&lt;=前提条件!$H$6,AND($D328&gt;=前提条件!$G$6,$D328&lt;=前提条件!$H$6),OR($D328&gt;=前提条件!$G$6,$D328&lt;=前提条件!$H$6)),1,0)</f>
        <v>0</v>
      </c>
      <c r="K328" s="14" t="n">
        <f aca="false">IF(IF(前提条件!$G$7&lt;=前提条件!$H$7,AND($D328&gt;=前提条件!$G$7,$D328&lt;=前提条件!$H$7),OR($D328&gt;=前提条件!$G$7,$D328&lt;=前提条件!$H$7)),1,0)</f>
        <v>0</v>
      </c>
      <c r="L328" s="14" t="n">
        <f aca="false">IF(IF(前提条件!$H$12&lt;=前提条件!$I$12,AND($D328&gt;=前提条件!$H$12,$D328&lt;=前提条件!$I$12),OR($D328&gt;=前提条件!$H$12,$D328&lt;=前提条件!$I$12)),1,0)</f>
        <v>0</v>
      </c>
      <c r="M328" s="14" t="n">
        <f aca="false">IF(IF(前提条件!$H$13&lt;=前提条件!$I$13,AND($D328&gt;=前提条件!$H$13,$D328&lt;=前提条件!$I$13),OR($D328&gt;=前提条件!$H$13,$D328&lt;=前提条件!$I$13)),1,0)</f>
        <v>0</v>
      </c>
      <c r="N328" s="14" t="n">
        <f aca="false">IF(IF(前提条件!$H$14&lt;=前提条件!$I$14,AND($D328&gt;=前提条件!$H$14,$D328&lt;=前提条件!$I$14),OR($D328&gt;=前提条件!$H$14,$D328&lt;=前提条件!$I$14)),1,0)</f>
        <v>1</v>
      </c>
      <c r="O328" s="14" t="n">
        <f aca="false">IF(IF(前提条件!$H$15&lt;=前提条件!$I$15,AND($D328&gt;=前提条件!$H$15,$D328&lt;=前提条件!$I$15),OR($D328&gt;=前提条件!$H$15,$D328&lt;=前提条件!$I$15)),1,0)</f>
        <v>0</v>
      </c>
    </row>
    <row r="329" customFormat="false" ht="15" hidden="false" customHeight="false" outlineLevel="0" collapsed="false">
      <c r="A329" s="48" t="n">
        <v>11</v>
      </c>
      <c r="B329" s="48" t="n">
        <v>22</v>
      </c>
      <c r="C329" s="48" t="str">
        <f aca="false">A329&amp;"/"&amp;B329</f>
        <v>11/22</v>
      </c>
      <c r="D329" s="48" t="n">
        <f aca="false">A329*100+B329</f>
        <v>1122</v>
      </c>
      <c r="E329" s="45" t="n">
        <f aca="false">IF(SUM(J329:K329)&gt;0,前提条件!$B$6,前提条件!$B$8)</f>
        <v>3</v>
      </c>
      <c r="F329" s="48" t="str">
        <f aca="false">IFERROR(INDEX(前提条件!$B$12:$B$15,MATCH(1,L329:O329,0)),"未設定")</f>
        <v>標準形</v>
      </c>
      <c r="G329" s="48" t="str">
        <f aca="false">IFERROR(INDEX(前提条件!$C$12:$C$15,MATCH(1,L329:O329,0)),"未設定")</f>
        <v>標準期</v>
      </c>
      <c r="H329" s="44" t="str">
        <f aca="false">"S値+"&amp;E329&amp;"／"&amp;F329&amp;"（"&amp;G329&amp;"）"</f>
        <v>S値+3／標準形（標準期）</v>
      </c>
      <c r="J329" s="14" t="n">
        <f aca="false">IF(IF(前提条件!$G$6&lt;=前提条件!$H$6,AND($D329&gt;=前提条件!$G$6,$D329&lt;=前提条件!$H$6),OR($D329&gt;=前提条件!$G$6,$D329&lt;=前提条件!$H$6)),1,0)</f>
        <v>0</v>
      </c>
      <c r="K329" s="14" t="n">
        <f aca="false">IF(IF(前提条件!$G$7&lt;=前提条件!$H$7,AND($D329&gt;=前提条件!$G$7,$D329&lt;=前提条件!$H$7),OR($D329&gt;=前提条件!$G$7,$D329&lt;=前提条件!$H$7)),1,0)</f>
        <v>0</v>
      </c>
      <c r="L329" s="14" t="n">
        <f aca="false">IF(IF(前提条件!$H$12&lt;=前提条件!$I$12,AND($D329&gt;=前提条件!$H$12,$D329&lt;=前提条件!$I$12),OR($D329&gt;=前提条件!$H$12,$D329&lt;=前提条件!$I$12)),1,0)</f>
        <v>0</v>
      </c>
      <c r="M329" s="14" t="n">
        <f aca="false">IF(IF(前提条件!$H$13&lt;=前提条件!$I$13,AND($D329&gt;=前提条件!$H$13,$D329&lt;=前提条件!$I$13),OR($D329&gt;=前提条件!$H$13,$D329&lt;=前提条件!$I$13)),1,0)</f>
        <v>0</v>
      </c>
      <c r="N329" s="14" t="n">
        <f aca="false">IF(IF(前提条件!$H$14&lt;=前提条件!$I$14,AND($D329&gt;=前提条件!$H$14,$D329&lt;=前提条件!$I$14),OR($D329&gt;=前提条件!$H$14,$D329&lt;=前提条件!$I$14)),1,0)</f>
        <v>1</v>
      </c>
      <c r="O329" s="14" t="n">
        <f aca="false">IF(IF(前提条件!$H$15&lt;=前提条件!$I$15,AND($D329&gt;=前提条件!$H$15,$D329&lt;=前提条件!$I$15),OR($D329&gt;=前提条件!$H$15,$D329&lt;=前提条件!$I$15)),1,0)</f>
        <v>0</v>
      </c>
    </row>
    <row r="330" customFormat="false" ht="15" hidden="false" customHeight="false" outlineLevel="0" collapsed="false">
      <c r="A330" s="48" t="n">
        <v>11</v>
      </c>
      <c r="B330" s="48" t="n">
        <v>23</v>
      </c>
      <c r="C330" s="48" t="str">
        <f aca="false">A330&amp;"/"&amp;B330</f>
        <v>11/23</v>
      </c>
      <c r="D330" s="48" t="n">
        <f aca="false">A330*100+B330</f>
        <v>1123</v>
      </c>
      <c r="E330" s="45" t="n">
        <f aca="false">IF(SUM(J330:K330)&gt;0,前提条件!$B$6,前提条件!$B$8)</f>
        <v>3</v>
      </c>
      <c r="F330" s="48" t="str">
        <f aca="false">IFERROR(INDEX(前提条件!$B$12:$B$15,MATCH(1,L330:O330,0)),"未設定")</f>
        <v>標準形</v>
      </c>
      <c r="G330" s="48" t="str">
        <f aca="false">IFERROR(INDEX(前提条件!$C$12:$C$15,MATCH(1,L330:O330,0)),"未設定")</f>
        <v>標準期</v>
      </c>
      <c r="H330" s="44" t="str">
        <f aca="false">"S値+"&amp;E330&amp;"／"&amp;F330&amp;"（"&amp;G330&amp;"）"</f>
        <v>S値+3／標準形（標準期）</v>
      </c>
      <c r="J330" s="14" t="n">
        <f aca="false">IF(IF(前提条件!$G$6&lt;=前提条件!$H$6,AND($D330&gt;=前提条件!$G$6,$D330&lt;=前提条件!$H$6),OR($D330&gt;=前提条件!$G$6,$D330&lt;=前提条件!$H$6)),1,0)</f>
        <v>0</v>
      </c>
      <c r="K330" s="14" t="n">
        <f aca="false">IF(IF(前提条件!$G$7&lt;=前提条件!$H$7,AND($D330&gt;=前提条件!$G$7,$D330&lt;=前提条件!$H$7),OR($D330&gt;=前提条件!$G$7,$D330&lt;=前提条件!$H$7)),1,0)</f>
        <v>0</v>
      </c>
      <c r="L330" s="14" t="n">
        <f aca="false">IF(IF(前提条件!$H$12&lt;=前提条件!$I$12,AND($D330&gt;=前提条件!$H$12,$D330&lt;=前提条件!$I$12),OR($D330&gt;=前提条件!$H$12,$D330&lt;=前提条件!$I$12)),1,0)</f>
        <v>0</v>
      </c>
      <c r="M330" s="14" t="n">
        <f aca="false">IF(IF(前提条件!$H$13&lt;=前提条件!$I$13,AND($D330&gt;=前提条件!$H$13,$D330&lt;=前提条件!$I$13),OR($D330&gt;=前提条件!$H$13,$D330&lt;=前提条件!$I$13)),1,0)</f>
        <v>0</v>
      </c>
      <c r="N330" s="14" t="n">
        <f aca="false">IF(IF(前提条件!$H$14&lt;=前提条件!$I$14,AND($D330&gt;=前提条件!$H$14,$D330&lt;=前提条件!$I$14),OR($D330&gt;=前提条件!$H$14,$D330&lt;=前提条件!$I$14)),1,0)</f>
        <v>1</v>
      </c>
      <c r="O330" s="14" t="n">
        <f aca="false">IF(IF(前提条件!$H$15&lt;=前提条件!$I$15,AND($D330&gt;=前提条件!$H$15,$D330&lt;=前提条件!$I$15),OR($D330&gt;=前提条件!$H$15,$D330&lt;=前提条件!$I$15)),1,0)</f>
        <v>0</v>
      </c>
    </row>
    <row r="331" customFormat="false" ht="15" hidden="false" customHeight="false" outlineLevel="0" collapsed="false">
      <c r="A331" s="48" t="n">
        <v>11</v>
      </c>
      <c r="B331" s="48" t="n">
        <v>24</v>
      </c>
      <c r="C331" s="48" t="str">
        <f aca="false">A331&amp;"/"&amp;B331</f>
        <v>11/24</v>
      </c>
      <c r="D331" s="48" t="n">
        <f aca="false">A331*100+B331</f>
        <v>1124</v>
      </c>
      <c r="E331" s="45" t="n">
        <f aca="false">IF(SUM(J331:K331)&gt;0,前提条件!$B$6,前提条件!$B$8)</f>
        <v>3</v>
      </c>
      <c r="F331" s="48" t="str">
        <f aca="false">IFERROR(INDEX(前提条件!$B$12:$B$15,MATCH(1,L331:O331,0)),"未設定")</f>
        <v>標準形</v>
      </c>
      <c r="G331" s="48" t="str">
        <f aca="false">IFERROR(INDEX(前提条件!$C$12:$C$15,MATCH(1,L331:O331,0)),"未設定")</f>
        <v>標準期</v>
      </c>
      <c r="H331" s="44" t="str">
        <f aca="false">"S値+"&amp;E331&amp;"／"&amp;F331&amp;"（"&amp;G331&amp;"）"</f>
        <v>S値+3／標準形（標準期）</v>
      </c>
      <c r="J331" s="14" t="n">
        <f aca="false">IF(IF(前提条件!$G$6&lt;=前提条件!$H$6,AND($D331&gt;=前提条件!$G$6,$D331&lt;=前提条件!$H$6),OR($D331&gt;=前提条件!$G$6,$D331&lt;=前提条件!$H$6)),1,0)</f>
        <v>0</v>
      </c>
      <c r="K331" s="14" t="n">
        <f aca="false">IF(IF(前提条件!$G$7&lt;=前提条件!$H$7,AND($D331&gt;=前提条件!$G$7,$D331&lt;=前提条件!$H$7),OR($D331&gt;=前提条件!$G$7,$D331&lt;=前提条件!$H$7)),1,0)</f>
        <v>0</v>
      </c>
      <c r="L331" s="14" t="n">
        <f aca="false">IF(IF(前提条件!$H$12&lt;=前提条件!$I$12,AND($D331&gt;=前提条件!$H$12,$D331&lt;=前提条件!$I$12),OR($D331&gt;=前提条件!$H$12,$D331&lt;=前提条件!$I$12)),1,0)</f>
        <v>0</v>
      </c>
      <c r="M331" s="14" t="n">
        <f aca="false">IF(IF(前提条件!$H$13&lt;=前提条件!$I$13,AND($D331&gt;=前提条件!$H$13,$D331&lt;=前提条件!$I$13),OR($D331&gt;=前提条件!$H$13,$D331&lt;=前提条件!$I$13)),1,0)</f>
        <v>0</v>
      </c>
      <c r="N331" s="14" t="n">
        <f aca="false">IF(IF(前提条件!$H$14&lt;=前提条件!$I$14,AND($D331&gt;=前提条件!$H$14,$D331&lt;=前提条件!$I$14),OR($D331&gt;=前提条件!$H$14,$D331&lt;=前提条件!$I$14)),1,0)</f>
        <v>1</v>
      </c>
      <c r="O331" s="14" t="n">
        <f aca="false">IF(IF(前提条件!$H$15&lt;=前提条件!$I$15,AND($D331&gt;=前提条件!$H$15,$D331&lt;=前提条件!$I$15),OR($D331&gt;=前提条件!$H$15,$D331&lt;=前提条件!$I$15)),1,0)</f>
        <v>0</v>
      </c>
    </row>
    <row r="332" customFormat="false" ht="15" hidden="false" customHeight="false" outlineLevel="0" collapsed="false">
      <c r="A332" s="48" t="n">
        <v>11</v>
      </c>
      <c r="B332" s="48" t="n">
        <v>25</v>
      </c>
      <c r="C332" s="48" t="str">
        <f aca="false">A332&amp;"/"&amp;B332</f>
        <v>11/25</v>
      </c>
      <c r="D332" s="48" t="n">
        <f aca="false">A332*100+B332</f>
        <v>1125</v>
      </c>
      <c r="E332" s="45" t="n">
        <f aca="false">IF(SUM(J332:K332)&gt;0,前提条件!$B$6,前提条件!$B$8)</f>
        <v>3</v>
      </c>
      <c r="F332" s="48" t="str">
        <f aca="false">IFERROR(INDEX(前提条件!$B$12:$B$15,MATCH(1,L332:O332,0)),"未設定")</f>
        <v>標準形</v>
      </c>
      <c r="G332" s="48" t="str">
        <f aca="false">IFERROR(INDEX(前提条件!$C$12:$C$15,MATCH(1,L332:O332,0)),"未設定")</f>
        <v>標準期</v>
      </c>
      <c r="H332" s="44" t="str">
        <f aca="false">"S値+"&amp;E332&amp;"／"&amp;F332&amp;"（"&amp;G332&amp;"）"</f>
        <v>S値+3／標準形（標準期）</v>
      </c>
      <c r="J332" s="14" t="n">
        <f aca="false">IF(IF(前提条件!$G$6&lt;=前提条件!$H$6,AND($D332&gt;=前提条件!$G$6,$D332&lt;=前提条件!$H$6),OR($D332&gt;=前提条件!$G$6,$D332&lt;=前提条件!$H$6)),1,0)</f>
        <v>0</v>
      </c>
      <c r="K332" s="14" t="n">
        <f aca="false">IF(IF(前提条件!$G$7&lt;=前提条件!$H$7,AND($D332&gt;=前提条件!$G$7,$D332&lt;=前提条件!$H$7),OR($D332&gt;=前提条件!$G$7,$D332&lt;=前提条件!$H$7)),1,0)</f>
        <v>0</v>
      </c>
      <c r="L332" s="14" t="n">
        <f aca="false">IF(IF(前提条件!$H$12&lt;=前提条件!$I$12,AND($D332&gt;=前提条件!$H$12,$D332&lt;=前提条件!$I$12),OR($D332&gt;=前提条件!$H$12,$D332&lt;=前提条件!$I$12)),1,0)</f>
        <v>0</v>
      </c>
      <c r="M332" s="14" t="n">
        <f aca="false">IF(IF(前提条件!$H$13&lt;=前提条件!$I$13,AND($D332&gt;=前提条件!$H$13,$D332&lt;=前提条件!$I$13),OR($D332&gt;=前提条件!$H$13,$D332&lt;=前提条件!$I$13)),1,0)</f>
        <v>0</v>
      </c>
      <c r="N332" s="14" t="n">
        <f aca="false">IF(IF(前提条件!$H$14&lt;=前提条件!$I$14,AND($D332&gt;=前提条件!$H$14,$D332&lt;=前提条件!$I$14),OR($D332&gt;=前提条件!$H$14,$D332&lt;=前提条件!$I$14)),1,0)</f>
        <v>1</v>
      </c>
      <c r="O332" s="14" t="n">
        <f aca="false">IF(IF(前提条件!$H$15&lt;=前提条件!$I$15,AND($D332&gt;=前提条件!$H$15,$D332&lt;=前提条件!$I$15),OR($D332&gt;=前提条件!$H$15,$D332&lt;=前提条件!$I$15)),1,0)</f>
        <v>0</v>
      </c>
    </row>
    <row r="333" customFormat="false" ht="15" hidden="false" customHeight="false" outlineLevel="0" collapsed="false">
      <c r="A333" s="48" t="n">
        <v>11</v>
      </c>
      <c r="B333" s="48" t="n">
        <v>26</v>
      </c>
      <c r="C333" s="48" t="str">
        <f aca="false">A333&amp;"/"&amp;B333</f>
        <v>11/26</v>
      </c>
      <c r="D333" s="48" t="n">
        <f aca="false">A333*100+B333</f>
        <v>1126</v>
      </c>
      <c r="E333" s="45" t="n">
        <f aca="false">IF(SUM(J333:K333)&gt;0,前提条件!$B$6,前提条件!$B$8)</f>
        <v>3</v>
      </c>
      <c r="F333" s="48" t="str">
        <f aca="false">IFERROR(INDEX(前提条件!$B$12:$B$15,MATCH(1,L333:O333,0)),"未設定")</f>
        <v>標準形</v>
      </c>
      <c r="G333" s="48" t="str">
        <f aca="false">IFERROR(INDEX(前提条件!$C$12:$C$15,MATCH(1,L333:O333,0)),"未設定")</f>
        <v>標準期</v>
      </c>
      <c r="H333" s="44" t="str">
        <f aca="false">"S値+"&amp;E333&amp;"／"&amp;F333&amp;"（"&amp;G333&amp;"）"</f>
        <v>S値+3／標準形（標準期）</v>
      </c>
      <c r="J333" s="14" t="n">
        <f aca="false">IF(IF(前提条件!$G$6&lt;=前提条件!$H$6,AND($D333&gt;=前提条件!$G$6,$D333&lt;=前提条件!$H$6),OR($D333&gt;=前提条件!$G$6,$D333&lt;=前提条件!$H$6)),1,0)</f>
        <v>0</v>
      </c>
      <c r="K333" s="14" t="n">
        <f aca="false">IF(IF(前提条件!$G$7&lt;=前提条件!$H$7,AND($D333&gt;=前提条件!$G$7,$D333&lt;=前提条件!$H$7),OR($D333&gt;=前提条件!$G$7,$D333&lt;=前提条件!$H$7)),1,0)</f>
        <v>0</v>
      </c>
      <c r="L333" s="14" t="n">
        <f aca="false">IF(IF(前提条件!$H$12&lt;=前提条件!$I$12,AND($D333&gt;=前提条件!$H$12,$D333&lt;=前提条件!$I$12),OR($D333&gt;=前提条件!$H$12,$D333&lt;=前提条件!$I$12)),1,0)</f>
        <v>0</v>
      </c>
      <c r="M333" s="14" t="n">
        <f aca="false">IF(IF(前提条件!$H$13&lt;=前提条件!$I$13,AND($D333&gt;=前提条件!$H$13,$D333&lt;=前提条件!$I$13),OR($D333&gt;=前提条件!$H$13,$D333&lt;=前提条件!$I$13)),1,0)</f>
        <v>0</v>
      </c>
      <c r="N333" s="14" t="n">
        <f aca="false">IF(IF(前提条件!$H$14&lt;=前提条件!$I$14,AND($D333&gt;=前提条件!$H$14,$D333&lt;=前提条件!$I$14),OR($D333&gt;=前提条件!$H$14,$D333&lt;=前提条件!$I$14)),1,0)</f>
        <v>1</v>
      </c>
      <c r="O333" s="14" t="n">
        <f aca="false">IF(IF(前提条件!$H$15&lt;=前提条件!$I$15,AND($D333&gt;=前提条件!$H$15,$D333&lt;=前提条件!$I$15),OR($D333&gt;=前提条件!$H$15,$D333&lt;=前提条件!$I$15)),1,0)</f>
        <v>0</v>
      </c>
    </row>
    <row r="334" customFormat="false" ht="15" hidden="false" customHeight="false" outlineLevel="0" collapsed="false">
      <c r="A334" s="48" t="n">
        <v>11</v>
      </c>
      <c r="B334" s="48" t="n">
        <v>27</v>
      </c>
      <c r="C334" s="48" t="str">
        <f aca="false">A334&amp;"/"&amp;B334</f>
        <v>11/27</v>
      </c>
      <c r="D334" s="48" t="n">
        <f aca="false">A334*100+B334</f>
        <v>1127</v>
      </c>
      <c r="E334" s="45" t="n">
        <f aca="false">IF(SUM(J334:K334)&gt;0,前提条件!$B$6,前提条件!$B$8)</f>
        <v>6</v>
      </c>
      <c r="F334" s="48" t="str">
        <f aca="false">IFERROR(INDEX(前提条件!$B$12:$B$15,MATCH(1,L334:O334,0)),"未設定")</f>
        <v>標準形</v>
      </c>
      <c r="G334" s="48" t="str">
        <f aca="false">IFERROR(INDEX(前提条件!$C$12:$C$15,MATCH(1,L334:O334,0)),"未設定")</f>
        <v>標準期</v>
      </c>
      <c r="H334" s="44" t="str">
        <f aca="false">"S値+"&amp;E334&amp;"／"&amp;F334&amp;"（"&amp;G334&amp;"）"</f>
        <v>S値+6／標準形（標準期）</v>
      </c>
      <c r="J334" s="14" t="n">
        <f aca="false">IF(IF(前提条件!$G$6&lt;=前提条件!$H$6,AND($D334&gt;=前提条件!$G$6,$D334&lt;=前提条件!$H$6),OR($D334&gt;=前提条件!$G$6,$D334&lt;=前提条件!$H$6)),1,0)</f>
        <v>0</v>
      </c>
      <c r="K334" s="14" t="n">
        <f aca="false">IF(IF(前提条件!$G$7&lt;=前提条件!$H$7,AND($D334&gt;=前提条件!$G$7,$D334&lt;=前提条件!$H$7),OR($D334&gt;=前提条件!$G$7,$D334&lt;=前提条件!$H$7)),1,0)</f>
        <v>1</v>
      </c>
      <c r="L334" s="14" t="n">
        <f aca="false">IF(IF(前提条件!$H$12&lt;=前提条件!$I$12,AND($D334&gt;=前提条件!$H$12,$D334&lt;=前提条件!$I$12),OR($D334&gt;=前提条件!$H$12,$D334&lt;=前提条件!$I$12)),1,0)</f>
        <v>0</v>
      </c>
      <c r="M334" s="14" t="n">
        <f aca="false">IF(IF(前提条件!$H$13&lt;=前提条件!$I$13,AND($D334&gt;=前提条件!$H$13,$D334&lt;=前提条件!$I$13),OR($D334&gt;=前提条件!$H$13,$D334&lt;=前提条件!$I$13)),1,0)</f>
        <v>0</v>
      </c>
      <c r="N334" s="14" t="n">
        <f aca="false">IF(IF(前提条件!$H$14&lt;=前提条件!$I$14,AND($D334&gt;=前提条件!$H$14,$D334&lt;=前提条件!$I$14),OR($D334&gt;=前提条件!$H$14,$D334&lt;=前提条件!$I$14)),1,0)</f>
        <v>1</v>
      </c>
      <c r="O334" s="14" t="n">
        <f aca="false">IF(IF(前提条件!$H$15&lt;=前提条件!$I$15,AND($D334&gt;=前提条件!$H$15,$D334&lt;=前提条件!$I$15),OR($D334&gt;=前提条件!$H$15,$D334&lt;=前提条件!$I$15)),1,0)</f>
        <v>0</v>
      </c>
    </row>
    <row r="335" customFormat="false" ht="15" hidden="false" customHeight="false" outlineLevel="0" collapsed="false">
      <c r="A335" s="48" t="n">
        <v>11</v>
      </c>
      <c r="B335" s="48" t="n">
        <v>28</v>
      </c>
      <c r="C335" s="48" t="str">
        <f aca="false">A335&amp;"/"&amp;B335</f>
        <v>11/28</v>
      </c>
      <c r="D335" s="48" t="n">
        <f aca="false">A335*100+B335</f>
        <v>1128</v>
      </c>
      <c r="E335" s="45" t="n">
        <f aca="false">IF(SUM(J335:K335)&gt;0,前提条件!$B$6,前提条件!$B$8)</f>
        <v>6</v>
      </c>
      <c r="F335" s="48" t="str">
        <f aca="false">IFERROR(INDEX(前提条件!$B$12:$B$15,MATCH(1,L335:O335,0)),"未設定")</f>
        <v>標準形</v>
      </c>
      <c r="G335" s="48" t="str">
        <f aca="false">IFERROR(INDEX(前提条件!$C$12:$C$15,MATCH(1,L335:O335,0)),"未設定")</f>
        <v>標準期</v>
      </c>
      <c r="H335" s="44" t="str">
        <f aca="false">"S値+"&amp;E335&amp;"／"&amp;F335&amp;"（"&amp;G335&amp;"）"</f>
        <v>S値+6／標準形（標準期）</v>
      </c>
      <c r="J335" s="14" t="n">
        <f aca="false">IF(IF(前提条件!$G$6&lt;=前提条件!$H$6,AND($D335&gt;=前提条件!$G$6,$D335&lt;=前提条件!$H$6),OR($D335&gt;=前提条件!$G$6,$D335&lt;=前提条件!$H$6)),1,0)</f>
        <v>0</v>
      </c>
      <c r="K335" s="14" t="n">
        <f aca="false">IF(IF(前提条件!$G$7&lt;=前提条件!$H$7,AND($D335&gt;=前提条件!$G$7,$D335&lt;=前提条件!$H$7),OR($D335&gt;=前提条件!$G$7,$D335&lt;=前提条件!$H$7)),1,0)</f>
        <v>1</v>
      </c>
      <c r="L335" s="14" t="n">
        <f aca="false">IF(IF(前提条件!$H$12&lt;=前提条件!$I$12,AND($D335&gt;=前提条件!$H$12,$D335&lt;=前提条件!$I$12),OR($D335&gt;=前提条件!$H$12,$D335&lt;=前提条件!$I$12)),1,0)</f>
        <v>0</v>
      </c>
      <c r="M335" s="14" t="n">
        <f aca="false">IF(IF(前提条件!$H$13&lt;=前提条件!$I$13,AND($D335&gt;=前提条件!$H$13,$D335&lt;=前提条件!$I$13),OR($D335&gt;=前提条件!$H$13,$D335&lt;=前提条件!$I$13)),1,0)</f>
        <v>0</v>
      </c>
      <c r="N335" s="14" t="n">
        <f aca="false">IF(IF(前提条件!$H$14&lt;=前提条件!$I$14,AND($D335&gt;=前提条件!$H$14,$D335&lt;=前提条件!$I$14),OR($D335&gt;=前提条件!$H$14,$D335&lt;=前提条件!$I$14)),1,0)</f>
        <v>1</v>
      </c>
      <c r="O335" s="14" t="n">
        <f aca="false">IF(IF(前提条件!$H$15&lt;=前提条件!$I$15,AND($D335&gt;=前提条件!$H$15,$D335&lt;=前提条件!$I$15),OR($D335&gt;=前提条件!$H$15,$D335&lt;=前提条件!$I$15)),1,0)</f>
        <v>0</v>
      </c>
    </row>
    <row r="336" customFormat="false" ht="15" hidden="false" customHeight="false" outlineLevel="0" collapsed="false">
      <c r="A336" s="48" t="n">
        <v>11</v>
      </c>
      <c r="B336" s="48" t="n">
        <v>29</v>
      </c>
      <c r="C336" s="48" t="str">
        <f aca="false">A336&amp;"/"&amp;B336</f>
        <v>11/29</v>
      </c>
      <c r="D336" s="48" t="n">
        <f aca="false">A336*100+B336</f>
        <v>1129</v>
      </c>
      <c r="E336" s="45" t="n">
        <f aca="false">IF(SUM(J336:K336)&gt;0,前提条件!$B$6,前提条件!$B$8)</f>
        <v>6</v>
      </c>
      <c r="F336" s="48" t="str">
        <f aca="false">IFERROR(INDEX(前提条件!$B$12:$B$15,MATCH(1,L336:O336,0)),"未設定")</f>
        <v>標準形</v>
      </c>
      <c r="G336" s="48" t="str">
        <f aca="false">IFERROR(INDEX(前提条件!$C$12:$C$15,MATCH(1,L336:O336,0)),"未設定")</f>
        <v>標準期</v>
      </c>
      <c r="H336" s="44" t="str">
        <f aca="false">"S値+"&amp;E336&amp;"／"&amp;F336&amp;"（"&amp;G336&amp;"）"</f>
        <v>S値+6／標準形（標準期）</v>
      </c>
      <c r="J336" s="14" t="n">
        <f aca="false">IF(IF(前提条件!$G$6&lt;=前提条件!$H$6,AND($D336&gt;=前提条件!$G$6,$D336&lt;=前提条件!$H$6),OR($D336&gt;=前提条件!$G$6,$D336&lt;=前提条件!$H$6)),1,0)</f>
        <v>0</v>
      </c>
      <c r="K336" s="14" t="n">
        <f aca="false">IF(IF(前提条件!$G$7&lt;=前提条件!$H$7,AND($D336&gt;=前提条件!$G$7,$D336&lt;=前提条件!$H$7),OR($D336&gt;=前提条件!$G$7,$D336&lt;=前提条件!$H$7)),1,0)</f>
        <v>1</v>
      </c>
      <c r="L336" s="14" t="n">
        <f aca="false">IF(IF(前提条件!$H$12&lt;=前提条件!$I$12,AND($D336&gt;=前提条件!$H$12,$D336&lt;=前提条件!$I$12),OR($D336&gt;=前提条件!$H$12,$D336&lt;=前提条件!$I$12)),1,0)</f>
        <v>0</v>
      </c>
      <c r="M336" s="14" t="n">
        <f aca="false">IF(IF(前提条件!$H$13&lt;=前提条件!$I$13,AND($D336&gt;=前提条件!$H$13,$D336&lt;=前提条件!$I$13),OR($D336&gt;=前提条件!$H$13,$D336&lt;=前提条件!$I$13)),1,0)</f>
        <v>0</v>
      </c>
      <c r="N336" s="14" t="n">
        <f aca="false">IF(IF(前提条件!$H$14&lt;=前提条件!$I$14,AND($D336&gt;=前提条件!$H$14,$D336&lt;=前提条件!$I$14),OR($D336&gt;=前提条件!$H$14,$D336&lt;=前提条件!$I$14)),1,0)</f>
        <v>1</v>
      </c>
      <c r="O336" s="14" t="n">
        <f aca="false">IF(IF(前提条件!$H$15&lt;=前提条件!$I$15,AND($D336&gt;=前提条件!$H$15,$D336&lt;=前提条件!$I$15),OR($D336&gt;=前提条件!$H$15,$D336&lt;=前提条件!$I$15)),1,0)</f>
        <v>0</v>
      </c>
    </row>
    <row r="337" customFormat="false" ht="15" hidden="false" customHeight="false" outlineLevel="0" collapsed="false">
      <c r="A337" s="48" t="n">
        <v>11</v>
      </c>
      <c r="B337" s="48" t="n">
        <v>30</v>
      </c>
      <c r="C337" s="48" t="str">
        <f aca="false">A337&amp;"/"&amp;B337</f>
        <v>11/30</v>
      </c>
      <c r="D337" s="48" t="n">
        <f aca="false">A337*100+B337</f>
        <v>1130</v>
      </c>
      <c r="E337" s="45" t="n">
        <f aca="false">IF(SUM(J337:K337)&gt;0,前提条件!$B$6,前提条件!$B$8)</f>
        <v>6</v>
      </c>
      <c r="F337" s="48" t="str">
        <f aca="false">IFERROR(INDEX(前提条件!$B$12:$B$15,MATCH(1,L337:O337,0)),"未設定")</f>
        <v>標準形</v>
      </c>
      <c r="G337" s="48" t="str">
        <f aca="false">IFERROR(INDEX(前提条件!$C$12:$C$15,MATCH(1,L337:O337,0)),"未設定")</f>
        <v>標準期</v>
      </c>
      <c r="H337" s="44" t="str">
        <f aca="false">"S値+"&amp;E337&amp;"／"&amp;F337&amp;"（"&amp;G337&amp;"）"</f>
        <v>S値+6／標準形（標準期）</v>
      </c>
      <c r="J337" s="14" t="n">
        <f aca="false">IF(IF(前提条件!$G$6&lt;=前提条件!$H$6,AND($D337&gt;=前提条件!$G$6,$D337&lt;=前提条件!$H$6),OR($D337&gt;=前提条件!$G$6,$D337&lt;=前提条件!$H$6)),1,0)</f>
        <v>0</v>
      </c>
      <c r="K337" s="14" t="n">
        <f aca="false">IF(IF(前提条件!$G$7&lt;=前提条件!$H$7,AND($D337&gt;=前提条件!$G$7,$D337&lt;=前提条件!$H$7),OR($D337&gt;=前提条件!$G$7,$D337&lt;=前提条件!$H$7)),1,0)</f>
        <v>1</v>
      </c>
      <c r="L337" s="14" t="n">
        <f aca="false">IF(IF(前提条件!$H$12&lt;=前提条件!$I$12,AND($D337&gt;=前提条件!$H$12,$D337&lt;=前提条件!$I$12),OR($D337&gt;=前提条件!$H$12,$D337&lt;=前提条件!$I$12)),1,0)</f>
        <v>0</v>
      </c>
      <c r="M337" s="14" t="n">
        <f aca="false">IF(IF(前提条件!$H$13&lt;=前提条件!$I$13,AND($D337&gt;=前提条件!$H$13,$D337&lt;=前提条件!$I$13),OR($D337&gt;=前提条件!$H$13,$D337&lt;=前提条件!$I$13)),1,0)</f>
        <v>0</v>
      </c>
      <c r="N337" s="14" t="n">
        <f aca="false">IF(IF(前提条件!$H$14&lt;=前提条件!$I$14,AND($D337&gt;=前提条件!$H$14,$D337&lt;=前提条件!$I$14),OR($D337&gt;=前提条件!$H$14,$D337&lt;=前提条件!$I$14)),1,0)</f>
        <v>1</v>
      </c>
      <c r="O337" s="14" t="n">
        <f aca="false">IF(IF(前提条件!$H$15&lt;=前提条件!$I$15,AND($D337&gt;=前提条件!$H$15,$D337&lt;=前提条件!$I$15),OR($D337&gt;=前提条件!$H$15,$D337&lt;=前提条件!$I$15)),1,0)</f>
        <v>0</v>
      </c>
    </row>
    <row r="338" customFormat="false" ht="15" hidden="false" customHeight="false" outlineLevel="0" collapsed="false">
      <c r="A338" s="48" t="n">
        <v>12</v>
      </c>
      <c r="B338" s="48" t="n">
        <v>1</v>
      </c>
      <c r="C338" s="48" t="str">
        <f aca="false">A338&amp;"/"&amp;B338</f>
        <v>12/1</v>
      </c>
      <c r="D338" s="48" t="n">
        <f aca="false">A338*100+B338</f>
        <v>1201</v>
      </c>
      <c r="E338" s="45" t="n">
        <f aca="false">IF(SUM(J338:K338)&gt;0,前提条件!$B$6,前提条件!$B$8)</f>
        <v>6</v>
      </c>
      <c r="F338" s="48" t="str">
        <f aca="false">IFERROR(INDEX(前提条件!$B$12:$B$15,MATCH(1,L338:O338,0)),"未設定")</f>
        <v>標準形</v>
      </c>
      <c r="G338" s="48" t="str">
        <f aca="false">IFERROR(INDEX(前提条件!$C$12:$C$15,MATCH(1,L338:O338,0)),"未設定")</f>
        <v>標準期</v>
      </c>
      <c r="H338" s="44" t="str">
        <f aca="false">"S値+"&amp;E338&amp;"／"&amp;F338&amp;"（"&amp;G338&amp;"）"</f>
        <v>S値+6／標準形（標準期）</v>
      </c>
      <c r="J338" s="14" t="n">
        <f aca="false">IF(IF(前提条件!$G$6&lt;=前提条件!$H$6,AND($D338&gt;=前提条件!$G$6,$D338&lt;=前提条件!$H$6),OR($D338&gt;=前提条件!$G$6,$D338&lt;=前提条件!$H$6)),1,0)</f>
        <v>0</v>
      </c>
      <c r="K338" s="14" t="n">
        <f aca="false">IF(IF(前提条件!$G$7&lt;=前提条件!$H$7,AND($D338&gt;=前提条件!$G$7,$D338&lt;=前提条件!$H$7),OR($D338&gt;=前提条件!$G$7,$D338&lt;=前提条件!$H$7)),1,0)</f>
        <v>1</v>
      </c>
      <c r="L338" s="14" t="n">
        <f aca="false">IF(IF(前提条件!$H$12&lt;=前提条件!$I$12,AND($D338&gt;=前提条件!$H$12,$D338&lt;=前提条件!$I$12),OR($D338&gt;=前提条件!$H$12,$D338&lt;=前提条件!$I$12)),1,0)</f>
        <v>0</v>
      </c>
      <c r="M338" s="14" t="n">
        <f aca="false">IF(IF(前提条件!$H$13&lt;=前提条件!$I$13,AND($D338&gt;=前提条件!$H$13,$D338&lt;=前提条件!$I$13),OR($D338&gt;=前提条件!$H$13,$D338&lt;=前提条件!$I$13)),1,0)</f>
        <v>0</v>
      </c>
      <c r="N338" s="14" t="n">
        <f aca="false">IF(IF(前提条件!$H$14&lt;=前提条件!$I$14,AND($D338&gt;=前提条件!$H$14,$D338&lt;=前提条件!$I$14),OR($D338&gt;=前提条件!$H$14,$D338&lt;=前提条件!$I$14)),1,0)</f>
        <v>1</v>
      </c>
      <c r="O338" s="14" t="n">
        <f aca="false">IF(IF(前提条件!$H$15&lt;=前提条件!$I$15,AND($D338&gt;=前提条件!$H$15,$D338&lt;=前提条件!$I$15),OR($D338&gt;=前提条件!$H$15,$D338&lt;=前提条件!$I$15)),1,0)</f>
        <v>0</v>
      </c>
    </row>
    <row r="339" customFormat="false" ht="15" hidden="false" customHeight="false" outlineLevel="0" collapsed="false">
      <c r="A339" s="48" t="n">
        <v>12</v>
      </c>
      <c r="B339" s="48" t="n">
        <v>2</v>
      </c>
      <c r="C339" s="48" t="str">
        <f aca="false">A339&amp;"/"&amp;B339</f>
        <v>12/2</v>
      </c>
      <c r="D339" s="48" t="n">
        <f aca="false">A339*100+B339</f>
        <v>1202</v>
      </c>
      <c r="E339" s="45" t="n">
        <f aca="false">IF(SUM(J339:K339)&gt;0,前提条件!$B$6,前提条件!$B$8)</f>
        <v>6</v>
      </c>
      <c r="F339" s="48" t="str">
        <f aca="false">IFERROR(INDEX(前提条件!$B$12:$B$15,MATCH(1,L339:O339,0)),"未設定")</f>
        <v>標準形</v>
      </c>
      <c r="G339" s="48" t="str">
        <f aca="false">IFERROR(INDEX(前提条件!$C$12:$C$15,MATCH(1,L339:O339,0)),"未設定")</f>
        <v>標準期</v>
      </c>
      <c r="H339" s="44" t="str">
        <f aca="false">"S値+"&amp;E339&amp;"／"&amp;F339&amp;"（"&amp;G339&amp;"）"</f>
        <v>S値+6／標準形（標準期）</v>
      </c>
      <c r="J339" s="14" t="n">
        <f aca="false">IF(IF(前提条件!$G$6&lt;=前提条件!$H$6,AND($D339&gt;=前提条件!$G$6,$D339&lt;=前提条件!$H$6),OR($D339&gt;=前提条件!$G$6,$D339&lt;=前提条件!$H$6)),1,0)</f>
        <v>0</v>
      </c>
      <c r="K339" s="14" t="n">
        <f aca="false">IF(IF(前提条件!$G$7&lt;=前提条件!$H$7,AND($D339&gt;=前提条件!$G$7,$D339&lt;=前提条件!$H$7),OR($D339&gt;=前提条件!$G$7,$D339&lt;=前提条件!$H$7)),1,0)</f>
        <v>1</v>
      </c>
      <c r="L339" s="14" t="n">
        <f aca="false">IF(IF(前提条件!$H$12&lt;=前提条件!$I$12,AND($D339&gt;=前提条件!$H$12,$D339&lt;=前提条件!$I$12),OR($D339&gt;=前提条件!$H$12,$D339&lt;=前提条件!$I$12)),1,0)</f>
        <v>0</v>
      </c>
      <c r="M339" s="14" t="n">
        <f aca="false">IF(IF(前提条件!$H$13&lt;=前提条件!$I$13,AND($D339&gt;=前提条件!$H$13,$D339&lt;=前提条件!$I$13),OR($D339&gt;=前提条件!$H$13,$D339&lt;=前提条件!$I$13)),1,0)</f>
        <v>0</v>
      </c>
      <c r="N339" s="14" t="n">
        <f aca="false">IF(IF(前提条件!$H$14&lt;=前提条件!$I$14,AND($D339&gt;=前提条件!$H$14,$D339&lt;=前提条件!$I$14),OR($D339&gt;=前提条件!$H$14,$D339&lt;=前提条件!$I$14)),1,0)</f>
        <v>1</v>
      </c>
      <c r="O339" s="14" t="n">
        <f aca="false">IF(IF(前提条件!$H$15&lt;=前提条件!$I$15,AND($D339&gt;=前提条件!$H$15,$D339&lt;=前提条件!$I$15),OR($D339&gt;=前提条件!$H$15,$D339&lt;=前提条件!$I$15)),1,0)</f>
        <v>0</v>
      </c>
    </row>
    <row r="340" customFormat="false" ht="15" hidden="false" customHeight="false" outlineLevel="0" collapsed="false">
      <c r="A340" s="48" t="n">
        <v>12</v>
      </c>
      <c r="B340" s="48" t="n">
        <v>3</v>
      </c>
      <c r="C340" s="48" t="str">
        <f aca="false">A340&amp;"/"&amp;B340</f>
        <v>12/3</v>
      </c>
      <c r="D340" s="48" t="n">
        <f aca="false">A340*100+B340</f>
        <v>1203</v>
      </c>
      <c r="E340" s="45" t="n">
        <f aca="false">IF(SUM(J340:K340)&gt;0,前提条件!$B$6,前提条件!$B$8)</f>
        <v>6</v>
      </c>
      <c r="F340" s="48" t="str">
        <f aca="false">IFERROR(INDEX(前提条件!$B$12:$B$15,MATCH(1,L340:O340,0)),"未設定")</f>
        <v>標準形</v>
      </c>
      <c r="G340" s="48" t="str">
        <f aca="false">IFERROR(INDEX(前提条件!$C$12:$C$15,MATCH(1,L340:O340,0)),"未設定")</f>
        <v>標準期</v>
      </c>
      <c r="H340" s="44" t="str">
        <f aca="false">"S値+"&amp;E340&amp;"／"&amp;F340&amp;"（"&amp;G340&amp;"）"</f>
        <v>S値+6／標準形（標準期）</v>
      </c>
      <c r="J340" s="14" t="n">
        <f aca="false">IF(IF(前提条件!$G$6&lt;=前提条件!$H$6,AND($D340&gt;=前提条件!$G$6,$D340&lt;=前提条件!$H$6),OR($D340&gt;=前提条件!$G$6,$D340&lt;=前提条件!$H$6)),1,0)</f>
        <v>0</v>
      </c>
      <c r="K340" s="14" t="n">
        <f aca="false">IF(IF(前提条件!$G$7&lt;=前提条件!$H$7,AND($D340&gt;=前提条件!$G$7,$D340&lt;=前提条件!$H$7),OR($D340&gt;=前提条件!$G$7,$D340&lt;=前提条件!$H$7)),1,0)</f>
        <v>1</v>
      </c>
      <c r="L340" s="14" t="n">
        <f aca="false">IF(IF(前提条件!$H$12&lt;=前提条件!$I$12,AND($D340&gt;=前提条件!$H$12,$D340&lt;=前提条件!$I$12),OR($D340&gt;=前提条件!$H$12,$D340&lt;=前提条件!$I$12)),1,0)</f>
        <v>0</v>
      </c>
      <c r="M340" s="14" t="n">
        <f aca="false">IF(IF(前提条件!$H$13&lt;=前提条件!$I$13,AND($D340&gt;=前提条件!$H$13,$D340&lt;=前提条件!$I$13),OR($D340&gt;=前提条件!$H$13,$D340&lt;=前提条件!$I$13)),1,0)</f>
        <v>0</v>
      </c>
      <c r="N340" s="14" t="n">
        <f aca="false">IF(IF(前提条件!$H$14&lt;=前提条件!$I$14,AND($D340&gt;=前提条件!$H$14,$D340&lt;=前提条件!$I$14),OR($D340&gt;=前提条件!$H$14,$D340&lt;=前提条件!$I$14)),1,0)</f>
        <v>1</v>
      </c>
      <c r="O340" s="14" t="n">
        <f aca="false">IF(IF(前提条件!$H$15&lt;=前提条件!$I$15,AND($D340&gt;=前提条件!$H$15,$D340&lt;=前提条件!$I$15),OR($D340&gt;=前提条件!$H$15,$D340&lt;=前提条件!$I$15)),1,0)</f>
        <v>0</v>
      </c>
    </row>
    <row r="341" customFormat="false" ht="15" hidden="false" customHeight="false" outlineLevel="0" collapsed="false">
      <c r="A341" s="48" t="n">
        <v>12</v>
      </c>
      <c r="B341" s="48" t="n">
        <v>4</v>
      </c>
      <c r="C341" s="48" t="str">
        <f aca="false">A341&amp;"/"&amp;B341</f>
        <v>12/4</v>
      </c>
      <c r="D341" s="48" t="n">
        <f aca="false">A341*100+B341</f>
        <v>1204</v>
      </c>
      <c r="E341" s="45" t="n">
        <f aca="false">IF(SUM(J341:K341)&gt;0,前提条件!$B$6,前提条件!$B$8)</f>
        <v>6</v>
      </c>
      <c r="F341" s="48" t="str">
        <f aca="false">IFERROR(INDEX(前提条件!$B$12:$B$15,MATCH(1,L341:O341,0)),"未設定")</f>
        <v>標準形</v>
      </c>
      <c r="G341" s="48" t="str">
        <f aca="false">IFERROR(INDEX(前提条件!$C$12:$C$15,MATCH(1,L341:O341,0)),"未設定")</f>
        <v>標準期</v>
      </c>
      <c r="H341" s="44" t="str">
        <f aca="false">"S値+"&amp;E341&amp;"／"&amp;F341&amp;"（"&amp;G341&amp;"）"</f>
        <v>S値+6／標準形（標準期）</v>
      </c>
      <c r="J341" s="14" t="n">
        <f aca="false">IF(IF(前提条件!$G$6&lt;=前提条件!$H$6,AND($D341&gt;=前提条件!$G$6,$D341&lt;=前提条件!$H$6),OR($D341&gt;=前提条件!$G$6,$D341&lt;=前提条件!$H$6)),1,0)</f>
        <v>0</v>
      </c>
      <c r="K341" s="14" t="n">
        <f aca="false">IF(IF(前提条件!$G$7&lt;=前提条件!$H$7,AND($D341&gt;=前提条件!$G$7,$D341&lt;=前提条件!$H$7),OR($D341&gt;=前提条件!$G$7,$D341&lt;=前提条件!$H$7)),1,0)</f>
        <v>1</v>
      </c>
      <c r="L341" s="14" t="n">
        <f aca="false">IF(IF(前提条件!$H$12&lt;=前提条件!$I$12,AND($D341&gt;=前提条件!$H$12,$D341&lt;=前提条件!$I$12),OR($D341&gt;=前提条件!$H$12,$D341&lt;=前提条件!$I$12)),1,0)</f>
        <v>0</v>
      </c>
      <c r="M341" s="14" t="n">
        <f aca="false">IF(IF(前提条件!$H$13&lt;=前提条件!$I$13,AND($D341&gt;=前提条件!$H$13,$D341&lt;=前提条件!$I$13),OR($D341&gt;=前提条件!$H$13,$D341&lt;=前提条件!$I$13)),1,0)</f>
        <v>0</v>
      </c>
      <c r="N341" s="14" t="n">
        <f aca="false">IF(IF(前提条件!$H$14&lt;=前提条件!$I$14,AND($D341&gt;=前提条件!$H$14,$D341&lt;=前提条件!$I$14),OR($D341&gt;=前提条件!$H$14,$D341&lt;=前提条件!$I$14)),1,0)</f>
        <v>1</v>
      </c>
      <c r="O341" s="14" t="n">
        <f aca="false">IF(IF(前提条件!$H$15&lt;=前提条件!$I$15,AND($D341&gt;=前提条件!$H$15,$D341&lt;=前提条件!$I$15),OR($D341&gt;=前提条件!$H$15,$D341&lt;=前提条件!$I$15)),1,0)</f>
        <v>0</v>
      </c>
    </row>
    <row r="342" customFormat="false" ht="15" hidden="false" customHeight="false" outlineLevel="0" collapsed="false">
      <c r="A342" s="48" t="n">
        <v>12</v>
      </c>
      <c r="B342" s="48" t="n">
        <v>5</v>
      </c>
      <c r="C342" s="48" t="str">
        <f aca="false">A342&amp;"/"&amp;B342</f>
        <v>12/5</v>
      </c>
      <c r="D342" s="48" t="n">
        <f aca="false">A342*100+B342</f>
        <v>1205</v>
      </c>
      <c r="E342" s="45" t="n">
        <f aca="false">IF(SUM(J342:K342)&gt;0,前提条件!$B$6,前提条件!$B$8)</f>
        <v>6</v>
      </c>
      <c r="F342" s="48" t="str">
        <f aca="false">IFERROR(INDEX(前提条件!$B$12:$B$15,MATCH(1,L342:O342,0)),"未設定")</f>
        <v>標準形</v>
      </c>
      <c r="G342" s="48" t="str">
        <f aca="false">IFERROR(INDEX(前提条件!$C$12:$C$15,MATCH(1,L342:O342,0)),"未設定")</f>
        <v>標準期</v>
      </c>
      <c r="H342" s="44" t="str">
        <f aca="false">"S値+"&amp;E342&amp;"／"&amp;F342&amp;"（"&amp;G342&amp;"）"</f>
        <v>S値+6／標準形（標準期）</v>
      </c>
      <c r="J342" s="14" t="n">
        <f aca="false">IF(IF(前提条件!$G$6&lt;=前提条件!$H$6,AND($D342&gt;=前提条件!$G$6,$D342&lt;=前提条件!$H$6),OR($D342&gt;=前提条件!$G$6,$D342&lt;=前提条件!$H$6)),1,0)</f>
        <v>0</v>
      </c>
      <c r="K342" s="14" t="n">
        <f aca="false">IF(IF(前提条件!$G$7&lt;=前提条件!$H$7,AND($D342&gt;=前提条件!$G$7,$D342&lt;=前提条件!$H$7),OR($D342&gt;=前提条件!$G$7,$D342&lt;=前提条件!$H$7)),1,0)</f>
        <v>1</v>
      </c>
      <c r="L342" s="14" t="n">
        <f aca="false">IF(IF(前提条件!$H$12&lt;=前提条件!$I$12,AND($D342&gt;=前提条件!$H$12,$D342&lt;=前提条件!$I$12),OR($D342&gt;=前提条件!$H$12,$D342&lt;=前提条件!$I$12)),1,0)</f>
        <v>0</v>
      </c>
      <c r="M342" s="14" t="n">
        <f aca="false">IF(IF(前提条件!$H$13&lt;=前提条件!$I$13,AND($D342&gt;=前提条件!$H$13,$D342&lt;=前提条件!$I$13),OR($D342&gt;=前提条件!$H$13,$D342&lt;=前提条件!$I$13)),1,0)</f>
        <v>0</v>
      </c>
      <c r="N342" s="14" t="n">
        <f aca="false">IF(IF(前提条件!$H$14&lt;=前提条件!$I$14,AND($D342&gt;=前提条件!$H$14,$D342&lt;=前提条件!$I$14),OR($D342&gt;=前提条件!$H$14,$D342&lt;=前提条件!$I$14)),1,0)</f>
        <v>1</v>
      </c>
      <c r="O342" s="14" t="n">
        <f aca="false">IF(IF(前提条件!$H$15&lt;=前提条件!$I$15,AND($D342&gt;=前提条件!$H$15,$D342&lt;=前提条件!$I$15),OR($D342&gt;=前提条件!$H$15,$D342&lt;=前提条件!$I$15)),1,0)</f>
        <v>0</v>
      </c>
    </row>
    <row r="343" customFormat="false" ht="15" hidden="false" customHeight="false" outlineLevel="0" collapsed="false">
      <c r="A343" s="48" t="n">
        <v>12</v>
      </c>
      <c r="B343" s="48" t="n">
        <v>6</v>
      </c>
      <c r="C343" s="48" t="str">
        <f aca="false">A343&amp;"/"&amp;B343</f>
        <v>12/6</v>
      </c>
      <c r="D343" s="48" t="n">
        <f aca="false">A343*100+B343</f>
        <v>1206</v>
      </c>
      <c r="E343" s="45" t="n">
        <f aca="false">IF(SUM(J343:K343)&gt;0,前提条件!$B$6,前提条件!$B$8)</f>
        <v>6</v>
      </c>
      <c r="F343" s="48" t="str">
        <f aca="false">IFERROR(INDEX(前提条件!$B$12:$B$15,MATCH(1,L343:O343,0)),"未設定")</f>
        <v>標準形</v>
      </c>
      <c r="G343" s="48" t="str">
        <f aca="false">IFERROR(INDEX(前提条件!$C$12:$C$15,MATCH(1,L343:O343,0)),"未設定")</f>
        <v>標準期</v>
      </c>
      <c r="H343" s="44" t="str">
        <f aca="false">"S値+"&amp;E343&amp;"／"&amp;F343&amp;"（"&amp;G343&amp;"）"</f>
        <v>S値+6／標準形（標準期）</v>
      </c>
      <c r="J343" s="14" t="n">
        <f aca="false">IF(IF(前提条件!$G$6&lt;=前提条件!$H$6,AND($D343&gt;=前提条件!$G$6,$D343&lt;=前提条件!$H$6),OR($D343&gt;=前提条件!$G$6,$D343&lt;=前提条件!$H$6)),1,0)</f>
        <v>0</v>
      </c>
      <c r="K343" s="14" t="n">
        <f aca="false">IF(IF(前提条件!$G$7&lt;=前提条件!$H$7,AND($D343&gt;=前提条件!$G$7,$D343&lt;=前提条件!$H$7),OR($D343&gt;=前提条件!$G$7,$D343&lt;=前提条件!$H$7)),1,0)</f>
        <v>1</v>
      </c>
      <c r="L343" s="14" t="n">
        <f aca="false">IF(IF(前提条件!$H$12&lt;=前提条件!$I$12,AND($D343&gt;=前提条件!$H$12,$D343&lt;=前提条件!$I$12),OR($D343&gt;=前提条件!$H$12,$D343&lt;=前提条件!$I$12)),1,0)</f>
        <v>0</v>
      </c>
      <c r="M343" s="14" t="n">
        <f aca="false">IF(IF(前提条件!$H$13&lt;=前提条件!$I$13,AND($D343&gt;=前提条件!$H$13,$D343&lt;=前提条件!$I$13),OR($D343&gt;=前提条件!$H$13,$D343&lt;=前提条件!$I$13)),1,0)</f>
        <v>0</v>
      </c>
      <c r="N343" s="14" t="n">
        <f aca="false">IF(IF(前提条件!$H$14&lt;=前提条件!$I$14,AND($D343&gt;=前提条件!$H$14,$D343&lt;=前提条件!$I$14),OR($D343&gt;=前提条件!$H$14,$D343&lt;=前提条件!$I$14)),1,0)</f>
        <v>1</v>
      </c>
      <c r="O343" s="14" t="n">
        <f aca="false">IF(IF(前提条件!$H$15&lt;=前提条件!$I$15,AND($D343&gt;=前提条件!$H$15,$D343&lt;=前提条件!$I$15),OR($D343&gt;=前提条件!$H$15,$D343&lt;=前提条件!$I$15)),1,0)</f>
        <v>0</v>
      </c>
    </row>
    <row r="344" customFormat="false" ht="15" hidden="false" customHeight="false" outlineLevel="0" collapsed="false">
      <c r="A344" s="48" t="n">
        <v>12</v>
      </c>
      <c r="B344" s="48" t="n">
        <v>7</v>
      </c>
      <c r="C344" s="48" t="str">
        <f aca="false">A344&amp;"/"&amp;B344</f>
        <v>12/7</v>
      </c>
      <c r="D344" s="48" t="n">
        <f aca="false">A344*100+B344</f>
        <v>1207</v>
      </c>
      <c r="E344" s="45" t="n">
        <f aca="false">IF(SUM(J344:K344)&gt;0,前提条件!$B$6,前提条件!$B$8)</f>
        <v>6</v>
      </c>
      <c r="F344" s="48" t="str">
        <f aca="false">IFERROR(INDEX(前提条件!$B$12:$B$15,MATCH(1,L344:O344,0)),"未設定")</f>
        <v>標準形</v>
      </c>
      <c r="G344" s="48" t="str">
        <f aca="false">IFERROR(INDEX(前提条件!$C$12:$C$15,MATCH(1,L344:O344,0)),"未設定")</f>
        <v>標準期</v>
      </c>
      <c r="H344" s="44" t="str">
        <f aca="false">"S値+"&amp;E344&amp;"／"&amp;F344&amp;"（"&amp;G344&amp;"）"</f>
        <v>S値+6／標準形（標準期）</v>
      </c>
      <c r="J344" s="14" t="n">
        <f aca="false">IF(IF(前提条件!$G$6&lt;=前提条件!$H$6,AND($D344&gt;=前提条件!$G$6,$D344&lt;=前提条件!$H$6),OR($D344&gt;=前提条件!$G$6,$D344&lt;=前提条件!$H$6)),1,0)</f>
        <v>0</v>
      </c>
      <c r="K344" s="14" t="n">
        <f aca="false">IF(IF(前提条件!$G$7&lt;=前提条件!$H$7,AND($D344&gt;=前提条件!$G$7,$D344&lt;=前提条件!$H$7),OR($D344&gt;=前提条件!$G$7,$D344&lt;=前提条件!$H$7)),1,0)</f>
        <v>1</v>
      </c>
      <c r="L344" s="14" t="n">
        <f aca="false">IF(IF(前提条件!$H$12&lt;=前提条件!$I$12,AND($D344&gt;=前提条件!$H$12,$D344&lt;=前提条件!$I$12),OR($D344&gt;=前提条件!$H$12,$D344&lt;=前提条件!$I$12)),1,0)</f>
        <v>0</v>
      </c>
      <c r="M344" s="14" t="n">
        <f aca="false">IF(IF(前提条件!$H$13&lt;=前提条件!$I$13,AND($D344&gt;=前提条件!$H$13,$D344&lt;=前提条件!$I$13),OR($D344&gt;=前提条件!$H$13,$D344&lt;=前提条件!$I$13)),1,0)</f>
        <v>0</v>
      </c>
      <c r="N344" s="14" t="n">
        <f aca="false">IF(IF(前提条件!$H$14&lt;=前提条件!$I$14,AND($D344&gt;=前提条件!$H$14,$D344&lt;=前提条件!$I$14),OR($D344&gt;=前提条件!$H$14,$D344&lt;=前提条件!$I$14)),1,0)</f>
        <v>1</v>
      </c>
      <c r="O344" s="14" t="n">
        <f aca="false">IF(IF(前提条件!$H$15&lt;=前提条件!$I$15,AND($D344&gt;=前提条件!$H$15,$D344&lt;=前提条件!$I$15),OR($D344&gt;=前提条件!$H$15,$D344&lt;=前提条件!$I$15)),1,0)</f>
        <v>0</v>
      </c>
    </row>
    <row r="345" customFormat="false" ht="15" hidden="false" customHeight="false" outlineLevel="0" collapsed="false">
      <c r="A345" s="48" t="n">
        <v>12</v>
      </c>
      <c r="B345" s="48" t="n">
        <v>8</v>
      </c>
      <c r="C345" s="48" t="str">
        <f aca="false">A345&amp;"/"&amp;B345</f>
        <v>12/8</v>
      </c>
      <c r="D345" s="48" t="n">
        <f aca="false">A345*100+B345</f>
        <v>1208</v>
      </c>
      <c r="E345" s="45" t="n">
        <f aca="false">IF(SUM(J345:K345)&gt;0,前提条件!$B$6,前提条件!$B$8)</f>
        <v>6</v>
      </c>
      <c r="F345" s="48" t="str">
        <f aca="false">IFERROR(INDEX(前提条件!$B$12:$B$15,MATCH(1,L345:O345,0)),"未設定")</f>
        <v>標準形</v>
      </c>
      <c r="G345" s="48" t="str">
        <f aca="false">IFERROR(INDEX(前提条件!$C$12:$C$15,MATCH(1,L345:O345,0)),"未設定")</f>
        <v>冬期</v>
      </c>
      <c r="H345" s="44" t="str">
        <f aca="false">"S値+"&amp;E345&amp;"／"&amp;F345&amp;"（"&amp;G345&amp;"）"</f>
        <v>S値+6／標準形（冬期）</v>
      </c>
      <c r="J345" s="14" t="n">
        <f aca="false">IF(IF(前提条件!$G$6&lt;=前提条件!$H$6,AND($D345&gt;=前提条件!$G$6,$D345&lt;=前提条件!$H$6),OR($D345&gt;=前提条件!$G$6,$D345&lt;=前提条件!$H$6)),1,0)</f>
        <v>0</v>
      </c>
      <c r="K345" s="14" t="n">
        <f aca="false">IF(IF(前提条件!$G$7&lt;=前提条件!$H$7,AND($D345&gt;=前提条件!$G$7,$D345&lt;=前提条件!$H$7),OR($D345&gt;=前提条件!$G$7,$D345&lt;=前提条件!$H$7)),1,0)</f>
        <v>1</v>
      </c>
      <c r="L345" s="14" t="n">
        <f aca="false">IF(IF(前提条件!$H$12&lt;=前提条件!$I$12,AND($D345&gt;=前提条件!$H$12,$D345&lt;=前提条件!$I$12),OR($D345&gt;=前提条件!$H$12,$D345&lt;=前提条件!$I$12)),1,0)</f>
        <v>0</v>
      </c>
      <c r="M345" s="14" t="n">
        <f aca="false">IF(IF(前提条件!$H$13&lt;=前提条件!$I$13,AND($D345&gt;=前提条件!$H$13,$D345&lt;=前提条件!$I$13),OR($D345&gt;=前提条件!$H$13,$D345&lt;=前提条件!$I$13)),1,0)</f>
        <v>0</v>
      </c>
      <c r="N345" s="14" t="n">
        <f aca="false">IF(IF(前提条件!$H$14&lt;=前提条件!$I$14,AND($D345&gt;=前提条件!$H$14,$D345&lt;=前提条件!$I$14),OR($D345&gt;=前提条件!$H$14,$D345&lt;=前提条件!$I$14)),1,0)</f>
        <v>0</v>
      </c>
      <c r="O345" s="14" t="n">
        <f aca="false">IF(IF(前提条件!$H$15&lt;=前提条件!$I$15,AND($D345&gt;=前提条件!$H$15,$D345&lt;=前提条件!$I$15),OR($D345&gt;=前提条件!$H$15,$D345&lt;=前提条件!$I$15)),1,0)</f>
        <v>1</v>
      </c>
    </row>
    <row r="346" customFormat="false" ht="15" hidden="false" customHeight="false" outlineLevel="0" collapsed="false">
      <c r="A346" s="48" t="n">
        <v>12</v>
      </c>
      <c r="B346" s="48" t="n">
        <v>9</v>
      </c>
      <c r="C346" s="48" t="str">
        <f aca="false">A346&amp;"/"&amp;B346</f>
        <v>12/9</v>
      </c>
      <c r="D346" s="48" t="n">
        <f aca="false">A346*100+B346</f>
        <v>1209</v>
      </c>
      <c r="E346" s="45" t="n">
        <f aca="false">IF(SUM(J346:K346)&gt;0,前提条件!$B$6,前提条件!$B$8)</f>
        <v>6</v>
      </c>
      <c r="F346" s="48" t="str">
        <f aca="false">IFERROR(INDEX(前提条件!$B$12:$B$15,MATCH(1,L346:O346,0)),"未設定")</f>
        <v>標準形</v>
      </c>
      <c r="G346" s="48" t="str">
        <f aca="false">IFERROR(INDEX(前提条件!$C$12:$C$15,MATCH(1,L346:O346,0)),"未設定")</f>
        <v>冬期</v>
      </c>
      <c r="H346" s="44" t="str">
        <f aca="false">"S値+"&amp;E346&amp;"／"&amp;F346&amp;"（"&amp;G346&amp;"）"</f>
        <v>S値+6／標準形（冬期）</v>
      </c>
      <c r="J346" s="14" t="n">
        <f aca="false">IF(IF(前提条件!$G$6&lt;=前提条件!$H$6,AND($D346&gt;=前提条件!$G$6,$D346&lt;=前提条件!$H$6),OR($D346&gt;=前提条件!$G$6,$D346&lt;=前提条件!$H$6)),1,0)</f>
        <v>0</v>
      </c>
      <c r="K346" s="14" t="n">
        <f aca="false">IF(IF(前提条件!$G$7&lt;=前提条件!$H$7,AND($D346&gt;=前提条件!$G$7,$D346&lt;=前提条件!$H$7),OR($D346&gt;=前提条件!$G$7,$D346&lt;=前提条件!$H$7)),1,0)</f>
        <v>1</v>
      </c>
      <c r="L346" s="14" t="n">
        <f aca="false">IF(IF(前提条件!$H$12&lt;=前提条件!$I$12,AND($D346&gt;=前提条件!$H$12,$D346&lt;=前提条件!$I$12),OR($D346&gt;=前提条件!$H$12,$D346&lt;=前提条件!$I$12)),1,0)</f>
        <v>0</v>
      </c>
      <c r="M346" s="14" t="n">
        <f aca="false">IF(IF(前提条件!$H$13&lt;=前提条件!$I$13,AND($D346&gt;=前提条件!$H$13,$D346&lt;=前提条件!$I$13),OR($D346&gt;=前提条件!$H$13,$D346&lt;=前提条件!$I$13)),1,0)</f>
        <v>0</v>
      </c>
      <c r="N346" s="14" t="n">
        <f aca="false">IF(IF(前提条件!$H$14&lt;=前提条件!$I$14,AND($D346&gt;=前提条件!$H$14,$D346&lt;=前提条件!$I$14),OR($D346&gt;=前提条件!$H$14,$D346&lt;=前提条件!$I$14)),1,0)</f>
        <v>0</v>
      </c>
      <c r="O346" s="14" t="n">
        <f aca="false">IF(IF(前提条件!$H$15&lt;=前提条件!$I$15,AND($D346&gt;=前提条件!$H$15,$D346&lt;=前提条件!$I$15),OR($D346&gt;=前提条件!$H$15,$D346&lt;=前提条件!$I$15)),1,0)</f>
        <v>1</v>
      </c>
    </row>
    <row r="347" customFormat="false" ht="15" hidden="false" customHeight="false" outlineLevel="0" collapsed="false">
      <c r="A347" s="48" t="n">
        <v>12</v>
      </c>
      <c r="B347" s="48" t="n">
        <v>10</v>
      </c>
      <c r="C347" s="48" t="str">
        <f aca="false">A347&amp;"/"&amp;B347</f>
        <v>12/10</v>
      </c>
      <c r="D347" s="48" t="n">
        <f aca="false">A347*100+B347</f>
        <v>1210</v>
      </c>
      <c r="E347" s="45" t="n">
        <f aca="false">IF(SUM(J347:K347)&gt;0,前提条件!$B$6,前提条件!$B$8)</f>
        <v>6</v>
      </c>
      <c r="F347" s="48" t="str">
        <f aca="false">IFERROR(INDEX(前提条件!$B$12:$B$15,MATCH(1,L347:O347,0)),"未設定")</f>
        <v>標準形</v>
      </c>
      <c r="G347" s="48" t="str">
        <f aca="false">IFERROR(INDEX(前提条件!$C$12:$C$15,MATCH(1,L347:O347,0)),"未設定")</f>
        <v>冬期</v>
      </c>
      <c r="H347" s="44" t="str">
        <f aca="false">"S値+"&amp;E347&amp;"／"&amp;F347&amp;"（"&amp;G347&amp;"）"</f>
        <v>S値+6／標準形（冬期）</v>
      </c>
      <c r="J347" s="14" t="n">
        <f aca="false">IF(IF(前提条件!$G$6&lt;=前提条件!$H$6,AND($D347&gt;=前提条件!$G$6,$D347&lt;=前提条件!$H$6),OR($D347&gt;=前提条件!$G$6,$D347&lt;=前提条件!$H$6)),1,0)</f>
        <v>0</v>
      </c>
      <c r="K347" s="14" t="n">
        <f aca="false">IF(IF(前提条件!$G$7&lt;=前提条件!$H$7,AND($D347&gt;=前提条件!$G$7,$D347&lt;=前提条件!$H$7),OR($D347&gt;=前提条件!$G$7,$D347&lt;=前提条件!$H$7)),1,0)</f>
        <v>1</v>
      </c>
      <c r="L347" s="14" t="n">
        <f aca="false">IF(IF(前提条件!$H$12&lt;=前提条件!$I$12,AND($D347&gt;=前提条件!$H$12,$D347&lt;=前提条件!$I$12),OR($D347&gt;=前提条件!$H$12,$D347&lt;=前提条件!$I$12)),1,0)</f>
        <v>0</v>
      </c>
      <c r="M347" s="14" t="n">
        <f aca="false">IF(IF(前提条件!$H$13&lt;=前提条件!$I$13,AND($D347&gt;=前提条件!$H$13,$D347&lt;=前提条件!$I$13),OR($D347&gt;=前提条件!$H$13,$D347&lt;=前提条件!$I$13)),1,0)</f>
        <v>0</v>
      </c>
      <c r="N347" s="14" t="n">
        <f aca="false">IF(IF(前提条件!$H$14&lt;=前提条件!$I$14,AND($D347&gt;=前提条件!$H$14,$D347&lt;=前提条件!$I$14),OR($D347&gt;=前提条件!$H$14,$D347&lt;=前提条件!$I$14)),1,0)</f>
        <v>0</v>
      </c>
      <c r="O347" s="14" t="n">
        <f aca="false">IF(IF(前提条件!$H$15&lt;=前提条件!$I$15,AND($D347&gt;=前提条件!$H$15,$D347&lt;=前提条件!$I$15),OR($D347&gt;=前提条件!$H$15,$D347&lt;=前提条件!$I$15)),1,0)</f>
        <v>1</v>
      </c>
    </row>
    <row r="348" customFormat="false" ht="15" hidden="false" customHeight="false" outlineLevel="0" collapsed="false">
      <c r="A348" s="48" t="n">
        <v>12</v>
      </c>
      <c r="B348" s="48" t="n">
        <v>11</v>
      </c>
      <c r="C348" s="48" t="str">
        <f aca="false">A348&amp;"/"&amp;B348</f>
        <v>12/11</v>
      </c>
      <c r="D348" s="48" t="n">
        <f aca="false">A348*100+B348</f>
        <v>1211</v>
      </c>
      <c r="E348" s="45" t="n">
        <f aca="false">IF(SUM(J348:K348)&gt;0,前提条件!$B$6,前提条件!$B$8)</f>
        <v>6</v>
      </c>
      <c r="F348" s="48" t="str">
        <f aca="false">IFERROR(INDEX(前提条件!$B$12:$B$15,MATCH(1,L348:O348,0)),"未設定")</f>
        <v>標準形</v>
      </c>
      <c r="G348" s="48" t="str">
        <f aca="false">IFERROR(INDEX(前提条件!$C$12:$C$15,MATCH(1,L348:O348,0)),"未設定")</f>
        <v>冬期</v>
      </c>
      <c r="H348" s="44" t="str">
        <f aca="false">"S値+"&amp;E348&amp;"／"&amp;F348&amp;"（"&amp;G348&amp;"）"</f>
        <v>S値+6／標準形（冬期）</v>
      </c>
      <c r="J348" s="14" t="n">
        <f aca="false">IF(IF(前提条件!$G$6&lt;=前提条件!$H$6,AND($D348&gt;=前提条件!$G$6,$D348&lt;=前提条件!$H$6),OR($D348&gt;=前提条件!$G$6,$D348&lt;=前提条件!$H$6)),1,0)</f>
        <v>0</v>
      </c>
      <c r="K348" s="14" t="n">
        <f aca="false">IF(IF(前提条件!$G$7&lt;=前提条件!$H$7,AND($D348&gt;=前提条件!$G$7,$D348&lt;=前提条件!$H$7),OR($D348&gt;=前提条件!$G$7,$D348&lt;=前提条件!$H$7)),1,0)</f>
        <v>1</v>
      </c>
      <c r="L348" s="14" t="n">
        <f aca="false">IF(IF(前提条件!$H$12&lt;=前提条件!$I$12,AND($D348&gt;=前提条件!$H$12,$D348&lt;=前提条件!$I$12),OR($D348&gt;=前提条件!$H$12,$D348&lt;=前提条件!$I$12)),1,0)</f>
        <v>0</v>
      </c>
      <c r="M348" s="14" t="n">
        <f aca="false">IF(IF(前提条件!$H$13&lt;=前提条件!$I$13,AND($D348&gt;=前提条件!$H$13,$D348&lt;=前提条件!$I$13),OR($D348&gt;=前提条件!$H$13,$D348&lt;=前提条件!$I$13)),1,0)</f>
        <v>0</v>
      </c>
      <c r="N348" s="14" t="n">
        <f aca="false">IF(IF(前提条件!$H$14&lt;=前提条件!$I$14,AND($D348&gt;=前提条件!$H$14,$D348&lt;=前提条件!$I$14),OR($D348&gt;=前提条件!$H$14,$D348&lt;=前提条件!$I$14)),1,0)</f>
        <v>0</v>
      </c>
      <c r="O348" s="14" t="n">
        <f aca="false">IF(IF(前提条件!$H$15&lt;=前提条件!$I$15,AND($D348&gt;=前提条件!$H$15,$D348&lt;=前提条件!$I$15),OR($D348&gt;=前提条件!$H$15,$D348&lt;=前提条件!$I$15)),1,0)</f>
        <v>1</v>
      </c>
    </row>
    <row r="349" customFormat="false" ht="15" hidden="false" customHeight="false" outlineLevel="0" collapsed="false">
      <c r="A349" s="48" t="n">
        <v>12</v>
      </c>
      <c r="B349" s="48" t="n">
        <v>12</v>
      </c>
      <c r="C349" s="48" t="str">
        <f aca="false">A349&amp;"/"&amp;B349</f>
        <v>12/12</v>
      </c>
      <c r="D349" s="48" t="n">
        <f aca="false">A349*100+B349</f>
        <v>1212</v>
      </c>
      <c r="E349" s="45" t="n">
        <f aca="false">IF(SUM(J349:K349)&gt;0,前提条件!$B$6,前提条件!$B$8)</f>
        <v>6</v>
      </c>
      <c r="F349" s="48" t="str">
        <f aca="false">IFERROR(INDEX(前提条件!$B$12:$B$15,MATCH(1,L349:O349,0)),"未設定")</f>
        <v>標準形</v>
      </c>
      <c r="G349" s="48" t="str">
        <f aca="false">IFERROR(INDEX(前提条件!$C$12:$C$15,MATCH(1,L349:O349,0)),"未設定")</f>
        <v>冬期</v>
      </c>
      <c r="H349" s="44" t="str">
        <f aca="false">"S値+"&amp;E349&amp;"／"&amp;F349&amp;"（"&amp;G349&amp;"）"</f>
        <v>S値+6／標準形（冬期）</v>
      </c>
      <c r="J349" s="14" t="n">
        <f aca="false">IF(IF(前提条件!$G$6&lt;=前提条件!$H$6,AND($D349&gt;=前提条件!$G$6,$D349&lt;=前提条件!$H$6),OR($D349&gt;=前提条件!$G$6,$D349&lt;=前提条件!$H$6)),1,0)</f>
        <v>0</v>
      </c>
      <c r="K349" s="14" t="n">
        <f aca="false">IF(IF(前提条件!$G$7&lt;=前提条件!$H$7,AND($D349&gt;=前提条件!$G$7,$D349&lt;=前提条件!$H$7),OR($D349&gt;=前提条件!$G$7,$D349&lt;=前提条件!$H$7)),1,0)</f>
        <v>1</v>
      </c>
      <c r="L349" s="14" t="n">
        <f aca="false">IF(IF(前提条件!$H$12&lt;=前提条件!$I$12,AND($D349&gt;=前提条件!$H$12,$D349&lt;=前提条件!$I$12),OR($D349&gt;=前提条件!$H$12,$D349&lt;=前提条件!$I$12)),1,0)</f>
        <v>0</v>
      </c>
      <c r="M349" s="14" t="n">
        <f aca="false">IF(IF(前提条件!$H$13&lt;=前提条件!$I$13,AND($D349&gt;=前提条件!$H$13,$D349&lt;=前提条件!$I$13),OR($D349&gt;=前提条件!$H$13,$D349&lt;=前提条件!$I$13)),1,0)</f>
        <v>0</v>
      </c>
      <c r="N349" s="14" t="n">
        <f aca="false">IF(IF(前提条件!$H$14&lt;=前提条件!$I$14,AND($D349&gt;=前提条件!$H$14,$D349&lt;=前提条件!$I$14),OR($D349&gt;=前提条件!$H$14,$D349&lt;=前提条件!$I$14)),1,0)</f>
        <v>0</v>
      </c>
      <c r="O349" s="14" t="n">
        <f aca="false">IF(IF(前提条件!$H$15&lt;=前提条件!$I$15,AND($D349&gt;=前提条件!$H$15,$D349&lt;=前提条件!$I$15),OR($D349&gt;=前提条件!$H$15,$D349&lt;=前提条件!$I$15)),1,0)</f>
        <v>1</v>
      </c>
    </row>
    <row r="350" customFormat="false" ht="15" hidden="false" customHeight="false" outlineLevel="0" collapsed="false">
      <c r="A350" s="48" t="n">
        <v>12</v>
      </c>
      <c r="B350" s="48" t="n">
        <v>13</v>
      </c>
      <c r="C350" s="48" t="str">
        <f aca="false">A350&amp;"/"&amp;B350</f>
        <v>12/13</v>
      </c>
      <c r="D350" s="48" t="n">
        <f aca="false">A350*100+B350</f>
        <v>1213</v>
      </c>
      <c r="E350" s="45" t="n">
        <f aca="false">IF(SUM(J350:K350)&gt;0,前提条件!$B$6,前提条件!$B$8)</f>
        <v>6</v>
      </c>
      <c r="F350" s="48" t="str">
        <f aca="false">IFERROR(INDEX(前提条件!$B$12:$B$15,MATCH(1,L350:O350,0)),"未設定")</f>
        <v>標準形</v>
      </c>
      <c r="G350" s="48" t="str">
        <f aca="false">IFERROR(INDEX(前提条件!$C$12:$C$15,MATCH(1,L350:O350,0)),"未設定")</f>
        <v>冬期</v>
      </c>
      <c r="H350" s="44" t="str">
        <f aca="false">"S値+"&amp;E350&amp;"／"&amp;F350&amp;"（"&amp;G350&amp;"）"</f>
        <v>S値+6／標準形（冬期）</v>
      </c>
      <c r="J350" s="14" t="n">
        <f aca="false">IF(IF(前提条件!$G$6&lt;=前提条件!$H$6,AND($D350&gt;=前提条件!$G$6,$D350&lt;=前提条件!$H$6),OR($D350&gt;=前提条件!$G$6,$D350&lt;=前提条件!$H$6)),1,0)</f>
        <v>0</v>
      </c>
      <c r="K350" s="14" t="n">
        <f aca="false">IF(IF(前提条件!$G$7&lt;=前提条件!$H$7,AND($D350&gt;=前提条件!$G$7,$D350&lt;=前提条件!$H$7),OR($D350&gt;=前提条件!$G$7,$D350&lt;=前提条件!$H$7)),1,0)</f>
        <v>1</v>
      </c>
      <c r="L350" s="14" t="n">
        <f aca="false">IF(IF(前提条件!$H$12&lt;=前提条件!$I$12,AND($D350&gt;=前提条件!$H$12,$D350&lt;=前提条件!$I$12),OR($D350&gt;=前提条件!$H$12,$D350&lt;=前提条件!$I$12)),1,0)</f>
        <v>0</v>
      </c>
      <c r="M350" s="14" t="n">
        <f aca="false">IF(IF(前提条件!$H$13&lt;=前提条件!$I$13,AND($D350&gt;=前提条件!$H$13,$D350&lt;=前提条件!$I$13),OR($D350&gt;=前提条件!$H$13,$D350&lt;=前提条件!$I$13)),1,0)</f>
        <v>0</v>
      </c>
      <c r="N350" s="14" t="n">
        <f aca="false">IF(IF(前提条件!$H$14&lt;=前提条件!$I$14,AND($D350&gt;=前提条件!$H$14,$D350&lt;=前提条件!$I$14),OR($D350&gt;=前提条件!$H$14,$D350&lt;=前提条件!$I$14)),1,0)</f>
        <v>0</v>
      </c>
      <c r="O350" s="14" t="n">
        <f aca="false">IF(IF(前提条件!$H$15&lt;=前提条件!$I$15,AND($D350&gt;=前提条件!$H$15,$D350&lt;=前提条件!$I$15),OR($D350&gt;=前提条件!$H$15,$D350&lt;=前提条件!$I$15)),1,0)</f>
        <v>1</v>
      </c>
    </row>
    <row r="351" customFormat="false" ht="15" hidden="false" customHeight="false" outlineLevel="0" collapsed="false">
      <c r="A351" s="48" t="n">
        <v>12</v>
      </c>
      <c r="B351" s="48" t="n">
        <v>14</v>
      </c>
      <c r="C351" s="48" t="str">
        <f aca="false">A351&amp;"/"&amp;B351</f>
        <v>12/14</v>
      </c>
      <c r="D351" s="48" t="n">
        <f aca="false">A351*100+B351</f>
        <v>1214</v>
      </c>
      <c r="E351" s="45" t="n">
        <f aca="false">IF(SUM(J351:K351)&gt;0,前提条件!$B$6,前提条件!$B$8)</f>
        <v>6</v>
      </c>
      <c r="F351" s="48" t="str">
        <f aca="false">IFERROR(INDEX(前提条件!$B$12:$B$15,MATCH(1,L351:O351,0)),"未設定")</f>
        <v>標準形</v>
      </c>
      <c r="G351" s="48" t="str">
        <f aca="false">IFERROR(INDEX(前提条件!$C$12:$C$15,MATCH(1,L351:O351,0)),"未設定")</f>
        <v>冬期</v>
      </c>
      <c r="H351" s="44" t="str">
        <f aca="false">"S値+"&amp;E351&amp;"／"&amp;F351&amp;"（"&amp;G351&amp;"）"</f>
        <v>S値+6／標準形（冬期）</v>
      </c>
      <c r="J351" s="14" t="n">
        <f aca="false">IF(IF(前提条件!$G$6&lt;=前提条件!$H$6,AND($D351&gt;=前提条件!$G$6,$D351&lt;=前提条件!$H$6),OR($D351&gt;=前提条件!$G$6,$D351&lt;=前提条件!$H$6)),1,0)</f>
        <v>0</v>
      </c>
      <c r="K351" s="14" t="n">
        <f aca="false">IF(IF(前提条件!$G$7&lt;=前提条件!$H$7,AND($D351&gt;=前提条件!$G$7,$D351&lt;=前提条件!$H$7),OR($D351&gt;=前提条件!$G$7,$D351&lt;=前提条件!$H$7)),1,0)</f>
        <v>1</v>
      </c>
      <c r="L351" s="14" t="n">
        <f aca="false">IF(IF(前提条件!$H$12&lt;=前提条件!$I$12,AND($D351&gt;=前提条件!$H$12,$D351&lt;=前提条件!$I$12),OR($D351&gt;=前提条件!$H$12,$D351&lt;=前提条件!$I$12)),1,0)</f>
        <v>0</v>
      </c>
      <c r="M351" s="14" t="n">
        <f aca="false">IF(IF(前提条件!$H$13&lt;=前提条件!$I$13,AND($D351&gt;=前提条件!$H$13,$D351&lt;=前提条件!$I$13),OR($D351&gt;=前提条件!$H$13,$D351&lt;=前提条件!$I$13)),1,0)</f>
        <v>0</v>
      </c>
      <c r="N351" s="14" t="n">
        <f aca="false">IF(IF(前提条件!$H$14&lt;=前提条件!$I$14,AND($D351&gt;=前提条件!$H$14,$D351&lt;=前提条件!$I$14),OR($D351&gt;=前提条件!$H$14,$D351&lt;=前提条件!$I$14)),1,0)</f>
        <v>0</v>
      </c>
      <c r="O351" s="14" t="n">
        <f aca="false">IF(IF(前提条件!$H$15&lt;=前提条件!$I$15,AND($D351&gt;=前提条件!$H$15,$D351&lt;=前提条件!$I$15),OR($D351&gt;=前提条件!$H$15,$D351&lt;=前提条件!$I$15)),1,0)</f>
        <v>1</v>
      </c>
    </row>
    <row r="352" customFormat="false" ht="15" hidden="false" customHeight="false" outlineLevel="0" collapsed="false">
      <c r="A352" s="48" t="n">
        <v>12</v>
      </c>
      <c r="B352" s="48" t="n">
        <v>15</v>
      </c>
      <c r="C352" s="48" t="str">
        <f aca="false">A352&amp;"/"&amp;B352</f>
        <v>12/15</v>
      </c>
      <c r="D352" s="48" t="n">
        <f aca="false">A352*100+B352</f>
        <v>1215</v>
      </c>
      <c r="E352" s="45" t="n">
        <f aca="false">IF(SUM(J352:K352)&gt;0,前提条件!$B$6,前提条件!$B$8)</f>
        <v>6</v>
      </c>
      <c r="F352" s="48" t="str">
        <f aca="false">IFERROR(INDEX(前提条件!$B$12:$B$15,MATCH(1,L352:O352,0)),"未設定")</f>
        <v>標準形</v>
      </c>
      <c r="G352" s="48" t="str">
        <f aca="false">IFERROR(INDEX(前提条件!$C$12:$C$15,MATCH(1,L352:O352,0)),"未設定")</f>
        <v>冬期</v>
      </c>
      <c r="H352" s="44" t="str">
        <f aca="false">"S値+"&amp;E352&amp;"／"&amp;F352&amp;"（"&amp;G352&amp;"）"</f>
        <v>S値+6／標準形（冬期）</v>
      </c>
      <c r="J352" s="14" t="n">
        <f aca="false">IF(IF(前提条件!$G$6&lt;=前提条件!$H$6,AND($D352&gt;=前提条件!$G$6,$D352&lt;=前提条件!$H$6),OR($D352&gt;=前提条件!$G$6,$D352&lt;=前提条件!$H$6)),1,0)</f>
        <v>0</v>
      </c>
      <c r="K352" s="14" t="n">
        <f aca="false">IF(IF(前提条件!$G$7&lt;=前提条件!$H$7,AND($D352&gt;=前提条件!$G$7,$D352&lt;=前提条件!$H$7),OR($D352&gt;=前提条件!$G$7,$D352&lt;=前提条件!$H$7)),1,0)</f>
        <v>1</v>
      </c>
      <c r="L352" s="14" t="n">
        <f aca="false">IF(IF(前提条件!$H$12&lt;=前提条件!$I$12,AND($D352&gt;=前提条件!$H$12,$D352&lt;=前提条件!$I$12),OR($D352&gt;=前提条件!$H$12,$D352&lt;=前提条件!$I$12)),1,0)</f>
        <v>0</v>
      </c>
      <c r="M352" s="14" t="n">
        <f aca="false">IF(IF(前提条件!$H$13&lt;=前提条件!$I$13,AND($D352&gt;=前提条件!$H$13,$D352&lt;=前提条件!$I$13),OR($D352&gt;=前提条件!$H$13,$D352&lt;=前提条件!$I$13)),1,0)</f>
        <v>0</v>
      </c>
      <c r="N352" s="14" t="n">
        <f aca="false">IF(IF(前提条件!$H$14&lt;=前提条件!$I$14,AND($D352&gt;=前提条件!$H$14,$D352&lt;=前提条件!$I$14),OR($D352&gt;=前提条件!$H$14,$D352&lt;=前提条件!$I$14)),1,0)</f>
        <v>0</v>
      </c>
      <c r="O352" s="14" t="n">
        <f aca="false">IF(IF(前提条件!$H$15&lt;=前提条件!$I$15,AND($D352&gt;=前提条件!$H$15,$D352&lt;=前提条件!$I$15),OR($D352&gt;=前提条件!$H$15,$D352&lt;=前提条件!$I$15)),1,0)</f>
        <v>1</v>
      </c>
    </row>
    <row r="353" customFormat="false" ht="15" hidden="false" customHeight="false" outlineLevel="0" collapsed="false">
      <c r="A353" s="48" t="n">
        <v>12</v>
      </c>
      <c r="B353" s="48" t="n">
        <v>16</v>
      </c>
      <c r="C353" s="48" t="str">
        <f aca="false">A353&amp;"/"&amp;B353</f>
        <v>12/16</v>
      </c>
      <c r="D353" s="48" t="n">
        <f aca="false">A353*100+B353</f>
        <v>1216</v>
      </c>
      <c r="E353" s="45" t="n">
        <f aca="false">IF(SUM(J353:K353)&gt;0,前提条件!$B$6,前提条件!$B$8)</f>
        <v>6</v>
      </c>
      <c r="F353" s="48" t="str">
        <f aca="false">IFERROR(INDEX(前提条件!$B$12:$B$15,MATCH(1,L353:O353,0)),"未設定")</f>
        <v>標準形</v>
      </c>
      <c r="G353" s="48" t="str">
        <f aca="false">IFERROR(INDEX(前提条件!$C$12:$C$15,MATCH(1,L353:O353,0)),"未設定")</f>
        <v>冬期</v>
      </c>
      <c r="H353" s="44" t="str">
        <f aca="false">"S値+"&amp;E353&amp;"／"&amp;F353&amp;"（"&amp;G353&amp;"）"</f>
        <v>S値+6／標準形（冬期）</v>
      </c>
      <c r="J353" s="14" t="n">
        <f aca="false">IF(IF(前提条件!$G$6&lt;=前提条件!$H$6,AND($D353&gt;=前提条件!$G$6,$D353&lt;=前提条件!$H$6),OR($D353&gt;=前提条件!$G$6,$D353&lt;=前提条件!$H$6)),1,0)</f>
        <v>0</v>
      </c>
      <c r="K353" s="14" t="n">
        <f aca="false">IF(IF(前提条件!$G$7&lt;=前提条件!$H$7,AND($D353&gt;=前提条件!$G$7,$D353&lt;=前提条件!$H$7),OR($D353&gt;=前提条件!$G$7,$D353&lt;=前提条件!$H$7)),1,0)</f>
        <v>1</v>
      </c>
      <c r="L353" s="14" t="n">
        <f aca="false">IF(IF(前提条件!$H$12&lt;=前提条件!$I$12,AND($D353&gt;=前提条件!$H$12,$D353&lt;=前提条件!$I$12),OR($D353&gt;=前提条件!$H$12,$D353&lt;=前提条件!$I$12)),1,0)</f>
        <v>0</v>
      </c>
      <c r="M353" s="14" t="n">
        <f aca="false">IF(IF(前提条件!$H$13&lt;=前提条件!$I$13,AND($D353&gt;=前提条件!$H$13,$D353&lt;=前提条件!$I$13),OR($D353&gt;=前提条件!$H$13,$D353&lt;=前提条件!$I$13)),1,0)</f>
        <v>0</v>
      </c>
      <c r="N353" s="14" t="n">
        <f aca="false">IF(IF(前提条件!$H$14&lt;=前提条件!$I$14,AND($D353&gt;=前提条件!$H$14,$D353&lt;=前提条件!$I$14),OR($D353&gt;=前提条件!$H$14,$D353&lt;=前提条件!$I$14)),1,0)</f>
        <v>0</v>
      </c>
      <c r="O353" s="14" t="n">
        <f aca="false">IF(IF(前提条件!$H$15&lt;=前提条件!$I$15,AND($D353&gt;=前提条件!$H$15,$D353&lt;=前提条件!$I$15),OR($D353&gt;=前提条件!$H$15,$D353&lt;=前提条件!$I$15)),1,0)</f>
        <v>1</v>
      </c>
    </row>
    <row r="354" customFormat="false" ht="15" hidden="false" customHeight="false" outlineLevel="0" collapsed="false">
      <c r="A354" s="48" t="n">
        <v>12</v>
      </c>
      <c r="B354" s="48" t="n">
        <v>17</v>
      </c>
      <c r="C354" s="48" t="str">
        <f aca="false">A354&amp;"/"&amp;B354</f>
        <v>12/17</v>
      </c>
      <c r="D354" s="48" t="n">
        <f aca="false">A354*100+B354</f>
        <v>1217</v>
      </c>
      <c r="E354" s="45" t="n">
        <f aca="false">IF(SUM(J354:K354)&gt;0,前提条件!$B$6,前提条件!$B$8)</f>
        <v>6</v>
      </c>
      <c r="F354" s="48" t="str">
        <f aca="false">IFERROR(INDEX(前提条件!$B$12:$B$15,MATCH(1,L354:O354,0)),"未設定")</f>
        <v>標準形</v>
      </c>
      <c r="G354" s="48" t="str">
        <f aca="false">IFERROR(INDEX(前提条件!$C$12:$C$15,MATCH(1,L354:O354,0)),"未設定")</f>
        <v>冬期</v>
      </c>
      <c r="H354" s="44" t="str">
        <f aca="false">"S値+"&amp;E354&amp;"／"&amp;F354&amp;"（"&amp;G354&amp;"）"</f>
        <v>S値+6／標準形（冬期）</v>
      </c>
      <c r="J354" s="14" t="n">
        <f aca="false">IF(IF(前提条件!$G$6&lt;=前提条件!$H$6,AND($D354&gt;=前提条件!$G$6,$D354&lt;=前提条件!$H$6),OR($D354&gt;=前提条件!$G$6,$D354&lt;=前提条件!$H$6)),1,0)</f>
        <v>0</v>
      </c>
      <c r="K354" s="14" t="n">
        <f aca="false">IF(IF(前提条件!$G$7&lt;=前提条件!$H$7,AND($D354&gt;=前提条件!$G$7,$D354&lt;=前提条件!$H$7),OR($D354&gt;=前提条件!$G$7,$D354&lt;=前提条件!$H$7)),1,0)</f>
        <v>1</v>
      </c>
      <c r="L354" s="14" t="n">
        <f aca="false">IF(IF(前提条件!$H$12&lt;=前提条件!$I$12,AND($D354&gt;=前提条件!$H$12,$D354&lt;=前提条件!$I$12),OR($D354&gt;=前提条件!$H$12,$D354&lt;=前提条件!$I$12)),1,0)</f>
        <v>0</v>
      </c>
      <c r="M354" s="14" t="n">
        <f aca="false">IF(IF(前提条件!$H$13&lt;=前提条件!$I$13,AND($D354&gt;=前提条件!$H$13,$D354&lt;=前提条件!$I$13),OR($D354&gt;=前提条件!$H$13,$D354&lt;=前提条件!$I$13)),1,0)</f>
        <v>0</v>
      </c>
      <c r="N354" s="14" t="n">
        <f aca="false">IF(IF(前提条件!$H$14&lt;=前提条件!$I$14,AND($D354&gt;=前提条件!$H$14,$D354&lt;=前提条件!$I$14),OR($D354&gt;=前提条件!$H$14,$D354&lt;=前提条件!$I$14)),1,0)</f>
        <v>0</v>
      </c>
      <c r="O354" s="14" t="n">
        <f aca="false">IF(IF(前提条件!$H$15&lt;=前提条件!$I$15,AND($D354&gt;=前提条件!$H$15,$D354&lt;=前提条件!$I$15),OR($D354&gt;=前提条件!$H$15,$D354&lt;=前提条件!$I$15)),1,0)</f>
        <v>1</v>
      </c>
    </row>
    <row r="355" customFormat="false" ht="15" hidden="false" customHeight="false" outlineLevel="0" collapsed="false">
      <c r="A355" s="48" t="n">
        <v>12</v>
      </c>
      <c r="B355" s="48" t="n">
        <v>18</v>
      </c>
      <c r="C355" s="48" t="str">
        <f aca="false">A355&amp;"/"&amp;B355</f>
        <v>12/18</v>
      </c>
      <c r="D355" s="48" t="n">
        <f aca="false">A355*100+B355</f>
        <v>1218</v>
      </c>
      <c r="E355" s="45" t="n">
        <f aca="false">IF(SUM(J355:K355)&gt;0,前提条件!$B$6,前提条件!$B$8)</f>
        <v>6</v>
      </c>
      <c r="F355" s="48" t="str">
        <f aca="false">IFERROR(INDEX(前提条件!$B$12:$B$15,MATCH(1,L355:O355,0)),"未設定")</f>
        <v>標準形</v>
      </c>
      <c r="G355" s="48" t="str">
        <f aca="false">IFERROR(INDEX(前提条件!$C$12:$C$15,MATCH(1,L355:O355,0)),"未設定")</f>
        <v>冬期</v>
      </c>
      <c r="H355" s="44" t="str">
        <f aca="false">"S値+"&amp;E355&amp;"／"&amp;F355&amp;"（"&amp;G355&amp;"）"</f>
        <v>S値+6／標準形（冬期）</v>
      </c>
      <c r="J355" s="14" t="n">
        <f aca="false">IF(IF(前提条件!$G$6&lt;=前提条件!$H$6,AND($D355&gt;=前提条件!$G$6,$D355&lt;=前提条件!$H$6),OR($D355&gt;=前提条件!$G$6,$D355&lt;=前提条件!$H$6)),1,0)</f>
        <v>0</v>
      </c>
      <c r="K355" s="14" t="n">
        <f aca="false">IF(IF(前提条件!$G$7&lt;=前提条件!$H$7,AND($D355&gt;=前提条件!$G$7,$D355&lt;=前提条件!$H$7),OR($D355&gt;=前提条件!$G$7,$D355&lt;=前提条件!$H$7)),1,0)</f>
        <v>1</v>
      </c>
      <c r="L355" s="14" t="n">
        <f aca="false">IF(IF(前提条件!$H$12&lt;=前提条件!$I$12,AND($D355&gt;=前提条件!$H$12,$D355&lt;=前提条件!$I$12),OR($D355&gt;=前提条件!$H$12,$D355&lt;=前提条件!$I$12)),1,0)</f>
        <v>0</v>
      </c>
      <c r="M355" s="14" t="n">
        <f aca="false">IF(IF(前提条件!$H$13&lt;=前提条件!$I$13,AND($D355&gt;=前提条件!$H$13,$D355&lt;=前提条件!$I$13),OR($D355&gt;=前提条件!$H$13,$D355&lt;=前提条件!$I$13)),1,0)</f>
        <v>0</v>
      </c>
      <c r="N355" s="14" t="n">
        <f aca="false">IF(IF(前提条件!$H$14&lt;=前提条件!$I$14,AND($D355&gt;=前提条件!$H$14,$D355&lt;=前提条件!$I$14),OR($D355&gt;=前提条件!$H$14,$D355&lt;=前提条件!$I$14)),1,0)</f>
        <v>0</v>
      </c>
      <c r="O355" s="14" t="n">
        <f aca="false">IF(IF(前提条件!$H$15&lt;=前提条件!$I$15,AND($D355&gt;=前提条件!$H$15,$D355&lt;=前提条件!$I$15),OR($D355&gt;=前提条件!$H$15,$D355&lt;=前提条件!$I$15)),1,0)</f>
        <v>1</v>
      </c>
    </row>
    <row r="356" customFormat="false" ht="15" hidden="false" customHeight="false" outlineLevel="0" collapsed="false">
      <c r="A356" s="48" t="n">
        <v>12</v>
      </c>
      <c r="B356" s="48" t="n">
        <v>19</v>
      </c>
      <c r="C356" s="48" t="str">
        <f aca="false">A356&amp;"/"&amp;B356</f>
        <v>12/19</v>
      </c>
      <c r="D356" s="48" t="n">
        <f aca="false">A356*100+B356</f>
        <v>1219</v>
      </c>
      <c r="E356" s="45" t="n">
        <f aca="false">IF(SUM(J356:K356)&gt;0,前提条件!$B$6,前提条件!$B$8)</f>
        <v>6</v>
      </c>
      <c r="F356" s="48" t="str">
        <f aca="false">IFERROR(INDEX(前提条件!$B$12:$B$15,MATCH(1,L356:O356,0)),"未設定")</f>
        <v>標準形</v>
      </c>
      <c r="G356" s="48" t="str">
        <f aca="false">IFERROR(INDEX(前提条件!$C$12:$C$15,MATCH(1,L356:O356,0)),"未設定")</f>
        <v>冬期</v>
      </c>
      <c r="H356" s="44" t="str">
        <f aca="false">"S値+"&amp;E356&amp;"／"&amp;F356&amp;"（"&amp;G356&amp;"）"</f>
        <v>S値+6／標準形（冬期）</v>
      </c>
      <c r="J356" s="14" t="n">
        <f aca="false">IF(IF(前提条件!$G$6&lt;=前提条件!$H$6,AND($D356&gt;=前提条件!$G$6,$D356&lt;=前提条件!$H$6),OR($D356&gt;=前提条件!$G$6,$D356&lt;=前提条件!$H$6)),1,0)</f>
        <v>0</v>
      </c>
      <c r="K356" s="14" t="n">
        <f aca="false">IF(IF(前提条件!$G$7&lt;=前提条件!$H$7,AND($D356&gt;=前提条件!$G$7,$D356&lt;=前提条件!$H$7),OR($D356&gt;=前提条件!$G$7,$D356&lt;=前提条件!$H$7)),1,0)</f>
        <v>1</v>
      </c>
      <c r="L356" s="14" t="n">
        <f aca="false">IF(IF(前提条件!$H$12&lt;=前提条件!$I$12,AND($D356&gt;=前提条件!$H$12,$D356&lt;=前提条件!$I$12),OR($D356&gt;=前提条件!$H$12,$D356&lt;=前提条件!$I$12)),1,0)</f>
        <v>0</v>
      </c>
      <c r="M356" s="14" t="n">
        <f aca="false">IF(IF(前提条件!$H$13&lt;=前提条件!$I$13,AND($D356&gt;=前提条件!$H$13,$D356&lt;=前提条件!$I$13),OR($D356&gt;=前提条件!$H$13,$D356&lt;=前提条件!$I$13)),1,0)</f>
        <v>0</v>
      </c>
      <c r="N356" s="14" t="n">
        <f aca="false">IF(IF(前提条件!$H$14&lt;=前提条件!$I$14,AND($D356&gt;=前提条件!$H$14,$D356&lt;=前提条件!$I$14),OR($D356&gt;=前提条件!$H$14,$D356&lt;=前提条件!$I$14)),1,0)</f>
        <v>0</v>
      </c>
      <c r="O356" s="14" t="n">
        <f aca="false">IF(IF(前提条件!$H$15&lt;=前提条件!$I$15,AND($D356&gt;=前提条件!$H$15,$D356&lt;=前提条件!$I$15),OR($D356&gt;=前提条件!$H$15,$D356&lt;=前提条件!$I$15)),1,0)</f>
        <v>1</v>
      </c>
    </row>
    <row r="357" customFormat="false" ht="15" hidden="false" customHeight="false" outlineLevel="0" collapsed="false">
      <c r="A357" s="48" t="n">
        <v>12</v>
      </c>
      <c r="B357" s="48" t="n">
        <v>20</v>
      </c>
      <c r="C357" s="48" t="str">
        <f aca="false">A357&amp;"/"&amp;B357</f>
        <v>12/20</v>
      </c>
      <c r="D357" s="48" t="n">
        <f aca="false">A357*100+B357</f>
        <v>1220</v>
      </c>
      <c r="E357" s="45" t="n">
        <f aca="false">IF(SUM(J357:K357)&gt;0,前提条件!$B$6,前提条件!$B$8)</f>
        <v>6</v>
      </c>
      <c r="F357" s="48" t="str">
        <f aca="false">IFERROR(INDEX(前提条件!$B$12:$B$15,MATCH(1,L357:O357,0)),"未設定")</f>
        <v>標準形</v>
      </c>
      <c r="G357" s="48" t="str">
        <f aca="false">IFERROR(INDEX(前提条件!$C$12:$C$15,MATCH(1,L357:O357,0)),"未設定")</f>
        <v>冬期</v>
      </c>
      <c r="H357" s="44" t="str">
        <f aca="false">"S値+"&amp;E357&amp;"／"&amp;F357&amp;"（"&amp;G357&amp;"）"</f>
        <v>S値+6／標準形（冬期）</v>
      </c>
      <c r="J357" s="14" t="n">
        <f aca="false">IF(IF(前提条件!$G$6&lt;=前提条件!$H$6,AND($D357&gt;=前提条件!$G$6,$D357&lt;=前提条件!$H$6),OR($D357&gt;=前提条件!$G$6,$D357&lt;=前提条件!$H$6)),1,0)</f>
        <v>0</v>
      </c>
      <c r="K357" s="14" t="n">
        <f aca="false">IF(IF(前提条件!$G$7&lt;=前提条件!$H$7,AND($D357&gt;=前提条件!$G$7,$D357&lt;=前提条件!$H$7),OR($D357&gt;=前提条件!$G$7,$D357&lt;=前提条件!$H$7)),1,0)</f>
        <v>1</v>
      </c>
      <c r="L357" s="14" t="n">
        <f aca="false">IF(IF(前提条件!$H$12&lt;=前提条件!$I$12,AND($D357&gt;=前提条件!$H$12,$D357&lt;=前提条件!$I$12),OR($D357&gt;=前提条件!$H$12,$D357&lt;=前提条件!$I$12)),1,0)</f>
        <v>0</v>
      </c>
      <c r="M357" s="14" t="n">
        <f aca="false">IF(IF(前提条件!$H$13&lt;=前提条件!$I$13,AND($D357&gt;=前提条件!$H$13,$D357&lt;=前提条件!$I$13),OR($D357&gt;=前提条件!$H$13,$D357&lt;=前提条件!$I$13)),1,0)</f>
        <v>0</v>
      </c>
      <c r="N357" s="14" t="n">
        <f aca="false">IF(IF(前提条件!$H$14&lt;=前提条件!$I$14,AND($D357&gt;=前提条件!$H$14,$D357&lt;=前提条件!$I$14),OR($D357&gt;=前提条件!$H$14,$D357&lt;=前提条件!$I$14)),1,0)</f>
        <v>0</v>
      </c>
      <c r="O357" s="14" t="n">
        <f aca="false">IF(IF(前提条件!$H$15&lt;=前提条件!$I$15,AND($D357&gt;=前提条件!$H$15,$D357&lt;=前提条件!$I$15),OR($D357&gt;=前提条件!$H$15,$D357&lt;=前提条件!$I$15)),1,0)</f>
        <v>1</v>
      </c>
    </row>
    <row r="358" customFormat="false" ht="15" hidden="false" customHeight="false" outlineLevel="0" collapsed="false">
      <c r="A358" s="48" t="n">
        <v>12</v>
      </c>
      <c r="B358" s="48" t="n">
        <v>21</v>
      </c>
      <c r="C358" s="48" t="str">
        <f aca="false">A358&amp;"/"&amp;B358</f>
        <v>12/21</v>
      </c>
      <c r="D358" s="48" t="n">
        <f aca="false">A358*100+B358</f>
        <v>1221</v>
      </c>
      <c r="E358" s="45" t="n">
        <f aca="false">IF(SUM(J358:K358)&gt;0,前提条件!$B$6,前提条件!$B$8)</f>
        <v>6</v>
      </c>
      <c r="F358" s="48" t="str">
        <f aca="false">IFERROR(INDEX(前提条件!$B$12:$B$15,MATCH(1,L358:O358,0)),"未設定")</f>
        <v>標準形</v>
      </c>
      <c r="G358" s="48" t="str">
        <f aca="false">IFERROR(INDEX(前提条件!$C$12:$C$15,MATCH(1,L358:O358,0)),"未設定")</f>
        <v>冬期</v>
      </c>
      <c r="H358" s="44" t="str">
        <f aca="false">"S値+"&amp;E358&amp;"／"&amp;F358&amp;"（"&amp;G358&amp;"）"</f>
        <v>S値+6／標準形（冬期）</v>
      </c>
      <c r="J358" s="14" t="n">
        <f aca="false">IF(IF(前提条件!$G$6&lt;=前提条件!$H$6,AND($D358&gt;=前提条件!$G$6,$D358&lt;=前提条件!$H$6),OR($D358&gt;=前提条件!$G$6,$D358&lt;=前提条件!$H$6)),1,0)</f>
        <v>0</v>
      </c>
      <c r="K358" s="14" t="n">
        <f aca="false">IF(IF(前提条件!$G$7&lt;=前提条件!$H$7,AND($D358&gt;=前提条件!$G$7,$D358&lt;=前提条件!$H$7),OR($D358&gt;=前提条件!$G$7,$D358&lt;=前提条件!$H$7)),1,0)</f>
        <v>1</v>
      </c>
      <c r="L358" s="14" t="n">
        <f aca="false">IF(IF(前提条件!$H$12&lt;=前提条件!$I$12,AND($D358&gt;=前提条件!$H$12,$D358&lt;=前提条件!$I$12),OR($D358&gt;=前提条件!$H$12,$D358&lt;=前提条件!$I$12)),1,0)</f>
        <v>0</v>
      </c>
      <c r="M358" s="14" t="n">
        <f aca="false">IF(IF(前提条件!$H$13&lt;=前提条件!$I$13,AND($D358&gt;=前提条件!$H$13,$D358&lt;=前提条件!$I$13),OR($D358&gt;=前提条件!$H$13,$D358&lt;=前提条件!$I$13)),1,0)</f>
        <v>0</v>
      </c>
      <c r="N358" s="14" t="n">
        <f aca="false">IF(IF(前提条件!$H$14&lt;=前提条件!$I$14,AND($D358&gt;=前提条件!$H$14,$D358&lt;=前提条件!$I$14),OR($D358&gt;=前提条件!$H$14,$D358&lt;=前提条件!$I$14)),1,0)</f>
        <v>0</v>
      </c>
      <c r="O358" s="14" t="n">
        <f aca="false">IF(IF(前提条件!$H$15&lt;=前提条件!$I$15,AND($D358&gt;=前提条件!$H$15,$D358&lt;=前提条件!$I$15),OR($D358&gt;=前提条件!$H$15,$D358&lt;=前提条件!$I$15)),1,0)</f>
        <v>1</v>
      </c>
    </row>
    <row r="359" customFormat="false" ht="15" hidden="false" customHeight="false" outlineLevel="0" collapsed="false">
      <c r="A359" s="48" t="n">
        <v>12</v>
      </c>
      <c r="B359" s="48" t="n">
        <v>22</v>
      </c>
      <c r="C359" s="48" t="str">
        <f aca="false">A359&amp;"/"&amp;B359</f>
        <v>12/22</v>
      </c>
      <c r="D359" s="48" t="n">
        <f aca="false">A359*100+B359</f>
        <v>1222</v>
      </c>
      <c r="E359" s="45" t="n">
        <f aca="false">IF(SUM(J359:K359)&gt;0,前提条件!$B$6,前提条件!$B$8)</f>
        <v>6</v>
      </c>
      <c r="F359" s="48" t="str">
        <f aca="false">IFERROR(INDEX(前提条件!$B$12:$B$15,MATCH(1,L359:O359,0)),"未設定")</f>
        <v>標準形</v>
      </c>
      <c r="G359" s="48" t="str">
        <f aca="false">IFERROR(INDEX(前提条件!$C$12:$C$15,MATCH(1,L359:O359,0)),"未設定")</f>
        <v>冬期</v>
      </c>
      <c r="H359" s="44" t="str">
        <f aca="false">"S値+"&amp;E359&amp;"／"&amp;F359&amp;"（"&amp;G359&amp;"）"</f>
        <v>S値+6／標準形（冬期）</v>
      </c>
      <c r="J359" s="14" t="n">
        <f aca="false">IF(IF(前提条件!$G$6&lt;=前提条件!$H$6,AND($D359&gt;=前提条件!$G$6,$D359&lt;=前提条件!$H$6),OR($D359&gt;=前提条件!$G$6,$D359&lt;=前提条件!$H$6)),1,0)</f>
        <v>0</v>
      </c>
      <c r="K359" s="14" t="n">
        <f aca="false">IF(IF(前提条件!$G$7&lt;=前提条件!$H$7,AND($D359&gt;=前提条件!$G$7,$D359&lt;=前提条件!$H$7),OR($D359&gt;=前提条件!$G$7,$D359&lt;=前提条件!$H$7)),1,0)</f>
        <v>1</v>
      </c>
      <c r="L359" s="14" t="n">
        <f aca="false">IF(IF(前提条件!$H$12&lt;=前提条件!$I$12,AND($D359&gt;=前提条件!$H$12,$D359&lt;=前提条件!$I$12),OR($D359&gt;=前提条件!$H$12,$D359&lt;=前提条件!$I$12)),1,0)</f>
        <v>0</v>
      </c>
      <c r="M359" s="14" t="n">
        <f aca="false">IF(IF(前提条件!$H$13&lt;=前提条件!$I$13,AND($D359&gt;=前提条件!$H$13,$D359&lt;=前提条件!$I$13),OR($D359&gt;=前提条件!$H$13,$D359&lt;=前提条件!$I$13)),1,0)</f>
        <v>0</v>
      </c>
      <c r="N359" s="14" t="n">
        <f aca="false">IF(IF(前提条件!$H$14&lt;=前提条件!$I$14,AND($D359&gt;=前提条件!$H$14,$D359&lt;=前提条件!$I$14),OR($D359&gt;=前提条件!$H$14,$D359&lt;=前提条件!$I$14)),1,0)</f>
        <v>0</v>
      </c>
      <c r="O359" s="14" t="n">
        <f aca="false">IF(IF(前提条件!$H$15&lt;=前提条件!$I$15,AND($D359&gt;=前提条件!$H$15,$D359&lt;=前提条件!$I$15),OR($D359&gt;=前提条件!$H$15,$D359&lt;=前提条件!$I$15)),1,0)</f>
        <v>1</v>
      </c>
    </row>
    <row r="360" customFormat="false" ht="15" hidden="false" customHeight="false" outlineLevel="0" collapsed="false">
      <c r="A360" s="48" t="n">
        <v>12</v>
      </c>
      <c r="B360" s="48" t="n">
        <v>23</v>
      </c>
      <c r="C360" s="48" t="str">
        <f aca="false">A360&amp;"/"&amp;B360</f>
        <v>12/23</v>
      </c>
      <c r="D360" s="48" t="n">
        <f aca="false">A360*100+B360</f>
        <v>1223</v>
      </c>
      <c r="E360" s="45" t="n">
        <f aca="false">IF(SUM(J360:K360)&gt;0,前提条件!$B$6,前提条件!$B$8)</f>
        <v>6</v>
      </c>
      <c r="F360" s="48" t="str">
        <f aca="false">IFERROR(INDEX(前提条件!$B$12:$B$15,MATCH(1,L360:O360,0)),"未設定")</f>
        <v>標準形</v>
      </c>
      <c r="G360" s="48" t="str">
        <f aca="false">IFERROR(INDEX(前提条件!$C$12:$C$15,MATCH(1,L360:O360,0)),"未設定")</f>
        <v>冬期</v>
      </c>
      <c r="H360" s="44" t="str">
        <f aca="false">"S値+"&amp;E360&amp;"／"&amp;F360&amp;"（"&amp;G360&amp;"）"</f>
        <v>S値+6／標準形（冬期）</v>
      </c>
      <c r="J360" s="14" t="n">
        <f aca="false">IF(IF(前提条件!$G$6&lt;=前提条件!$H$6,AND($D360&gt;=前提条件!$G$6,$D360&lt;=前提条件!$H$6),OR($D360&gt;=前提条件!$G$6,$D360&lt;=前提条件!$H$6)),1,0)</f>
        <v>0</v>
      </c>
      <c r="K360" s="14" t="n">
        <f aca="false">IF(IF(前提条件!$G$7&lt;=前提条件!$H$7,AND($D360&gt;=前提条件!$G$7,$D360&lt;=前提条件!$H$7),OR($D360&gt;=前提条件!$G$7,$D360&lt;=前提条件!$H$7)),1,0)</f>
        <v>1</v>
      </c>
      <c r="L360" s="14" t="n">
        <f aca="false">IF(IF(前提条件!$H$12&lt;=前提条件!$I$12,AND($D360&gt;=前提条件!$H$12,$D360&lt;=前提条件!$I$12),OR($D360&gt;=前提条件!$H$12,$D360&lt;=前提条件!$I$12)),1,0)</f>
        <v>0</v>
      </c>
      <c r="M360" s="14" t="n">
        <f aca="false">IF(IF(前提条件!$H$13&lt;=前提条件!$I$13,AND($D360&gt;=前提条件!$H$13,$D360&lt;=前提条件!$I$13),OR($D360&gt;=前提条件!$H$13,$D360&lt;=前提条件!$I$13)),1,0)</f>
        <v>0</v>
      </c>
      <c r="N360" s="14" t="n">
        <f aca="false">IF(IF(前提条件!$H$14&lt;=前提条件!$I$14,AND($D360&gt;=前提条件!$H$14,$D360&lt;=前提条件!$I$14),OR($D360&gt;=前提条件!$H$14,$D360&lt;=前提条件!$I$14)),1,0)</f>
        <v>0</v>
      </c>
      <c r="O360" s="14" t="n">
        <f aca="false">IF(IF(前提条件!$H$15&lt;=前提条件!$I$15,AND($D360&gt;=前提条件!$H$15,$D360&lt;=前提条件!$I$15),OR($D360&gt;=前提条件!$H$15,$D360&lt;=前提条件!$I$15)),1,0)</f>
        <v>1</v>
      </c>
    </row>
    <row r="361" customFormat="false" ht="15" hidden="false" customHeight="false" outlineLevel="0" collapsed="false">
      <c r="A361" s="48" t="n">
        <v>12</v>
      </c>
      <c r="B361" s="48" t="n">
        <v>24</v>
      </c>
      <c r="C361" s="48" t="str">
        <f aca="false">A361&amp;"/"&amp;B361</f>
        <v>12/24</v>
      </c>
      <c r="D361" s="48" t="n">
        <f aca="false">A361*100+B361</f>
        <v>1224</v>
      </c>
      <c r="E361" s="45" t="n">
        <f aca="false">IF(SUM(J361:K361)&gt;0,前提条件!$B$6,前提条件!$B$8)</f>
        <v>6</v>
      </c>
      <c r="F361" s="48" t="str">
        <f aca="false">IFERROR(INDEX(前提条件!$B$12:$B$15,MATCH(1,L361:O361,0)),"未設定")</f>
        <v>標準形</v>
      </c>
      <c r="G361" s="48" t="str">
        <f aca="false">IFERROR(INDEX(前提条件!$C$12:$C$15,MATCH(1,L361:O361,0)),"未設定")</f>
        <v>冬期</v>
      </c>
      <c r="H361" s="44" t="str">
        <f aca="false">"S値+"&amp;E361&amp;"／"&amp;F361&amp;"（"&amp;G361&amp;"）"</f>
        <v>S値+6／標準形（冬期）</v>
      </c>
      <c r="J361" s="14" t="n">
        <f aca="false">IF(IF(前提条件!$G$6&lt;=前提条件!$H$6,AND($D361&gt;=前提条件!$G$6,$D361&lt;=前提条件!$H$6),OR($D361&gt;=前提条件!$G$6,$D361&lt;=前提条件!$H$6)),1,0)</f>
        <v>0</v>
      </c>
      <c r="K361" s="14" t="n">
        <f aca="false">IF(IF(前提条件!$G$7&lt;=前提条件!$H$7,AND($D361&gt;=前提条件!$G$7,$D361&lt;=前提条件!$H$7),OR($D361&gt;=前提条件!$G$7,$D361&lt;=前提条件!$H$7)),1,0)</f>
        <v>1</v>
      </c>
      <c r="L361" s="14" t="n">
        <f aca="false">IF(IF(前提条件!$H$12&lt;=前提条件!$I$12,AND($D361&gt;=前提条件!$H$12,$D361&lt;=前提条件!$I$12),OR($D361&gt;=前提条件!$H$12,$D361&lt;=前提条件!$I$12)),1,0)</f>
        <v>0</v>
      </c>
      <c r="M361" s="14" t="n">
        <f aca="false">IF(IF(前提条件!$H$13&lt;=前提条件!$I$13,AND($D361&gt;=前提条件!$H$13,$D361&lt;=前提条件!$I$13),OR($D361&gt;=前提条件!$H$13,$D361&lt;=前提条件!$I$13)),1,0)</f>
        <v>0</v>
      </c>
      <c r="N361" s="14" t="n">
        <f aca="false">IF(IF(前提条件!$H$14&lt;=前提条件!$I$14,AND($D361&gt;=前提条件!$H$14,$D361&lt;=前提条件!$I$14),OR($D361&gt;=前提条件!$H$14,$D361&lt;=前提条件!$I$14)),1,0)</f>
        <v>0</v>
      </c>
      <c r="O361" s="14" t="n">
        <f aca="false">IF(IF(前提条件!$H$15&lt;=前提条件!$I$15,AND($D361&gt;=前提条件!$H$15,$D361&lt;=前提条件!$I$15),OR($D361&gt;=前提条件!$H$15,$D361&lt;=前提条件!$I$15)),1,0)</f>
        <v>1</v>
      </c>
    </row>
    <row r="362" customFormat="false" ht="15" hidden="false" customHeight="false" outlineLevel="0" collapsed="false">
      <c r="A362" s="48" t="n">
        <v>12</v>
      </c>
      <c r="B362" s="48" t="n">
        <v>25</v>
      </c>
      <c r="C362" s="48" t="str">
        <f aca="false">A362&amp;"/"&amp;B362</f>
        <v>12/25</v>
      </c>
      <c r="D362" s="48" t="n">
        <f aca="false">A362*100+B362</f>
        <v>1225</v>
      </c>
      <c r="E362" s="45" t="n">
        <f aca="false">IF(SUM(J362:K362)&gt;0,前提条件!$B$6,前提条件!$B$8)</f>
        <v>6</v>
      </c>
      <c r="F362" s="48" t="str">
        <f aca="false">IFERROR(INDEX(前提条件!$B$12:$B$15,MATCH(1,L362:O362,0)),"未設定")</f>
        <v>標準形</v>
      </c>
      <c r="G362" s="48" t="str">
        <f aca="false">IFERROR(INDEX(前提条件!$C$12:$C$15,MATCH(1,L362:O362,0)),"未設定")</f>
        <v>冬期</v>
      </c>
      <c r="H362" s="44" t="str">
        <f aca="false">"S値+"&amp;E362&amp;"／"&amp;F362&amp;"（"&amp;G362&amp;"）"</f>
        <v>S値+6／標準形（冬期）</v>
      </c>
      <c r="J362" s="14" t="n">
        <f aca="false">IF(IF(前提条件!$G$6&lt;=前提条件!$H$6,AND($D362&gt;=前提条件!$G$6,$D362&lt;=前提条件!$H$6),OR($D362&gt;=前提条件!$G$6,$D362&lt;=前提条件!$H$6)),1,0)</f>
        <v>0</v>
      </c>
      <c r="K362" s="14" t="n">
        <f aca="false">IF(IF(前提条件!$G$7&lt;=前提条件!$H$7,AND($D362&gt;=前提条件!$G$7,$D362&lt;=前提条件!$H$7),OR($D362&gt;=前提条件!$G$7,$D362&lt;=前提条件!$H$7)),1,0)</f>
        <v>1</v>
      </c>
      <c r="L362" s="14" t="n">
        <f aca="false">IF(IF(前提条件!$H$12&lt;=前提条件!$I$12,AND($D362&gt;=前提条件!$H$12,$D362&lt;=前提条件!$I$12),OR($D362&gt;=前提条件!$H$12,$D362&lt;=前提条件!$I$12)),1,0)</f>
        <v>0</v>
      </c>
      <c r="M362" s="14" t="n">
        <f aca="false">IF(IF(前提条件!$H$13&lt;=前提条件!$I$13,AND($D362&gt;=前提条件!$H$13,$D362&lt;=前提条件!$I$13),OR($D362&gt;=前提条件!$H$13,$D362&lt;=前提条件!$I$13)),1,0)</f>
        <v>0</v>
      </c>
      <c r="N362" s="14" t="n">
        <f aca="false">IF(IF(前提条件!$H$14&lt;=前提条件!$I$14,AND($D362&gt;=前提条件!$H$14,$D362&lt;=前提条件!$I$14),OR($D362&gt;=前提条件!$H$14,$D362&lt;=前提条件!$I$14)),1,0)</f>
        <v>0</v>
      </c>
      <c r="O362" s="14" t="n">
        <f aca="false">IF(IF(前提条件!$H$15&lt;=前提条件!$I$15,AND($D362&gt;=前提条件!$H$15,$D362&lt;=前提条件!$I$15),OR($D362&gt;=前提条件!$H$15,$D362&lt;=前提条件!$I$15)),1,0)</f>
        <v>1</v>
      </c>
    </row>
    <row r="363" customFormat="false" ht="15" hidden="false" customHeight="false" outlineLevel="0" collapsed="false">
      <c r="A363" s="48" t="n">
        <v>12</v>
      </c>
      <c r="B363" s="48" t="n">
        <v>26</v>
      </c>
      <c r="C363" s="48" t="str">
        <f aca="false">A363&amp;"/"&amp;B363</f>
        <v>12/26</v>
      </c>
      <c r="D363" s="48" t="n">
        <f aca="false">A363*100+B363</f>
        <v>1226</v>
      </c>
      <c r="E363" s="45" t="n">
        <f aca="false">IF(SUM(J363:K363)&gt;0,前提条件!$B$6,前提条件!$B$8)</f>
        <v>6</v>
      </c>
      <c r="F363" s="48" t="str">
        <f aca="false">IFERROR(INDEX(前提条件!$B$12:$B$15,MATCH(1,L363:O363,0)),"未設定")</f>
        <v>標準形</v>
      </c>
      <c r="G363" s="48" t="str">
        <f aca="false">IFERROR(INDEX(前提条件!$C$12:$C$15,MATCH(1,L363:O363,0)),"未設定")</f>
        <v>冬期</v>
      </c>
      <c r="H363" s="44" t="str">
        <f aca="false">"S値+"&amp;E363&amp;"／"&amp;F363&amp;"（"&amp;G363&amp;"）"</f>
        <v>S値+6／標準形（冬期）</v>
      </c>
      <c r="J363" s="14" t="n">
        <f aca="false">IF(IF(前提条件!$G$6&lt;=前提条件!$H$6,AND($D363&gt;=前提条件!$G$6,$D363&lt;=前提条件!$H$6),OR($D363&gt;=前提条件!$G$6,$D363&lt;=前提条件!$H$6)),1,0)</f>
        <v>0</v>
      </c>
      <c r="K363" s="14" t="n">
        <f aca="false">IF(IF(前提条件!$G$7&lt;=前提条件!$H$7,AND($D363&gt;=前提条件!$G$7,$D363&lt;=前提条件!$H$7),OR($D363&gt;=前提条件!$G$7,$D363&lt;=前提条件!$H$7)),1,0)</f>
        <v>1</v>
      </c>
      <c r="L363" s="14" t="n">
        <f aca="false">IF(IF(前提条件!$H$12&lt;=前提条件!$I$12,AND($D363&gt;=前提条件!$H$12,$D363&lt;=前提条件!$I$12),OR($D363&gt;=前提条件!$H$12,$D363&lt;=前提条件!$I$12)),1,0)</f>
        <v>0</v>
      </c>
      <c r="M363" s="14" t="n">
        <f aca="false">IF(IF(前提条件!$H$13&lt;=前提条件!$I$13,AND($D363&gt;=前提条件!$H$13,$D363&lt;=前提条件!$I$13),OR($D363&gt;=前提条件!$H$13,$D363&lt;=前提条件!$I$13)),1,0)</f>
        <v>0</v>
      </c>
      <c r="N363" s="14" t="n">
        <f aca="false">IF(IF(前提条件!$H$14&lt;=前提条件!$I$14,AND($D363&gt;=前提条件!$H$14,$D363&lt;=前提条件!$I$14),OR($D363&gt;=前提条件!$H$14,$D363&lt;=前提条件!$I$14)),1,0)</f>
        <v>0</v>
      </c>
      <c r="O363" s="14" t="n">
        <f aca="false">IF(IF(前提条件!$H$15&lt;=前提条件!$I$15,AND($D363&gt;=前提条件!$H$15,$D363&lt;=前提条件!$I$15),OR($D363&gt;=前提条件!$H$15,$D363&lt;=前提条件!$I$15)),1,0)</f>
        <v>1</v>
      </c>
    </row>
    <row r="364" customFormat="false" ht="15" hidden="false" customHeight="false" outlineLevel="0" collapsed="false">
      <c r="A364" s="48" t="n">
        <v>12</v>
      </c>
      <c r="B364" s="48" t="n">
        <v>27</v>
      </c>
      <c r="C364" s="48" t="str">
        <f aca="false">A364&amp;"/"&amp;B364</f>
        <v>12/27</v>
      </c>
      <c r="D364" s="48" t="n">
        <f aca="false">A364*100+B364</f>
        <v>1227</v>
      </c>
      <c r="E364" s="45" t="n">
        <f aca="false">IF(SUM(J364:K364)&gt;0,前提条件!$B$6,前提条件!$B$8)</f>
        <v>6</v>
      </c>
      <c r="F364" s="48" t="str">
        <f aca="false">IFERROR(INDEX(前提条件!$B$12:$B$15,MATCH(1,L364:O364,0)),"未設定")</f>
        <v>標準形</v>
      </c>
      <c r="G364" s="48" t="str">
        <f aca="false">IFERROR(INDEX(前提条件!$C$12:$C$15,MATCH(1,L364:O364,0)),"未設定")</f>
        <v>冬期</v>
      </c>
      <c r="H364" s="44" t="str">
        <f aca="false">"S値+"&amp;E364&amp;"／"&amp;F364&amp;"（"&amp;G364&amp;"）"</f>
        <v>S値+6／標準形（冬期）</v>
      </c>
      <c r="J364" s="14" t="n">
        <f aca="false">IF(IF(前提条件!$G$6&lt;=前提条件!$H$6,AND($D364&gt;=前提条件!$G$6,$D364&lt;=前提条件!$H$6),OR($D364&gt;=前提条件!$G$6,$D364&lt;=前提条件!$H$6)),1,0)</f>
        <v>0</v>
      </c>
      <c r="K364" s="14" t="n">
        <f aca="false">IF(IF(前提条件!$G$7&lt;=前提条件!$H$7,AND($D364&gt;=前提条件!$G$7,$D364&lt;=前提条件!$H$7),OR($D364&gt;=前提条件!$G$7,$D364&lt;=前提条件!$H$7)),1,0)</f>
        <v>1</v>
      </c>
      <c r="L364" s="14" t="n">
        <f aca="false">IF(IF(前提条件!$H$12&lt;=前提条件!$I$12,AND($D364&gt;=前提条件!$H$12,$D364&lt;=前提条件!$I$12),OR($D364&gt;=前提条件!$H$12,$D364&lt;=前提条件!$I$12)),1,0)</f>
        <v>0</v>
      </c>
      <c r="M364" s="14" t="n">
        <f aca="false">IF(IF(前提条件!$H$13&lt;=前提条件!$I$13,AND($D364&gt;=前提条件!$H$13,$D364&lt;=前提条件!$I$13),OR($D364&gt;=前提条件!$H$13,$D364&lt;=前提条件!$I$13)),1,0)</f>
        <v>0</v>
      </c>
      <c r="N364" s="14" t="n">
        <f aca="false">IF(IF(前提条件!$H$14&lt;=前提条件!$I$14,AND($D364&gt;=前提条件!$H$14,$D364&lt;=前提条件!$I$14),OR($D364&gt;=前提条件!$H$14,$D364&lt;=前提条件!$I$14)),1,0)</f>
        <v>0</v>
      </c>
      <c r="O364" s="14" t="n">
        <f aca="false">IF(IF(前提条件!$H$15&lt;=前提条件!$I$15,AND($D364&gt;=前提条件!$H$15,$D364&lt;=前提条件!$I$15),OR($D364&gt;=前提条件!$H$15,$D364&lt;=前提条件!$I$15)),1,0)</f>
        <v>1</v>
      </c>
    </row>
    <row r="365" customFormat="false" ht="15" hidden="false" customHeight="false" outlineLevel="0" collapsed="false">
      <c r="A365" s="48" t="n">
        <v>12</v>
      </c>
      <c r="B365" s="48" t="n">
        <v>28</v>
      </c>
      <c r="C365" s="48" t="str">
        <f aca="false">A365&amp;"/"&amp;B365</f>
        <v>12/28</v>
      </c>
      <c r="D365" s="48" t="n">
        <f aca="false">A365*100+B365</f>
        <v>1228</v>
      </c>
      <c r="E365" s="45" t="n">
        <f aca="false">IF(SUM(J365:K365)&gt;0,前提条件!$B$6,前提条件!$B$8)</f>
        <v>6</v>
      </c>
      <c r="F365" s="48" t="str">
        <f aca="false">IFERROR(INDEX(前提条件!$B$12:$B$15,MATCH(1,L365:O365,0)),"未設定")</f>
        <v>標準形</v>
      </c>
      <c r="G365" s="48" t="str">
        <f aca="false">IFERROR(INDEX(前提条件!$C$12:$C$15,MATCH(1,L365:O365,0)),"未設定")</f>
        <v>冬期</v>
      </c>
      <c r="H365" s="44" t="str">
        <f aca="false">"S値+"&amp;E365&amp;"／"&amp;F365&amp;"（"&amp;G365&amp;"）"</f>
        <v>S値+6／標準形（冬期）</v>
      </c>
      <c r="J365" s="14" t="n">
        <f aca="false">IF(IF(前提条件!$G$6&lt;=前提条件!$H$6,AND($D365&gt;=前提条件!$G$6,$D365&lt;=前提条件!$H$6),OR($D365&gt;=前提条件!$G$6,$D365&lt;=前提条件!$H$6)),1,0)</f>
        <v>0</v>
      </c>
      <c r="K365" s="14" t="n">
        <f aca="false">IF(IF(前提条件!$G$7&lt;=前提条件!$H$7,AND($D365&gt;=前提条件!$G$7,$D365&lt;=前提条件!$H$7),OR($D365&gt;=前提条件!$G$7,$D365&lt;=前提条件!$H$7)),1,0)</f>
        <v>1</v>
      </c>
      <c r="L365" s="14" t="n">
        <f aca="false">IF(IF(前提条件!$H$12&lt;=前提条件!$I$12,AND($D365&gt;=前提条件!$H$12,$D365&lt;=前提条件!$I$12),OR($D365&gt;=前提条件!$H$12,$D365&lt;=前提条件!$I$12)),1,0)</f>
        <v>0</v>
      </c>
      <c r="M365" s="14" t="n">
        <f aca="false">IF(IF(前提条件!$H$13&lt;=前提条件!$I$13,AND($D365&gt;=前提条件!$H$13,$D365&lt;=前提条件!$I$13),OR($D365&gt;=前提条件!$H$13,$D365&lt;=前提条件!$I$13)),1,0)</f>
        <v>0</v>
      </c>
      <c r="N365" s="14" t="n">
        <f aca="false">IF(IF(前提条件!$H$14&lt;=前提条件!$I$14,AND($D365&gt;=前提条件!$H$14,$D365&lt;=前提条件!$I$14),OR($D365&gt;=前提条件!$H$14,$D365&lt;=前提条件!$I$14)),1,0)</f>
        <v>0</v>
      </c>
      <c r="O365" s="14" t="n">
        <f aca="false">IF(IF(前提条件!$H$15&lt;=前提条件!$I$15,AND($D365&gt;=前提条件!$H$15,$D365&lt;=前提条件!$I$15),OR($D365&gt;=前提条件!$H$15,$D365&lt;=前提条件!$I$15)),1,0)</f>
        <v>1</v>
      </c>
    </row>
    <row r="366" customFormat="false" ht="15" hidden="false" customHeight="false" outlineLevel="0" collapsed="false">
      <c r="A366" s="48" t="n">
        <v>12</v>
      </c>
      <c r="B366" s="48" t="n">
        <v>29</v>
      </c>
      <c r="C366" s="48" t="str">
        <f aca="false">A366&amp;"/"&amp;B366</f>
        <v>12/29</v>
      </c>
      <c r="D366" s="48" t="n">
        <f aca="false">A366*100+B366</f>
        <v>1229</v>
      </c>
      <c r="E366" s="45" t="n">
        <f aca="false">IF(SUM(J366:K366)&gt;0,前提条件!$B$6,前提条件!$B$8)</f>
        <v>6</v>
      </c>
      <c r="F366" s="48" t="str">
        <f aca="false">IFERROR(INDEX(前提条件!$B$12:$B$15,MATCH(1,L366:O366,0)),"未設定")</f>
        <v>標準形</v>
      </c>
      <c r="G366" s="48" t="str">
        <f aca="false">IFERROR(INDEX(前提条件!$C$12:$C$15,MATCH(1,L366:O366,0)),"未設定")</f>
        <v>冬期</v>
      </c>
      <c r="H366" s="44" t="str">
        <f aca="false">"S値+"&amp;E366&amp;"／"&amp;F366&amp;"（"&amp;G366&amp;"）"</f>
        <v>S値+6／標準形（冬期）</v>
      </c>
      <c r="J366" s="14" t="n">
        <f aca="false">IF(IF(前提条件!$G$6&lt;=前提条件!$H$6,AND($D366&gt;=前提条件!$G$6,$D366&lt;=前提条件!$H$6),OR($D366&gt;=前提条件!$G$6,$D366&lt;=前提条件!$H$6)),1,0)</f>
        <v>0</v>
      </c>
      <c r="K366" s="14" t="n">
        <f aca="false">IF(IF(前提条件!$G$7&lt;=前提条件!$H$7,AND($D366&gt;=前提条件!$G$7,$D366&lt;=前提条件!$H$7),OR($D366&gt;=前提条件!$G$7,$D366&lt;=前提条件!$H$7)),1,0)</f>
        <v>1</v>
      </c>
      <c r="L366" s="14" t="n">
        <f aca="false">IF(IF(前提条件!$H$12&lt;=前提条件!$I$12,AND($D366&gt;=前提条件!$H$12,$D366&lt;=前提条件!$I$12),OR($D366&gt;=前提条件!$H$12,$D366&lt;=前提条件!$I$12)),1,0)</f>
        <v>0</v>
      </c>
      <c r="M366" s="14" t="n">
        <f aca="false">IF(IF(前提条件!$H$13&lt;=前提条件!$I$13,AND($D366&gt;=前提条件!$H$13,$D366&lt;=前提条件!$I$13),OR($D366&gt;=前提条件!$H$13,$D366&lt;=前提条件!$I$13)),1,0)</f>
        <v>0</v>
      </c>
      <c r="N366" s="14" t="n">
        <f aca="false">IF(IF(前提条件!$H$14&lt;=前提条件!$I$14,AND($D366&gt;=前提条件!$H$14,$D366&lt;=前提条件!$I$14),OR($D366&gt;=前提条件!$H$14,$D366&lt;=前提条件!$I$14)),1,0)</f>
        <v>0</v>
      </c>
      <c r="O366" s="14" t="n">
        <f aca="false">IF(IF(前提条件!$H$15&lt;=前提条件!$I$15,AND($D366&gt;=前提条件!$H$15,$D366&lt;=前提条件!$I$15),OR($D366&gt;=前提条件!$H$15,$D366&lt;=前提条件!$I$15)),1,0)</f>
        <v>1</v>
      </c>
    </row>
    <row r="367" customFormat="false" ht="15" hidden="false" customHeight="false" outlineLevel="0" collapsed="false">
      <c r="A367" s="48" t="n">
        <v>12</v>
      </c>
      <c r="B367" s="48" t="n">
        <v>30</v>
      </c>
      <c r="C367" s="48" t="str">
        <f aca="false">A367&amp;"/"&amp;B367</f>
        <v>12/30</v>
      </c>
      <c r="D367" s="48" t="n">
        <f aca="false">A367*100+B367</f>
        <v>1230</v>
      </c>
      <c r="E367" s="45" t="n">
        <f aca="false">IF(SUM(J367:K367)&gt;0,前提条件!$B$6,前提条件!$B$8)</f>
        <v>6</v>
      </c>
      <c r="F367" s="48" t="str">
        <f aca="false">IFERROR(INDEX(前提条件!$B$12:$B$15,MATCH(1,L367:O367,0)),"未設定")</f>
        <v>標準形</v>
      </c>
      <c r="G367" s="48" t="str">
        <f aca="false">IFERROR(INDEX(前提条件!$C$12:$C$15,MATCH(1,L367:O367,0)),"未設定")</f>
        <v>冬期</v>
      </c>
      <c r="H367" s="44" t="str">
        <f aca="false">"S値+"&amp;E367&amp;"／"&amp;F367&amp;"（"&amp;G367&amp;"）"</f>
        <v>S値+6／標準形（冬期）</v>
      </c>
      <c r="J367" s="14" t="n">
        <f aca="false">IF(IF(前提条件!$G$6&lt;=前提条件!$H$6,AND($D367&gt;=前提条件!$G$6,$D367&lt;=前提条件!$H$6),OR($D367&gt;=前提条件!$G$6,$D367&lt;=前提条件!$H$6)),1,0)</f>
        <v>0</v>
      </c>
      <c r="K367" s="14" t="n">
        <f aca="false">IF(IF(前提条件!$G$7&lt;=前提条件!$H$7,AND($D367&gt;=前提条件!$G$7,$D367&lt;=前提条件!$H$7),OR($D367&gt;=前提条件!$G$7,$D367&lt;=前提条件!$H$7)),1,0)</f>
        <v>1</v>
      </c>
      <c r="L367" s="14" t="n">
        <f aca="false">IF(IF(前提条件!$H$12&lt;=前提条件!$I$12,AND($D367&gt;=前提条件!$H$12,$D367&lt;=前提条件!$I$12),OR($D367&gt;=前提条件!$H$12,$D367&lt;=前提条件!$I$12)),1,0)</f>
        <v>0</v>
      </c>
      <c r="M367" s="14" t="n">
        <f aca="false">IF(IF(前提条件!$H$13&lt;=前提条件!$I$13,AND($D367&gt;=前提条件!$H$13,$D367&lt;=前提条件!$I$13),OR($D367&gt;=前提条件!$H$13,$D367&lt;=前提条件!$I$13)),1,0)</f>
        <v>0</v>
      </c>
      <c r="N367" s="14" t="n">
        <f aca="false">IF(IF(前提条件!$H$14&lt;=前提条件!$I$14,AND($D367&gt;=前提条件!$H$14,$D367&lt;=前提条件!$I$14),OR($D367&gt;=前提条件!$H$14,$D367&lt;=前提条件!$I$14)),1,0)</f>
        <v>0</v>
      </c>
      <c r="O367" s="14" t="n">
        <f aca="false">IF(IF(前提条件!$H$15&lt;=前提条件!$I$15,AND($D367&gt;=前提条件!$H$15,$D367&lt;=前提条件!$I$15),OR($D367&gt;=前提条件!$H$15,$D367&lt;=前提条件!$I$15)),1,0)</f>
        <v>1</v>
      </c>
    </row>
    <row r="368" customFormat="false" ht="15" hidden="false" customHeight="false" outlineLevel="0" collapsed="false">
      <c r="A368" s="48" t="n">
        <v>12</v>
      </c>
      <c r="B368" s="48" t="n">
        <v>31</v>
      </c>
      <c r="C368" s="48" t="str">
        <f aca="false">A368&amp;"/"&amp;B368</f>
        <v>12/31</v>
      </c>
      <c r="D368" s="48" t="n">
        <f aca="false">A368*100+B368</f>
        <v>1231</v>
      </c>
      <c r="E368" s="45" t="n">
        <f aca="false">IF(SUM(J368:K368)&gt;0,前提条件!$B$6,前提条件!$B$8)</f>
        <v>6</v>
      </c>
      <c r="F368" s="48" t="str">
        <f aca="false">IFERROR(INDEX(前提条件!$B$12:$B$15,MATCH(1,L368:O368,0)),"未設定")</f>
        <v>標準形</v>
      </c>
      <c r="G368" s="48" t="str">
        <f aca="false">IFERROR(INDEX(前提条件!$C$12:$C$15,MATCH(1,L368:O368,0)),"未設定")</f>
        <v>冬期</v>
      </c>
      <c r="H368" s="44" t="str">
        <f aca="false">"S値+"&amp;E368&amp;"／"&amp;F368&amp;"（"&amp;G368&amp;"）"</f>
        <v>S値+6／標準形（冬期）</v>
      </c>
      <c r="J368" s="14" t="n">
        <f aca="false">IF(IF(前提条件!$G$6&lt;=前提条件!$H$6,AND($D368&gt;=前提条件!$G$6,$D368&lt;=前提条件!$H$6),OR($D368&gt;=前提条件!$G$6,$D368&lt;=前提条件!$H$6)),1,0)</f>
        <v>0</v>
      </c>
      <c r="K368" s="14" t="n">
        <f aca="false">IF(IF(前提条件!$G$7&lt;=前提条件!$H$7,AND($D368&gt;=前提条件!$G$7,$D368&lt;=前提条件!$H$7),OR($D368&gt;=前提条件!$G$7,$D368&lt;=前提条件!$H$7)),1,0)</f>
        <v>1</v>
      </c>
      <c r="L368" s="14" t="n">
        <f aca="false">IF(IF(前提条件!$H$12&lt;=前提条件!$I$12,AND($D368&gt;=前提条件!$H$12,$D368&lt;=前提条件!$I$12),OR($D368&gt;=前提条件!$H$12,$D368&lt;=前提条件!$I$12)),1,0)</f>
        <v>0</v>
      </c>
      <c r="M368" s="14" t="n">
        <f aca="false">IF(IF(前提条件!$H$13&lt;=前提条件!$I$13,AND($D368&gt;=前提条件!$H$13,$D368&lt;=前提条件!$I$13),OR($D368&gt;=前提条件!$H$13,$D368&lt;=前提条件!$I$13)),1,0)</f>
        <v>0</v>
      </c>
      <c r="N368" s="14" t="n">
        <f aca="false">IF(IF(前提条件!$H$14&lt;=前提条件!$I$14,AND($D368&gt;=前提条件!$H$14,$D368&lt;=前提条件!$I$14),OR($D368&gt;=前提条件!$H$14,$D368&lt;=前提条件!$I$14)),1,0)</f>
        <v>0</v>
      </c>
      <c r="O368" s="14" t="n">
        <f aca="false">IF(IF(前提条件!$H$15&lt;=前提条件!$I$15,AND($D368&gt;=前提条件!$H$15,$D368&lt;=前提条件!$I$15),OR($D368&gt;=前提条件!$H$15,$D368&lt;=前提条件!$I$15)),1,0)</f>
        <v>1</v>
      </c>
    </row>
  </sheetData>
  <autoFilter ref="A3:H36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2026-08-24T00:59:12Z</dcterms:created>
  <dc:creator>openpyxl</dc:creator>
  <dc:description/>
  <dc:language>en-US</dc:language>
  <cp:lastModifiedBy/>
  <dcterms:modified xsi:type="dcterms:W3CDTF">2026-08-24T00:59:13Z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