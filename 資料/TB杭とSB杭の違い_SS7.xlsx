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要点まとめ" sheetId="1" state="visible" r:id="rId3"/>
    <sheet name="軸力負担の比較" sheetId="2" state="visible" r:id="rId4"/>
    <sheet name="比較一覧" sheetId="3" state="visible" r:id="rId5"/>
    <sheet name="許容応力度_試算" sheetId="4" state="visible" r:id="rId6"/>
    <sheet name="鋼管部_試算" sheetId="5" state="visible" r:id="rId7"/>
    <sheet name="設計チェック" sheetId="6" state="visible" r:id="rId8"/>
    <sheet name="記号の説明" sheetId="7" state="visible" r:id="rId9"/>
    <sheet name="PDF対照表" sheetId="8" state="visible" r:id="rId10"/>
  </sheets>
  <definedNames>
    <definedName function="false" hidden="false" localSheetId="7" name="_xlnm.Print_Titles" vbProcedure="false">PDF対照表!$5:$5</definedName>
    <definedName function="false" hidden="true" localSheetId="7" name="_xlnm._FilterDatabase" vbProcedure="false">PDF対照表!$B$5:$G$60</definedName>
    <definedName function="false" hidden="false" localSheetId="2" name="_xlnm.Print_Titles" vbProcedure="false">比較一覧!$4:$4</definedName>
    <definedName function="false" hidden="true" localSheetId="2" name="_xlnm._FilterDatabase" vbProcedure="false">比較一覧!$A$4:$I$50</definedName>
    <definedName function="false" hidden="false" localSheetId="6" name="_xlnm.Print_Titles" vbProcedure="false">記号の説明!$5:$5</definedName>
    <definedName function="false" hidden="false" localSheetId="5" name="_xlnm.Print_Titles" vbProcedure="false">設計チェック!$5:$5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<sst xmlns="http://schemas.openxmlformats.org/spreadsheetml/2006/main" count="1305" uniqueCount="886">
  <si>
    <t xml:space="preserve">TB杭とSB杭の違い ― 要点まとめ</t>
  </si>
  <si>
    <t xml:space="preserve">出典：SS7 マニュアル（ご提供PDF）7.7.5 場所打ち鋼管コンクリート杭（TB杭）の断面算定 p.7-63〜66／7.7.6 同（SB杭）p.7-66〜68／10.15 杭体の復元力特性 p.10-75〜83　｜　作成日：2026-09-24</t>
  </si>
  <si>
    <t xml:space="preserve">■ ひとことで言うと</t>
  </si>
  <si>
    <t xml:space="preserve">TB杭</t>
  </si>
  <si>
    <t xml:space="preserve">杭頭部を「鋼管コンクリート部」（内側にリブが付いた鋼管＋中の鉄筋コンクリート）として扱い、SRC規準と同じ累加強度方式で算定します。軸力が中のRCの許容範囲を超えたら、超えた分を鋼管にも負担させます。曲げの復元力特性は断面解析（ファイバー）で求めます。</t>
  </si>
  <si>
    <t xml:space="preserve">SB杭</t>
  </si>
  <si>
    <t xml:space="preserve">杭頭部を「鋼管巻き鉄筋コンクリート部」として扱い、単純累加強度方式で算定します。軸力は鉄筋コンクリート部だけで負担し、鋼管は曲げとせん断だけを負担します。曲げの復元力特性はRC柱・SRC柱と同じ式で求め、降伏点はメーカー指針の終局曲げ耐力とします。</t>
  </si>
  <si>
    <t xml:space="preserve">■ 主な違い（設計で効くもの）</t>
  </si>
  <si>
    <t xml:space="preserve">No</t>
  </si>
  <si>
    <t xml:space="preserve">項目</t>
  </si>
  <si>
    <t xml:space="preserve">TB杭</t>
  </si>
  <si>
    <t xml:space="preserve">SB杭</t>
  </si>
  <si>
    <t xml:space="preserve">設計上のポイント</t>
  </si>
  <si>
    <t xml:space="preserve">根拠（比較一覧No.／PDF赤枠）</t>
  </si>
  <si>
    <t xml:space="preserve">根拠となる指針</t>
  </si>
  <si>
    <t xml:space="preserve">「KCTB 場所打ち鋼管コンクリート杭」耐震杭協会</t>
  </si>
  <si>
    <t xml:space="preserve">「SB耐震杭e工法（杭頭部鋼管巻き場所打ちコンクリート杭工法）設計・施工指針」SB耐震杭協会</t>
  </si>
  <si>
    <t xml:space="preserve">SS7ではどちらも「場所打ち鋼管コンクリート杭」と呼ぶため、TB・SBのどちらで計算しているか入力を必ず確認する。</t>
  </si>
  <si>
    <t xml:space="preserve">比較一覧No.2
赤枠：T2・S3</t>
  </si>
  <si>
    <t xml:space="preserve">適用できるFc</t>
  </si>
  <si>
    <t xml:space="preserve">Fc＝18〜45 N/mm²（協会）
SS7はFcを制限しない</t>
  </si>
  <si>
    <t xml:space="preserve">Fc＝18〜36 N/mm²（協会）
範囲外、または普通コンクリート以外はSS7がメッセージを出力</t>
  </si>
  <si>
    <t xml:space="preserve">TBは範囲外でも計算が止まらない。Fcが協会の範囲内か、設計者が自分で確認する。</t>
  </si>
  <si>
    <t xml:space="preserve">比較一覧No.7,8
赤枠：T2・S3</t>
  </si>
  <si>
    <t xml:space="preserve">コンクリートの許容圧縮応力度（長期）</t>
  </si>
  <si>
    <t xml:space="preserve">Fc/4
（打設方法による区別なし）</t>
  </si>
  <si>
    <t xml:space="preserve">空掘り・評定工法：Fc/4
泥水中：Fc/4.5</t>
  </si>
  <si>
    <t xml:space="preserve">泥水中ではSBの方が約11％小さい（4/4.5＝0.89）。短期はどちらも長期の2倍。</t>
  </si>
  <si>
    <t xml:space="preserve">比較一覧No.9
赤枠：T2・S2</t>
  </si>
  <si>
    <t xml:space="preserve">軸力の負担</t>
  </si>
  <si>
    <t xml:space="preserve">中のRC＋鋼管。N＞rNc（圧縮側）または N＜rNt（引張側）のときは、超えた分を鋼管が負担（3ケースで検定）</t>
  </si>
  <si>
    <t xml:space="preserve">鉄筋コンクリート部だけで負担（ND＝rNA、rN0 ≧ ND ≧ rNt）。
鋼管は軸力を負担しない</t>
  </si>
  <si>
    <t xml:space="preserve">圧縮・引抜きの軸力が大きい杭頭では、SBはRC部だけで軸力が収まるかの確認が必要。</t>
  </si>
  <si>
    <t xml:space="preserve">比較一覧No.18,19
赤枠：T6・T7・S8</t>
  </si>
  <si>
    <t xml:space="preserve">引張側の許容軸力 rNt</t>
  </si>
  <si>
    <t xml:space="preserve">rNt＝−rf・rA</t>
  </si>
  <si>
    <t xml:space="preserve">rNt＝−0.75・rf・rA</t>
  </si>
  <si>
    <t xml:space="preserve">SBは引張側を0.75倍に低減する。引抜きを受ける杭で差が出やすい。</t>
  </si>
  <si>
    <t xml:space="preserve">比較一覧No.22
赤枠：T10・S11</t>
  </si>
  <si>
    <t xml:space="preserve">RC部の短期許容せん断力</t>
  </si>
  <si>
    <t xml:space="preserve">7.7.4（場所打ちコンクリート杭）による</t>
  </si>
  <si>
    <t xml:space="preserve">Qa＝max(rQa1, rQa2)
等価正方形断面に置き換えた独自の式（帯筋比 pw ≧ 0.2％で帯筋の効果を見込む）</t>
  </si>
  <si>
    <t xml:space="preserve">SBは帯筋量が短期許容せん断力に直接効く。</t>
  </si>
  <si>
    <t xml:space="preserve">比較一覧No.27
赤枠：T14・S15</t>
  </si>
  <si>
    <t xml:space="preserve">杭頭定着筋</t>
  </si>
  <si>
    <t xml:space="preserve">設計応力（割増率は杭体と同じ）で算定。杭頭主筋があれば1段筋に換算。定着筋は8本以上</t>
  </si>
  <si>
    <t xml:space="preserve">「軸力0とした鋼管の許容曲げモーメント」以上の曲げ耐力を確保するように算定</t>
  </si>
  <si>
    <t xml:space="preserve">SBは設計応力が小さくても、鋼管の耐力で定着筋の量が決まる。</t>
  </si>
  <si>
    <t xml:space="preserve">比較一覧No.30,33
赤枠：T15・T17・S16</t>
  </si>
  <si>
    <t xml:space="preserve">杭頭の水平力（支圧）の検討</t>
  </si>
  <si>
    <t xml:space="preserve">σch＝Qd/(D・l) ≦ cfc で、杭頭埋込部と基礎スラブの支圧を検討</t>
  </si>
  <si>
    <t xml:space="preserve">記載なし（本資料の範囲）</t>
  </si>
  <si>
    <t xml:space="preserve">TBは基礎スラブへの埋込長 l が、支圧と終局せん断耐力の両方に効く。</t>
  </si>
  <si>
    <t xml:space="preserve">比較一覧No.34
赤枠：T18</t>
  </si>
  <si>
    <t xml:space="preserve">曲げの復元力特性</t>
  </si>
  <si>
    <t xml:space="preserve">断面解析（ファイバー）でM−φを求め、トリリニア化（第2折線が降伏点を通るようにモデル化）</t>
  </si>
  <si>
    <t xml:space="preserve">RC柱・SRC柱の式でトリリニアを自動計算。降伏点＝終局曲げ（Mu＝Mrc＋Mst、メーカー指針）</t>
  </si>
  <si>
    <t xml:space="preserve">SBの鋼管の終局曲げ Mst は全塑性モーメントで、鋼管は軸力を負担しない前提。</t>
  </si>
  <si>
    <t xml:space="preserve">比較一覧No.35,36,37,38,39,40
赤枠：T19・T20・T21・T22・T23・T24・S18・S19・S20・S21・S22</t>
  </si>
  <si>
    <t xml:space="preserve">終局せん断耐力</t>
  </si>
  <si>
    <t xml:space="preserve">鋼管部：min(鋼管 sA/2・Fs/√3、杭頭接合部 Fc・D・ℓ)
RC部：場所打ちコンクリート杭と同じ（荒川min式／mean式）</t>
  </si>
  <si>
    <t xml:space="preserve">鋼管部：sA・σpy/√3/κ（κ＝2.0、鋼管のみ）
RC部：独自の式（ku＝0.72、kp＝0.82・pt^0.23）</t>
  </si>
  <si>
    <t xml:space="preserve">鋼管分の値は同じ（κ＝2なのでsA/2と同じ）。TBだけが杭頭接合部で頭打ちになる。</t>
  </si>
  <si>
    <t xml:space="preserve">比較一覧No.44,45
赤枠：T25・T27・T28・S23・S24</t>
  </si>
  <si>
    <t xml:space="preserve">■ 力の分担イメージ（杭頭の鋼管がある区間）</t>
  </si>
  <si>
    <t xml:space="preserve">力の種類</t>
  </si>
  <si>
    <t xml:space="preserve">TB杭（鋼管コンクリート部）</t>
  </si>
  <si>
    <t xml:space="preserve">SB杭（鋼管巻き鉄筋コンクリート部）</t>
  </si>
  <si>
    <t xml:space="preserve">補足</t>
  </si>
  <si>
    <t xml:space="preserve">軸力（許容）</t>
  </si>
  <si>
    <t xml:space="preserve">RC ◎ ＋ 鋼管 ○
（RCの許容範囲を超えた分を鋼管が負担）</t>
  </si>
  <si>
    <t xml:space="preserve">RC ◎ のみ
（鋼管 ×：軸力を負担しない）</t>
  </si>
  <si>
    <t xml:space="preserve">式(7.121)〜(7.126)／式(7.135)</t>
  </si>
  <si>
    <t xml:space="preserve">曲げ（許容）</t>
  </si>
  <si>
    <t xml:space="preserve">鋼管 ＋ RC の累加
（M ≦ sM0＋rM など）</t>
  </si>
  <si>
    <t xml:space="preserve">鋼管 sM0 ＋ RC rMA の累加</t>
  </si>
  <si>
    <t xml:space="preserve">式(7.124)／式(7.136)</t>
  </si>
  <si>
    <t xml:space="preserve">せん断（許容）</t>
  </si>
  <si>
    <t xml:space="preserve">鋼管のみ
Qa＝sA/2・sfs</t>
  </si>
  <si>
    <t xml:space="preserve">同じ式。鋼管のない区間（RC部）は別途算定</t>
  </si>
  <si>
    <t xml:space="preserve">せん断（終局）</t>
  </si>
  <si>
    <t xml:space="preserve">鋼管 と 杭頭接合部 の小さい方</t>
  </si>
  <si>
    <t xml:space="preserve">鋼管のみ（κ＝2.0）</t>
  </si>
  <si>
    <t xml:space="preserve">式(10.254)／式(10.255)</t>
  </si>
  <si>
    <t xml:space="preserve">曲げ（終局）</t>
  </si>
  <si>
    <t xml:space="preserve">断面解析で鋼管とRCを一体で評価</t>
  </si>
  <si>
    <t xml:space="preserve">Mrc ＋ Mst
（鋼管は軸力を負担しない全塑性モーメント）</t>
  </si>
  <si>
    <t xml:space="preserve">10.15.1(1)／式(10.240)</t>
  </si>
  <si>
    <t xml:space="preserve">◎：主に負担　○：条件付きで負担　×：負担しない</t>
  </si>
  <si>
    <t xml:space="preserve">■ 共通点（TB・SBで同じ扱いのもの）</t>
  </si>
  <si>
    <t xml:space="preserve">・断面算定は、杭に生じる曲げとせん断に対して行う</t>
  </si>
  <si>
    <t xml:space="preserve">・検討ケース：上部下部分離モデルは地震時のみ。上部下部一体モデルは長期・積雪時・暴風時・地震時</t>
  </si>
  <si>
    <t xml:space="preserve">・設計用応力の扱いは、場所打ちコンクリート杭（7.7.4）と同じ</t>
  </si>
  <si>
    <t xml:space="preserve">・鋼管の許容応力度：長期は 圧縮・引張・曲げ F/1.5、せん断 F/(1.5√3)。短期は長期の1.5倍</t>
  </si>
  <si>
    <t xml:space="preserve">・鉄筋の許容応力度（2.2.2）、ヤング係数比（2.1.5）、品質管理に関わる係数 ξ（表7.15）</t>
  </si>
  <si>
    <t xml:space="preserve">・鋼管部の許容せん断力 Qa＝sA/2・sfs（鋼管だけでせん断力を負担）</t>
  </si>
  <si>
    <t xml:space="preserve">・杭頭定着筋の計算用杭径＝鋼管径＋仮想コンクリート断面のオフセット（既定値は鋼管外側から100mm）</t>
  </si>
  <si>
    <t xml:space="preserve">・鋼管のない区間（下部の鉄筋コンクリート部）の許容軸力・許容曲げは 7.7.4 による</t>
  </si>
  <si>
    <t xml:space="preserve">・せん断ひび割れ耐力、ひび割れ後の剛性低下率は、場所打ちコンクリート杭と同じ</t>
  </si>
  <si>
    <t xml:space="preserve">■ このブックのシート構成</t>
  </si>
  <si>
    <t xml:space="preserve">比較一覧</t>
  </si>
  <si>
    <t xml:space="preserve">全46項目をTB・SB並べて比較。差異の大きさを「◆相違／△一部相違／＝共通」で色分け。フィルターで絞り込み可</t>
  </si>
  <si>
    <t xml:space="preserve">許容応力度_試算</t>
  </si>
  <si>
    <t xml:space="preserve">Fcと鋼管のFを入れると、TB・SB（空掘り／泥水中）の許容応力度を自動計算。Fcごとの比較表付き</t>
  </si>
  <si>
    <t xml:space="preserve">鋼管部_試算</t>
  </si>
  <si>
    <t xml:space="preserve">鋼管の径・肉厚などを入れると、鋼管部の許容曲げ・許容せん断・終局せん断をTB・SBで比較</t>
  </si>
  <si>
    <t xml:space="preserve">設計チェック</t>
  </si>
  <si>
    <t xml:space="preserve">TB・SBそれぞれの確認項目のチェックリスト（プルダウンで 未／済／対象外 を選択）</t>
  </si>
  <si>
    <t xml:space="preserve">記号の説明</t>
  </si>
  <si>
    <t xml:space="preserve">比較一覧で使っている記号の意味</t>
  </si>
  <si>
    <t xml:space="preserve">軸力負担の比較</t>
  </si>
  <si>
    <t xml:space="preserve">TB杭とSB杭の「鋼管が軸力を負担するか」の違いに絞った比較表と比較図</t>
  </si>
  <si>
    <t xml:space="preserve">PDF対照表</t>
  </si>
  <si>
    <t xml:space="preserve">PDF（赤枠入り）の枠IDごとに、PDFの頁・マニュアルの頁・内容・関連する比較一覧No.を一覧にしたもの</t>
  </si>
  <si>
    <t xml:space="preserve">※「記載なし（本資料の範囲）」は、ご提供の抜粋にその記述がないという意味です。プログラムや協会指針に規定がないことを意味しません。実設計では各協会の設計・施工指針とSS7の最新マニュアルを必ず確認してください。</t>
  </si>
  <si>
    <t xml:space="preserve">杭頭の鋼管は「軸力」を負担するか？ ― TB杭（KCTB）と SB耐震杭の比較</t>
  </si>
  <si>
    <t xml:space="preserve">鋼管のリブの有無と、鋼管が軸力を負担するかどうかに絞った比較表です（SS7マニュアル 7.7.5／7.7.6／10.15 より）。表の下に比較図を貼り付けています。</t>
  </si>
  <si>
    <t xml:space="preserve">TB杭</t>
  </si>
  <si>
    <t xml:space="preserve">鋼管の内側にリブあり → 鋼管も軸力を負担する（中のRCの許容範囲を超えた分）</t>
  </si>
  <si>
    <t xml:space="preserve">SB杭</t>
  </si>
  <si>
    <t xml:space="preserve">リブの規定なし → 鋼管は軸力を負担しない（曲げ・せん断のみ。軸力はRC部だけ）</t>
  </si>
  <si>
    <t xml:space="preserve">■ 比較表</t>
  </si>
  <si>
    <t xml:space="preserve">TB杭（KCTB 場所打ち鋼管コンクリート杭）</t>
  </si>
  <si>
    <t xml:space="preserve">SB杭（SB耐震杭）</t>
  </si>
  <si>
    <t xml:space="preserve">ポイント</t>
  </si>
  <si>
    <t xml:space="preserve">PDF赤枠</t>
  </si>
  <si>
    <t xml:space="preserve">鋼管の内面リブ</t>
  </si>
  <si>
    <t xml:space="preserve">あり
（「鋼管は内側にリブがついたものとします」）</t>
  </si>
  <si>
    <t xml:space="preserve">規定なし
（マニュアルに記述なし）</t>
  </si>
  <si>
    <t xml:space="preserve">リブはコンクリートと鋼管の間で力を伝える「ずれ止め」として働く（式の組み立てからの解釈）</t>
  </si>
  <si>
    <t xml:space="preserve">T4</t>
  </si>
  <si>
    <t xml:space="preserve">杭頭部の部位名（SS7）</t>
  </si>
  <si>
    <t xml:space="preserve">鋼管コンクリート部</t>
  </si>
  <si>
    <t xml:space="preserve">鋼管巻き鉄筋コンクリート部</t>
  </si>
  <si>
    <t xml:space="preserve">T6／S7</t>
  </si>
  <si>
    <t xml:space="preserve">鋼管の軸力負担</t>
  </si>
  <si>
    <t xml:space="preserve">○ 負担する
（RCの許容範囲を超えた分を鋼管が負担）</t>
  </si>
  <si>
    <t xml:space="preserve">× 負担しない
（鋼管の軸力＝0）</t>
  </si>
  <si>
    <t xml:space="preserve">いちばん大きな違い</t>
  </si>
  <si>
    <t xml:space="preserve">T6・T7／S8</t>
  </si>
  <si>
    <t xml:space="preserve">RCの軸力負担</t>
  </si>
  <si>
    <t xml:space="preserve">○ 負担する</t>
  </si>
  <si>
    <t xml:space="preserve">○ 負担する（軸力はRCだけ）</t>
  </si>
  <si>
    <t xml:space="preserve">曲げの負担</t>
  </si>
  <si>
    <t xml:space="preserve">鋼管＋RC（累加）
M ≦ sM0＋rM など</t>
  </si>
  <si>
    <t xml:space="preserve">鋼管 sM0 ＋ RC rMA（累加）</t>
  </si>
  <si>
    <t xml:space="preserve">どちらも鋼管が曲げを負担</t>
  </si>
  <si>
    <t xml:space="preserve">T7・T8／S8・S9</t>
  </si>
  <si>
    <t xml:space="preserve">せん断の負担（許容）</t>
  </si>
  <si>
    <t xml:space="preserve">鋼管のみ
Qa＝sA/2・sfs</t>
  </si>
  <si>
    <t xml:space="preserve">同じ式</t>
  </si>
  <si>
    <t xml:space="preserve">T13／S14</t>
  </si>
  <si>
    <t xml:space="preserve">算定方式</t>
  </si>
  <si>
    <t xml:space="preserve">SRC規準と同様の累加強度方式</t>
  </si>
  <si>
    <t xml:space="preserve">SRC規準・鋼管コンクリート規準と同様の単純累加強度方式</t>
  </si>
  <si>
    <t xml:space="preserve">検定のケース数</t>
  </si>
  <si>
    <t xml:space="preserve">3ケース（軸力の大きさで分ける）</t>
  </si>
  <si>
    <t xml:space="preserve">1ケース</t>
  </si>
  <si>
    <t xml:space="preserve">検定式</t>
  </si>
  <si>
    <t xml:space="preserve">N＞rNc：N ≦ rNc＋sN、M＝sM
rNc≧N≧rNt：N＝rN、M ≦ sM0＋rM
rNt＞N：N ≧ rNt＋sN、M＝sM</t>
  </si>
  <si>
    <t xml:space="preserve">ND＝rNA（rN0 ≧ ND ≧ rNt）
MD ≦ sM0＋rMA</t>
  </si>
  <si>
    <t xml:space="preserve">TBは式に鋼管の軸力 sN が入る。SBは入らない</t>
  </si>
  <si>
    <t xml:space="preserve">引張側の許容軸力 rNt</t>
  </si>
  <si>
    <t xml:space="preserve">rNt＝−rf・rA</t>
  </si>
  <si>
    <t xml:space="preserve">rNt＝−0.75・rf・rA</t>
  </si>
  <si>
    <t xml:space="preserve">SBは0.75倍に低減</t>
  </si>
  <si>
    <t xml:space="preserve">T10／S11</t>
  </si>
  <si>
    <t xml:space="preserve">許容できる軸力の幅</t>
  </si>
  <si>
    <t xml:space="preserve">RCの範囲（rNt〜rNc）＋鋼管の分だけ広い</t>
  </si>
  <si>
    <t xml:space="preserve">RCの範囲（rNt〜rN0）だけ。引張側も0.75倍で狭い</t>
  </si>
  <si>
    <t xml:space="preserve">範囲を超えるとSBはNG（鋼管の余裕なし）</t>
  </si>
  <si>
    <t xml:space="preserve">T6・T7／S8・S11</t>
  </si>
  <si>
    <t xml:space="preserve">終局曲げの評価</t>
  </si>
  <si>
    <t xml:space="preserve">断面解析で鋼管とRCを一体で評価</t>
  </si>
  <si>
    <t xml:space="preserve">Mu＝Mrc＋Mst
（Mstは全塑性、鋼管は軸力を負担しない）</t>
  </si>
  <si>
    <t xml:space="preserve">T19／S21・S22</t>
  </si>
  <si>
    <t xml:space="preserve">設計上の影響</t>
  </si>
  <si>
    <t xml:space="preserve">大きな圧縮・引抜き軸力でも鋼管の分だけ余裕がある</t>
  </si>
  <si>
    <t xml:space="preserve">軸力はRC部だけで収める必要があり、引抜きは0.75倍低減でさらに厳しい</t>
  </si>
  <si>
    <t xml:space="preserve">軸力の大きい杭頭（塔状建物、外周の杭など）で差が出る</t>
  </si>
  <si>
    <t xml:space="preserve">—</t>
  </si>
  <si>
    <t xml:space="preserve">○：負担する（緑）　×：負担しない（赤）　「PDF赤枠」は赤枠入りPDFの枠ID（T＝TB杭、S＝SB杭）　※記号と式の読み方はこの表のすぐ下にあります</t>
  </si>
  <si>
    <t xml:space="preserve">※「リブの有無 → 軸力を負担するか」の対応は、SS7の式の組み立てからの解釈です。SB杭の鋼管にリブが無いとはマニュアルに明記されていません。実際の仕様は各協会の設計・施工指針で確認してください。</t>
  </si>
  <si>
    <t xml:space="preserve">■ 記号の意味（まず添字のルールを押さえると読みやすい）</t>
  </si>
  <si>
    <t xml:space="preserve">左下の添字</t>
  </si>
  <si>
    <t xml:space="preserve">r ＝ 鉄筋コンクリート部（鋼管の中のRC）　／　s ＝ 鋼管　／　c ＝ コンクリート</t>
  </si>
  <si>
    <t xml:space="preserve">右下の添字</t>
  </si>
  <si>
    <t xml:space="preserve">c・0 ＝ 圧縮だけを受けるとき　／　t ＝ 引張だけを受けるとき　／　A ＝ 許容値（Allowable）　／　D ＝ 設計用（Design）</t>
  </si>
  <si>
    <t xml:space="preserve">符号</t>
  </si>
  <si>
    <t xml:space="preserve">軸力は 圧縮を＋、引張（引抜き）を− として扱う（そのため rNt は負の値になる）</t>
  </si>
  <si>
    <t xml:space="preserve">例</t>
  </si>
  <si>
    <t xml:space="preserve">rNt ＝「r：RC部の」「N：軸力で」「t：引張だけを受けるときの許容値」　　sM0 ＝「s：鋼管の」「M：曲げで」「0：軸力0のときの許容値」</t>
  </si>
  <si>
    <t xml:space="preserve">記号</t>
  </si>
  <si>
    <t xml:space="preserve">意味（ひとことで）</t>
  </si>
  <si>
    <t xml:space="preserve">どこで使うか</t>
  </si>
  <si>
    <t xml:space="preserve">杭</t>
  </si>
  <si>
    <t xml:space="preserve">N、ND</t>
  </si>
  <si>
    <t xml:space="preserve">設計用軸方向力。杭頭に作用する軸力（圧縮＋、引張−）</t>
  </si>
  <si>
    <t xml:space="preserve">検定の左辺。TBは N、SBは ND と書く</t>
  </si>
  <si>
    <t xml:space="preserve">共通</t>
  </si>
  <si>
    <t xml:space="preserve">M、MD</t>
  </si>
  <si>
    <t xml:space="preserve">設計用曲げモーメント。杭頭に作用する曲げ</t>
  </si>
  <si>
    <t xml:space="preserve">検定の左辺。TBは M、SBは MD と書く</t>
  </si>
  <si>
    <t xml:space="preserve">rNc</t>
  </si>
  <si>
    <t xml:space="preserve">RC部が圧縮だけを受けるときの許容軸力＝RC部が負担できる圧縮側の上限</t>
  </si>
  <si>
    <t xml:space="preserve">TB：ケース分けの境目、N ≦ rNc＋sN</t>
  </si>
  <si>
    <t xml:space="preserve">TB</t>
  </si>
  <si>
    <t xml:space="preserve">rN0</t>
  </si>
  <si>
    <t xml:space="preserve">RC部が圧縮だけを受けるときの許容軸力＝RC部が負担できる圧縮側の上限（TBの rNc と同じ意味）</t>
  </si>
  <si>
    <t xml:space="preserve">SB：rN0 ≧ ND ≧ rNt</t>
  </si>
  <si>
    <t xml:space="preserve">SB</t>
  </si>
  <si>
    <t xml:space="preserve">rNt</t>
  </si>
  <si>
    <t xml:space="preserve">RC部が引張だけを受けるときの許容軸力＝RC部が負担できる引張側の限界（負の値）</t>
  </si>
  <si>
    <t xml:space="preserve">TB・SB：ケース分けと適用範囲</t>
  </si>
  <si>
    <t xml:space="preserve">rN、rNA</t>
  </si>
  <si>
    <t xml:space="preserve">RC部の許容軸力（ある軸力レベルで、RC部に持たせる軸力）</t>
  </si>
  <si>
    <t xml:space="preserve">N＝rN、ND＝rNA</t>
  </si>
  <si>
    <t xml:space="preserve">TB／SB</t>
  </si>
  <si>
    <t xml:space="preserve">rM、rMA</t>
  </si>
  <si>
    <t xml:space="preserve">RC部の許容曲げモーメント（その軸力を受けた状態でRC部が持てる曲げ）</t>
  </si>
  <si>
    <t xml:space="preserve">M ≦ sM0＋rM、MD ≦ sM0＋rMA</t>
  </si>
  <si>
    <t xml:space="preserve">sN</t>
  </si>
  <si>
    <t xml:space="preserve">鋼管が負担する許容軸力（圧縮側。引張側は sN'）</t>
  </si>
  <si>
    <t xml:space="preserve">TB：N ≦ rNc＋sN など</t>
  </si>
  <si>
    <t xml:space="preserve">sM</t>
  </si>
  <si>
    <t xml:space="preserve">鋼管が軸力 sN を負担した状態で持てる許容曲げモーメント</t>
  </si>
  <si>
    <t xml:space="preserve">TB：M＝sM</t>
  </si>
  <si>
    <t xml:space="preserve">sM0</t>
  </si>
  <si>
    <t xml:space="preserve">鋼管が曲げだけを受けるとき（軸力0）の許容曲げモーメント</t>
  </si>
  <si>
    <t xml:space="preserve">sM0＝sZ・sf（TB）、sZ・sft（SB）</t>
  </si>
  <si>
    <t xml:space="preserve">rf</t>
  </si>
  <si>
    <t xml:space="preserve">鉄筋の許容応力度（圧縮または引張）</t>
  </si>
  <si>
    <t xml:space="preserve">rNt＝−rf・rA など</t>
  </si>
  <si>
    <t xml:space="preserve">rA</t>
  </si>
  <si>
    <t xml:space="preserve">鉄筋の全断面積（主筋の断面積の合計）</t>
  </si>
  <si>
    <t xml:space="preserve">cf、cfc</t>
  </si>
  <si>
    <t xml:space="preserve">コンクリートの許容圧縮応力度</t>
  </si>
  <si>
    <t xml:space="preserve">rNc、rN0 の式</t>
  </si>
  <si>
    <t xml:space="preserve">cA</t>
  </si>
  <si>
    <t xml:space="preserve">コンクリートの断面積</t>
  </si>
  <si>
    <t xml:space="preserve">n</t>
  </si>
  <si>
    <t xml:space="preserve">ヤング係数比（鉄筋のヤング係数 ÷ コンクリートのヤング係数）</t>
  </si>
  <si>
    <t xml:space="preserve">sA、sZ</t>
  </si>
  <si>
    <t xml:space="preserve">鋼管の断面積・断面係数（腐食しろを控除）</t>
  </si>
  <si>
    <t xml:space="preserve">sN、sM、sM0 の式</t>
  </si>
  <si>
    <t xml:space="preserve">sf、sft</t>
  </si>
  <si>
    <t xml:space="preserve">鋼管の許容圧縮応力度（TB）・許容引張応力度（SB）。どちらも F/1.5</t>
  </si>
  <si>
    <t xml:space="preserve">sM0 の式</t>
  </si>
  <si>
    <t xml:space="preserve">■ 式の読み方（言葉に直すと）</t>
  </si>
  <si>
    <t xml:space="preserve">式</t>
  </si>
  <si>
    <t xml:space="preserve">読み方</t>
  </si>
  <si>
    <t xml:space="preserve">rNt＝−rf・rA</t>
  </si>
  <si>
    <t xml:space="preserve">RC部が負担できる引張軸力の限界 ＝ 鉄筋の許容応力度 × 鉄筋の全断面積（引張なのでマイナス）</t>
  </si>
  <si>
    <t xml:space="preserve">引張ではコンクリートを無視し、鉄筋だけで抵抗させる</t>
  </si>
  <si>
    <t xml:space="preserve">rNt＝−0.75・rf・rA</t>
  </si>
  <si>
    <t xml:space="preserve">上の式を0.75倍に低減したもの</t>
  </si>
  <si>
    <t xml:space="preserve">SBは引張側の限界が25％小さい → 引抜きで不利</t>
  </si>
  <si>
    <t xml:space="preserve">rNc（rN0）＝cf(cA＋n・rA)</t>
  </si>
  <si>
    <t xml:space="preserve">RC部が負担できる圧縮軸力の上限 ＝ コンクリートの許容圧縮応力度 ×（コンクリート断面積 ＋ 鉄筋をコンクリートに換算した断面積）</t>
  </si>
  <si>
    <t xml:space="preserve">n ≦ rf/cf のとき。n＞rf/cf のときは rf(rA＋cA/n)（鉄筋側で決まる）</t>
  </si>
  <si>
    <t xml:space="preserve">ND＝rNA</t>
  </si>
  <si>
    <t xml:space="preserve">設計軸力 ND を、そのまま全部 RC部 に持たせる（鋼管の軸力は0）</t>
  </si>
  <si>
    <t xml:space="preserve">SBの考え方そのもの。この軸力のときの RC部の許容曲げ rMA を求めて、次の曲げの検定に使う</t>
  </si>
  <si>
    <t xml:space="preserve">rN0 ≧ ND ≧ rNt</t>
  </si>
  <si>
    <t xml:space="preserve">設計軸力 ND が、RC部の圧縮側の上限 rN0 と引張側の限界 rNt の間に入っていること</t>
  </si>
  <si>
    <t xml:space="preserve">＝RC部だけで軸力を負担できる範囲。外れるとSBでは成り立たない（鋼管の余裕なし）</t>
  </si>
  <si>
    <t xml:space="preserve">MD ≦ sM0＋rMA</t>
  </si>
  <si>
    <t xml:space="preserve">設計曲げ MD ≦ 鋼管の許容曲げ（軸力0）＋ その軸力でのRC部の許容曲げ</t>
  </si>
  <si>
    <t xml:space="preserve">曲げは鋼管とRCで足し合わせて負担（単純累加）</t>
  </si>
  <si>
    <t xml:space="preserve">N＞rNc のとき
N ≦ rNc＋sN、M＝sM</t>
  </si>
  <si>
    <t xml:space="preserve">軸力がRC部の圧縮上限 rNc を超えた。RC部は rNc まで負担し、超えた分（N−rNc）は鋼管が負担。合計が rNc＋sN 以下なら OK。曲げは鋼管が受け持つ（M＝sM）</t>
  </si>
  <si>
    <t xml:space="preserve">鋼管は sN/sA＋sM/sZ＝sf（軸力と曲げを合わせた応力が許容応力度以内）で確認</t>
  </si>
  <si>
    <t xml:space="preserve">rNc ≧ N ≧ rNt のとき
N＝rN、M ≦ sM0＋rM</t>
  </si>
  <si>
    <t xml:space="preserve">軸力がRC部の範囲内。軸力は全部RC部が負担し、曲げは 鋼管（軸力0）＋RC部 で負担</t>
  </si>
  <si>
    <t xml:space="preserve">SBの ND＝rNA、MD ≦ sM0＋rMA と同じ考え方</t>
  </si>
  <si>
    <t xml:space="preserve">rNt＞N のとき
N ≧ rNt＋sN、M＝sM</t>
  </si>
  <si>
    <t xml:space="preserve">引張軸力がRC部の引張限界 rNt を超えた。超えた引張分は鋼管が負担。合計が rNt＋sN 以上（引張側で許容以内）なら OK</t>
  </si>
  <si>
    <t xml:space="preserve">鋼管は sN'/sA−sM/sZ＝−sf（引張側の組合せ応力）で確認</t>
  </si>
  <si>
    <t xml:space="preserve">sM0＝sZ・sf（sZ・sft）</t>
  </si>
  <si>
    <t xml:space="preserve">鋼管が曲げだけを受けるときの許容曲げ ＝ 鋼管の断面係数 × 鋼管の許容応力度</t>
  </si>
  <si>
    <t xml:space="preserve">sf＝sft＝F/1.5 なので TB・SB で同じ値</t>
  </si>
  <si>
    <t xml:space="preserve">出典：SS7マニュアル 式(7.121)〜(7.132)（TB杭）、式(7.135)〜(7.140)（SB杭）。rN・rM・rNA・rMA の求め方は 7.7.4（場所打ちコンクリート杭）による。</t>
  </si>
  <si>
    <t xml:space="preserve">■ 比較図</t>
  </si>
  <si>
    <t xml:space="preserve">TB杭とSB杭の比較一覧（SS7 マニュアルより）</t>
  </si>
  <si>
    <t xml:space="preserve">差異の見方：　◆相違＝考え方や式が違う　／　△一部相違＝一部だけ違う・書き方が違う　／　＝共通＝同じ扱い　　（表の見出しのフィルターで「差異」を絞り込めます）
「PDF該当箇所」の赤枠IDは、同じフォルダの「SS7マニュアル_TB杭SB杭_赤枠.pdf」に赤枠と同じIDで記入しています（T＝TB杭、S＝SB杭、C＝共通）。</t>
  </si>
  <si>
    <t xml:space="preserve">分類</t>
  </si>
  <si>
    <t xml:space="preserve">TB杭（7.7.5・10.15）</t>
  </si>
  <si>
    <t xml:space="preserve">SB杭（7.7.6・10.15）</t>
  </si>
  <si>
    <t xml:space="preserve">差異</t>
  </si>
  <si>
    <t xml:space="preserve">設計者メモ</t>
  </si>
  <si>
    <t xml:space="preserve">出典（式・頁）</t>
  </si>
  <si>
    <t xml:space="preserve">PDF該当箇所
赤枠ID（PDF頁／マニュアル頁）</t>
  </si>
  <si>
    <t xml:space="preserve">基本・適用</t>
  </si>
  <si>
    <t xml:space="preserve">SS7上の名称</t>
  </si>
  <si>
    <t xml:space="preserve">場所打ち鋼管コンクリート杭（TB杭）</t>
  </si>
  <si>
    <t xml:space="preserve">場所打ち鋼管コンクリート杭（SB杭）</t>
  </si>
  <si>
    <t xml:space="preserve">＝共通</t>
  </si>
  <si>
    <t xml:space="preserve">名称は同じ。括弧のTB／SBで区別されるので、入力した杭種を必ず確認する。</t>
  </si>
  <si>
    <t xml:space="preserve">7.7.5／7.7.6 見出し</t>
  </si>
  <si>
    <t xml:space="preserve">TB：T1（PDF p.1／7-63）
SB：S1（PDF p.4／7-66）</t>
  </si>
  <si>
    <t xml:space="preserve">根拠となる協会・指針</t>
  </si>
  <si>
    <t xml:space="preserve">◆相違</t>
  </si>
  <si>
    <t xml:space="preserve">根拠となる指針が別。詳細な仕様・適用条件は各協会の指針で確認する。</t>
  </si>
  <si>
    <t xml:space="preserve">p.7-63 注意／p.7-66 注意</t>
  </si>
  <si>
    <t xml:space="preserve">TB：T2（PDF p.1／7-63）
SB：S3（PDF p.4／7-66）</t>
  </si>
  <si>
    <t xml:space="preserve">杭頭部の断面構成（SS7での部位名）</t>
  </si>
  <si>
    <t xml:space="preserve">・鋼管コンクリート部（鋼管は内側にリブが付いたものとする）
・鉄筋コンクリート部（下部）</t>
  </si>
  <si>
    <t xml:space="preserve">・鋼管巻き鉄筋コンクリート部
・鉄筋コンクリート部（下部）</t>
  </si>
  <si>
    <t xml:space="preserve">TBは鋼管とコンクリートが一体で働く「鋼管コンクリート」、SBは「鉄筋コンクリートを鋼管で巻いたもの」として扱う（式の組み立てからの解釈）。</t>
  </si>
  <si>
    <t xml:space="preserve">7.7.5(1)2)／7.7.6(2)</t>
  </si>
  <si>
    <t xml:space="preserve">TB：T4（PDF p.1／7-63）、T6（PDF p.1／7-63）
SB：S7（PDF p.5／7-67）</t>
  </si>
  <si>
    <t xml:space="preserve">断面算定の対象</t>
  </si>
  <si>
    <t xml:space="preserve">杭に生じる曲げとせん断</t>
  </si>
  <si>
    <t xml:space="preserve">7.7.5／7.7.6 冒頭</t>
  </si>
  <si>
    <t xml:space="preserve">検討ケース</t>
  </si>
  <si>
    <t xml:space="preserve">上部下部分離モデル：地震時
上部下部一体モデル：長期、積雪時、暴風時、地震時</t>
  </si>
  <si>
    <t xml:space="preserve">設計用応力の扱い</t>
  </si>
  <si>
    <t xml:space="preserve">場所打ちコンクリート杭と同じ</t>
  </si>
  <si>
    <t xml:space="preserve">適用できるコンクリート強度 Fc</t>
  </si>
  <si>
    <t xml:space="preserve">協会：Fc＝18〜45 N/mm²
SS7では制限を設けていない</t>
  </si>
  <si>
    <t xml:space="preserve">協会：Fc＝18〜36 N/mm²
適用範囲外の場合はメッセージを出力</t>
  </si>
  <si>
    <t xml:space="preserve">TBは範囲外でも計算が進むので、協会の範囲内か設計者が確認する。SBは上限が36と低い。</t>
  </si>
  <si>
    <t xml:space="preserve">コンクリートの種類</t>
  </si>
  <si>
    <t xml:space="preserve">普通コンクリートのみ適用。適用外の場合はメッセージを出力</t>
  </si>
  <si>
    <t xml:space="preserve">SBで軽量コンクリート等を使う計画なら要注意。</t>
  </si>
  <si>
    <t xml:space="preserve">p.7-66 注意</t>
  </si>
  <si>
    <t xml:space="preserve">SB：S3（PDF p.4／7-66）</t>
  </si>
  <si>
    <t xml:space="preserve">材料の許容応力度</t>
  </si>
  <si>
    <t xml:space="preserve">コンクリート 長期許容圧縮応力度</t>
  </si>
  <si>
    <t xml:space="preserve">Fc/4（表7.16）
打設方法（空掘り・泥水中）による区別なし</t>
  </si>
  <si>
    <t xml:space="preserve">空掘りまたは評定工法：Fc/4
泥水中：Fc/4.5（表7.18）</t>
  </si>
  <si>
    <t xml:space="preserve">泥水中ではSBの方が約11％小さい（4/4.5＝0.89）。数値は「許容応力度_試算」シート参照。</t>
  </si>
  <si>
    <t xml:space="preserve">表7.16／表7.18</t>
  </si>
  <si>
    <t xml:space="preserve">TB：T2（PDF p.1／7-63）
SB：S2（PDF p.4／7-66）</t>
  </si>
  <si>
    <t xml:space="preserve">コンクリート 長期許容せん断応力度</t>
  </si>
  <si>
    <t xml:space="preserve">表7.16は圧縮のみ（鋼管コンクリート部のせん断は鋼管だけで負担）</t>
  </si>
  <si>
    <t xml:space="preserve">空掘りまたは評定工法：Fc/40 と 3/4(0.49＋Fc/100) の小さい方
泥水中：Fc/45 と 3/4(0.49＋Fc/100) の小さい方</t>
  </si>
  <si>
    <t xml:space="preserve">SBは表の中にせん断の許容応力度も規定されている。</t>
  </si>
  <si>
    <t xml:space="preserve">コンクリート 短期許容応力度</t>
  </si>
  <si>
    <t xml:space="preserve">長期に対する値の2倍</t>
  </si>
  <si>
    <t xml:space="preserve">圧縮：長期の2倍
せん断：長期の1.5倍</t>
  </si>
  <si>
    <t xml:space="preserve">△一部相違</t>
  </si>
  <si>
    <t xml:space="preserve">圧縮の扱いは同じ。</t>
  </si>
  <si>
    <t xml:space="preserve">許容応力度の直接入力</t>
  </si>
  <si>
    <t xml:space="preserve">打設状態を考慮するときは表による（直接入力は無視）</t>
  </si>
  <si>
    <t xml:space="preserve">直接入力した値が使われないので注意。</t>
  </si>
  <si>
    <t xml:space="preserve">7.7.5(1)1)／7.7.6(1)1)</t>
  </si>
  <si>
    <t xml:space="preserve">品質管理に関わる係数 ξ</t>
  </si>
  <si>
    <t xml:space="preserve">7.7.4 と同じ表7.15による。許容応力度を直接入力した場合は入力値×ξ</t>
  </si>
  <si>
    <t xml:space="preserve">TB：T3（PDF p.1／7-63）
SB：S4（PDF p.4／7-66）</t>
  </si>
  <si>
    <t xml:space="preserve">鋼管の許容応力度</t>
  </si>
  <si>
    <t xml:space="preserve">長期：圧縮・引張・曲げ F/1.5、せん断 F/(1.5√3)
短期：長期の1.5倍（表7.17）
※鋼管は内側にリブが付いたものとする</t>
  </si>
  <si>
    <t xml:space="preserve">長期：圧縮・引張・曲げ F/1.5、せん断 F/(1.5√3)
短期：長期の1.5倍（表7.19）</t>
  </si>
  <si>
    <t xml:space="preserve">値は同じ。TBは内側リブ付き鋼管が前提。</t>
  </si>
  <si>
    <t xml:space="preserve">表7.17／表7.19</t>
  </si>
  <si>
    <t xml:space="preserve">TB：T4（PDF p.1／7-63）
SB：S5（PDF p.4／7-66）</t>
  </si>
  <si>
    <t xml:space="preserve">鉄筋の許容応力度</t>
  </si>
  <si>
    <t xml:space="preserve">本書 2.2.2 による</t>
  </si>
  <si>
    <t xml:space="preserve">7.7.5(1)3)／7.7.6(1)3)</t>
  </si>
  <si>
    <t xml:space="preserve">TB：T5（PDF p.1／7-63）
SB：S6（PDF p.4／7-66）</t>
  </si>
  <si>
    <t xml:space="preserve">ヤング係数比</t>
  </si>
  <si>
    <t xml:space="preserve">本書 2.1.5 による</t>
  </si>
  <si>
    <t xml:space="preserve">7.7.5(1)4)／7.7.6(1)4)</t>
  </si>
  <si>
    <t xml:space="preserve">許容軸力・許容曲げ</t>
  </si>
  <si>
    <t xml:space="preserve">算定の考え方（鋼管のある区間）</t>
  </si>
  <si>
    <t xml:space="preserve">SRC規準と同様の累加強度方式</t>
  </si>
  <si>
    <t xml:space="preserve">SRC規準・鋼管コンクリート規準と同様の単純累加強度方式（鉄筋コンクリートの耐力線に鋼管の耐力を加え合わせる）</t>
  </si>
  <si>
    <t xml:space="preserve">どちらも累加強度だが、軸力の分担のさせ方が違う（次の行）。</t>
  </si>
  <si>
    <t xml:space="preserve">7.7.5(2)1)／7.7.6(2)1)</t>
  </si>
  <si>
    <t xml:space="preserve">TB：T6（PDF p.1／7-63）
SB：S7（PDF p.5／7-67）</t>
  </si>
  <si>
    <t xml:space="preserve">鋼管内（鉄筋）コンクリート部と鋼管の両方。N が rNc を超える分、rNt を下回る分は鋼管が負担</t>
  </si>
  <si>
    <t xml:space="preserve">鉄筋コンクリート部だけで負担（ND＝rNA）。鋼管は軸力を負担しない</t>
  </si>
  <si>
    <t xml:space="preserve">SBは rN0 ≧ ND ≧ rNt の範囲に軸力が収まることが前提。</t>
  </si>
  <si>
    <t xml:space="preserve">式(7.121)〜(7.126)／式(7.135)</t>
  </si>
  <si>
    <t xml:space="preserve">TB：T6（PDF p.1／7-63）、T7（PDF p.2／7-64）
SB：S8（PDF p.5／7-67）</t>
  </si>
  <si>
    <t xml:space="preserve">(i) N＞rNc のとき：N ≦ rNc＋sN、M＝sM
(ii) rNc ≧ N ≧ rNt のとき：N＝rN、M ≦ sM0＋rM
(iii) rNt＞N のとき：N ≧ rNt＋sN、M＝sM</t>
  </si>
  <si>
    <t xml:space="preserve">ND＝rNA（ただし rN0 ≧ ND ≧ rNt）
MD ≦ sM0＋rMA</t>
  </si>
  <si>
    <t xml:space="preserve">TBは軸力の大きさで3ケースに分かれる。SBは1ケースのみ。</t>
  </si>
  <si>
    <t xml:space="preserve">式(7.121)〜(7.126)／式(7.135)(7.136)</t>
  </si>
  <si>
    <t xml:space="preserve">鋼管の許容曲げ sM0 など</t>
  </si>
  <si>
    <t xml:space="preserve">sM0＝sZ・sf（sf：鋼管の許容圧縮応力度）
sN/sA＋sM/sZ＝sf
sN'/sA−sM/sZ＝−sf</t>
  </si>
  <si>
    <t xml:space="preserve">sM0＝sZ・sft（sft：鋼管の許容引張応力度）</t>
  </si>
  <si>
    <t xml:space="preserve">表7.17・7.19では圧縮と引張の許容応力度がどちらも F/1.5 なので、sM0 の値は同じになる。</t>
  </si>
  <si>
    <t xml:space="preserve">式(7.127)〜(7.129)／式(7.137)</t>
  </si>
  <si>
    <t xml:space="preserve">TB：T8（PDF p.2／7-64）
SB：S9（PDF p.5／7-67）</t>
  </si>
  <si>
    <t xml:space="preserve">RC部の圧縮側許容軸力</t>
  </si>
  <si>
    <t xml:space="preserve">rNc：rA＝0 または n ≦ rf/cf のとき cf(cA＋n・rA)
rA≠0 かつ n＞rf/cf のとき rf(rA＋cA/n)</t>
  </si>
  <si>
    <t xml:space="preserve">rN0：n ≦ rf/cfc のとき cfc(cA＋n・rA)
n＞rf/cfc のとき rf(rA＋cA/n)</t>
  </si>
  <si>
    <t xml:space="preserve">記号は違うが式の形は同じ。</t>
  </si>
  <si>
    <t xml:space="preserve">式(7.130)(7.131)／式(7.138)(7.139)</t>
  </si>
  <si>
    <t xml:space="preserve">TB：T9（PDF p.2／7-64）
SB：S10（PDF p.5／7-67）</t>
  </si>
  <si>
    <t xml:space="preserve">RC部の引張側許容軸力 rNt</t>
  </si>
  <si>
    <t xml:space="preserve">SBは0.75倍に低減。引抜きを受ける杭ではSBの方が厳しい。</t>
  </si>
  <si>
    <t xml:space="preserve">式(7.132)／式(7.140)</t>
  </si>
  <si>
    <t xml:space="preserve">TB：T10（PDF p.2／7-64）
SB：S11（PDF p.5／7-67）</t>
  </si>
  <si>
    <t xml:space="preserve">rN・rM（rNA・rMA）</t>
  </si>
  <si>
    <t xml:space="preserve">本書 7.7.4 による</t>
  </si>
  <si>
    <t xml:space="preserve">7.7.5(2)1)(vii)／7.7.6(2)1)(v)</t>
  </si>
  <si>
    <t xml:space="preserve">TB：T11（PDF p.2／7-64）
SB：S12（PDF p.5／7-67）</t>
  </si>
  <si>
    <t xml:space="preserve">下部の鉄筋コンクリート部</t>
  </si>
  <si>
    <t xml:space="preserve">7.7.5(2)2)／7.7.6(2)2)</t>
  </si>
  <si>
    <t xml:space="preserve">TB：T12（PDF p.3／7-65）
SB：S13（PDF p.5／7-67）</t>
  </si>
  <si>
    <t xml:space="preserve">許容せん断力</t>
  </si>
  <si>
    <t xml:space="preserve">鋼管部</t>
  </si>
  <si>
    <t xml:space="preserve">鋼管だけでせん断力を負担
Qa＝sA/2 × sfs
せん断応力度 τ＝2・Qd/sA</t>
  </si>
  <si>
    <t xml:space="preserve">Qa＝sA/2・sfs
せん断応力度 τ＝2・Qd/sA</t>
  </si>
  <si>
    <t xml:space="preserve">同じ式。</t>
  </si>
  <si>
    <t xml:space="preserve">式(7.133)／式(7.141)</t>
  </si>
  <si>
    <t xml:space="preserve">TB：T13（PDF p.3／7-65）
SB：S14（PDF p.6／7-68）</t>
  </si>
  <si>
    <t xml:space="preserve">鉄筋コンクリート部（長期）</t>
  </si>
  <si>
    <t xml:space="preserve">本書 7.7.4 のコンクリートのみを考慮した式による</t>
  </si>
  <si>
    <t xml:space="preserve">7.7.5(3)2)／7.7.6(3)2)</t>
  </si>
  <si>
    <t xml:space="preserve">TB：T14（PDF p.3／7-65）
SB：S15（PDF p.6／7-68）</t>
  </si>
  <si>
    <t xml:space="preserve">鉄筋コンクリート部（短期）</t>
  </si>
  <si>
    <t xml:space="preserve">Qa＝max(rQa1, rQa2)
rQa1＝3/4・cA・sfs
rQa2＝b・j{sfs＋0.5・wft(pw−0.002)}
（pw ≧ 0.002。pw＜0.002 はコンクリートのみの式。b＝De、j＝0.875d、d＝0.9De）</t>
  </si>
  <si>
    <t xml:space="preserve">SBは円形断面を等価正方形に置き換えた独自の式。この式の sfs はコンクリートの短期許容せん断応力度。</t>
  </si>
  <si>
    <t xml:space="preserve">式(7.142)〜(7.144)</t>
  </si>
  <si>
    <t xml:space="preserve">高強度せん断補強筋</t>
  </si>
  <si>
    <t xml:space="preserve">本書 7.7.4 の高強度せん断補強筋を用いた場合の式による</t>
  </si>
  <si>
    <t xml:space="preserve">杭頭接合部</t>
  </si>
  <si>
    <t xml:space="preserve">杭頭定着筋の計算用杭径</t>
  </si>
  <si>
    <t xml:space="preserve">鋼管径＋仮想コンクリート断面のオフセット
（既定値：鋼管外側から100mm）</t>
  </si>
  <si>
    <t xml:space="preserve">図7.48／図7.49</t>
  </si>
  <si>
    <t xml:space="preserve">TB：T16（PDF p.3／7-65）
SB：S17（PDF p.6／7-68）</t>
  </si>
  <si>
    <t xml:space="preserve">杭頭定着筋の算定条件</t>
  </si>
  <si>
    <t xml:space="preserve">基本条件・計算方法は 7.7.4 と同じ。設計用曲げモーメントの割増率は杭体と同じ</t>
  </si>
  <si>
    <t xml:space="preserve">基本条件・計算方法は 7.7.4 と同じ。
「軸方向力を0とした鋼管の許容曲げモーメント」以上の曲げ耐力を確保するように計算</t>
  </si>
  <si>
    <t xml:space="preserve">TBは設計応力で決まる。SBは鋼管の耐力で決まる（応力が小さくても鋼管に見合う量が必要）。</t>
  </si>
  <si>
    <t xml:space="preserve">7.7.5(4)1)／7.7.6(4)1)</t>
  </si>
  <si>
    <t xml:space="preserve">TB：T15（PDF p.3／7-65）
SB：S16（PDF p.6／7-68）</t>
  </si>
  <si>
    <t xml:space="preserve">杭頭主筋がある場合</t>
  </si>
  <si>
    <t xml:space="preserve">2段配筋になるが、メーカー指針に基づき1段筋に換算。検定用 dt は面積比から1段筋に換算。杭頭主筋と定着筋の材料が違う場合は小さい方の強度で許容応力度を求める</t>
  </si>
  <si>
    <t xml:space="preserve">記載なし（本資料の範囲）。図7.49に杭頭主筋の表示あり</t>
  </si>
  <si>
    <t xml:space="preserve">7.7.5(4)1)／図7.49</t>
  </si>
  <si>
    <t xml:space="preserve">TB：T15（PDF p.3／7-65）
SB：S17（PDF p.6／7-68）</t>
  </si>
  <si>
    <t xml:space="preserve">定着筋の選定計算</t>
  </si>
  <si>
    <t xml:space="preserve">本数を入力していない部材について実施。杭頭主筋と定着筋の位置の中心を選定用 dt とし、必要鉄筋量から杭頭主筋量を差し引いた分を定着筋とする</t>
  </si>
  <si>
    <t xml:space="preserve">本数を入力していない部材について実施。杭符号ごとの径・材料・dt・仮想コンクリート断面のオフセットを用いて本数を選定</t>
  </si>
  <si>
    <t xml:space="preserve">TBは杭頭主筋の量を差し引ける。</t>
  </si>
  <si>
    <t xml:space="preserve">定着筋の最小本数</t>
  </si>
  <si>
    <t xml:space="preserve">8本以上（RC規準1991の円柱の式を参考にしているため）</t>
  </si>
  <si>
    <t xml:space="preserve">p.7-65 注意</t>
  </si>
  <si>
    <t xml:space="preserve">TB：T17（PDF p.3／7-65）</t>
  </si>
  <si>
    <t xml:space="preserve">水平力に対する検討（支圧）</t>
  </si>
  <si>
    <t xml:space="preserve">杭頭埋込部と基礎スラブの支圧を検討
σch＝Qd/(D・l) ≦ cfc
（Qd の割増率は杭体と同じ、l：基礎スラブへの埋込長）</t>
  </si>
  <si>
    <t xml:space="preserve">TBは埋込長 l と基礎スラブの許容支圧応力度 cfc を確認する。</t>
  </si>
  <si>
    <t xml:space="preserve">式(7.134)</t>
  </si>
  <si>
    <t xml:space="preserve">TB：T18（PDF p.4／7-66）</t>
  </si>
  <si>
    <t xml:space="preserve">算定方法</t>
  </si>
  <si>
    <t xml:space="preserve">断面解析：杭断面を分割し、仮定したひずみから各材料の応力を集計して N・M を求める。収束計算で、ある軸力でのM−φ関係を求める</t>
  </si>
  <si>
    <t xml:space="preserve">トリリニアとして自動計算。ひび割れ点とひび割れ後の剛性低下は RC柱・SRC柱と同様に計算</t>
  </si>
  <si>
    <t xml:space="preserve">TBは既製杭・場所打ちコンクリート杭と同じグループ（断面解析）。</t>
  </si>
  <si>
    <t xml:space="preserve">10.15.1(1)／10.15.1(2)</t>
  </si>
  <si>
    <t xml:space="preserve">TB：T19（PDF p.7／10-75）
SB：S18（PDF p.10／10-78）</t>
  </si>
  <si>
    <t xml:space="preserve">骨格曲線の特性点</t>
  </si>
  <si>
    <t xml:space="preserve">最大〜最小軸力の間を9分割し、各軸力で算定
Mc：引張縁が 0.56√(ξ・Fc) に達した点（断面解析を使わず初期剛性で計算）
My：いずれかの材料が降伏した点
Mu：いずれかの材料が終局ひずみに達した点</t>
  </si>
  <si>
    <t xml:space="preserve">Mc：鋼管巻きRC部は SRC柱（10.11.2）、RC部は RC柱（10.8.2）による。ひび割れ時の引張強度 cσt＝0.56√Fc（Fc は打設状態で低減した値）
降伏点：終局曲げモーメントに達した点（メーカー指針の終局曲げ耐力）</t>
  </si>
  <si>
    <t xml:space="preserve">10.15.1(1)2)／10.15.1(2)1)</t>
  </si>
  <si>
    <t xml:space="preserve">TB：T20（PDF p.7／10-75）
SB：S19（PDF p.10／10-78）</t>
  </si>
  <si>
    <t xml:space="preserve">トリリニアへのモデル化</t>
  </si>
  <si>
    <t xml:space="preserve">コンクリートを含む杭なので「第2折線が降伏点を通過する」方法（図10.46）</t>
  </si>
  <si>
    <t xml:space="preserve">降伏点＝終局曲げモーメント到達点としてトリリニア</t>
  </si>
  <si>
    <t xml:space="preserve">図10.46／10.15.1(2)</t>
  </si>
  <si>
    <t xml:space="preserve">TB：T21（PDF p.8／10-76）、T22（PDF p.8／10-76）
SB：S18（PDF p.10／10-78）</t>
  </si>
  <si>
    <t xml:space="preserve">降伏時の剛性低下率</t>
  </si>
  <si>
    <t xml:space="preserve">M−φ関係の αy を、応力解析では M−θ関係の αy'＝αy/(3−2αy) に置き換える</t>
  </si>
  <si>
    <t xml:space="preserve">SRC柱（10.11.2）・RC柱（10.8.2）による。RC部分の算定ではせん断スパン比に上限の5.0を採用。鋼管巻きRC部のRC部分・S部分のスケルトンは M−θ を M−φ に置き換え（K＝6EI/L → K＝EI）</t>
  </si>
  <si>
    <t xml:space="preserve">式(10.234)／10.15.1(2)2)</t>
  </si>
  <si>
    <t xml:space="preserve">TB：T23（PDF p.8／10-76）
SB：S20（PDF p.10／10-78）</t>
  </si>
  <si>
    <t xml:space="preserve">材料の応力度−ひずみ関係</t>
  </si>
  <si>
    <t xml:space="preserve">コンクリート：ξ・Fc で頭打ち、限界圧縮ひずみ εB＝0.003、引張は σcr＝0.56√(ξ・Fc) まで
鉄筋・鋼管：圧縮・引張とも sσy のバイリニア</t>
  </si>
  <si>
    <t xml:space="preserve">断面解析を使わないため該当なし</t>
  </si>
  <si>
    <t xml:space="preserve">図10.48</t>
  </si>
  <si>
    <t xml:space="preserve">TB：T24（PDF p.9／10-77）</t>
  </si>
  <si>
    <t xml:space="preserve">終局曲げモーメント</t>
  </si>
  <si>
    <t xml:space="preserve">断面解析による</t>
  </si>
  <si>
    <t xml:space="preserve">Mu＝Mrc＋Mst
Mrc：円形断面を等価正方形（π・cD²/4＝b・De、一辺の主筋＝全体の1/4＋1本）に置き換え、軸力の大きさに応じて式(10.241)〜(10.245)
Mst＝(dp−tp)²・tp・σpy（全塑性モーメント、鋼管は軸力を負担しない）
uFc：水・泥水を使わない打設等は Fc×3/4、それ以外は Fc/1.5</t>
  </si>
  <si>
    <t xml:space="preserve">SBの鋼管部分は軸力を負担しないと考える。</t>
  </si>
  <si>
    <t xml:space="preserve">式(10.240)〜(10.246)</t>
  </si>
  <si>
    <t xml:space="preserve">SB：S21（PDF p.11／10-79）、S22（PDF p.12／10-80）</t>
  </si>
  <si>
    <t xml:space="preserve">せん断の復元力特性</t>
  </si>
  <si>
    <t xml:space="preserve">モデル</t>
  </si>
  <si>
    <t xml:space="preserve">鉄筋コンクリート部は、指定によりひび割れを考慮したトリリニアを扱える（他の杭種は終局せん断耐力のみのバイリニア）</t>
  </si>
  <si>
    <t xml:space="preserve">10.15.2 冒頭</t>
  </si>
  <si>
    <t xml:space="preserve">共通：C1（PDF p.12／10-80）</t>
  </si>
  <si>
    <t xml:space="preserve">せん断ひび割れ耐力</t>
  </si>
  <si>
    <t xml:space="preserve">場所打ちコンクリート杭と同じ（式(10.247)、重力単位で計算しSI単位に変換）</t>
  </si>
  <si>
    <t xml:space="preserve">10.15.2(1)2)</t>
  </si>
  <si>
    <t xml:space="preserve">共通：C2（PDF p.12／10-80）</t>
  </si>
  <si>
    <t xml:space="preserve">ひび割れ後の剛性低下率</t>
  </si>
  <si>
    <t xml:space="preserve">場所打ちコンクリート杭と同じ
βy＝Qu/(0.002・G・As)</t>
  </si>
  <si>
    <t xml:space="preserve">式(10.248)／10.15.2(2)2)</t>
  </si>
  <si>
    <t xml:space="preserve">共通：C3（PDF p.13／10-81）</t>
  </si>
  <si>
    <t xml:space="preserve">終局せん断耐力（鋼管部）</t>
  </si>
  <si>
    <t xml:space="preserve">鋼管コンクリート部と杭頭接合部を比べ、小さい方
Qu＝min(Qu1, Qu2)
Qu1＝sA/2・Fs/√3（鋼管）
Qu2＝Fc・D・ℓ（Fc：基礎スラブ、ℓ：埋込長）</t>
  </si>
  <si>
    <t xml:space="preserve">鋼管部分のせん断耐力のみ
Qu＝sA・(σpy/√3)・(1/κ)、κ＝2.0</t>
  </si>
  <si>
    <t xml:space="preserve">鋼管分の値は同じ（κ＝2 → sA/2）。TBだけ杭頭接合部で頭打ちになる。数値は「鋼管部_試算」シート参照。</t>
  </si>
  <si>
    <t xml:space="preserve">式(10.254)／式(10.255)</t>
  </si>
  <si>
    <t xml:space="preserve">TB：T27（PDF p.15／10-83）
SB：S23（PDF p.15／10-83）</t>
  </si>
  <si>
    <t xml:space="preserve">終局せん断耐力（RC部）</t>
  </si>
  <si>
    <t xml:space="preserve">場所打ちコンクリート杭と同じ
荒川min式／mean式（b＝(π/4)D、j＝(7/8)d、pt＝ag/(4b・D)、σ0 ≦ 0.4ξ・Fc）</t>
  </si>
  <si>
    <t xml:space="preserve">Qu＝[0.092・ku・kp(17.7＋uFc)/(M/(Q・d)＋0.12)＋0.846√(pw・σwy)＋0.1・σ0]・b・j
ku＝0.72、kp＝0.82・pt^0.23、d＝0.9De、j＝0.875d、pw ≦ 1.2％
uFc：Fc×3/4 または Fc/1.5</t>
  </si>
  <si>
    <t xml:space="preserve">SBは等価正方形断面・uFc を使う独自の式。</t>
  </si>
  <si>
    <t xml:space="preserve">式(10.249)(10.250)／式(10.256)</t>
  </si>
  <si>
    <t xml:space="preserve">TB：T25（PDF p.13／10-81）、T28（PDF p.15／10-83）
SB：S24（PDF p.15／10-83）</t>
  </si>
  <si>
    <t xml:space="preserve">高強度せん断補強筋を用いた場合</t>
  </si>
  <si>
    <t xml:space="preserve">10.15.2(3)</t>
  </si>
  <si>
    <t xml:space="preserve">TB：T26（PDF p.14／10-82）、T28（PDF p.15／10-83）
SB：S24（PDF p.15／10-83）</t>
  </si>
  <si>
    <t xml:space="preserve">差異の集計</t>
  </si>
  <si>
    <t xml:space="preserve">※「記載なし（本資料の範囲）」は、ご提供の抜粋にその記述がないという意味です。プログラムや協会指針に規定がないことを意味しません。実設計では各協会の設計・施工指針とSS7の最新マニュアルを必ず確認してください。　「設計者メモ」は式・記述からの読み取りと実務上の注意点で、マニュアルの原文ではありません。</t>
  </si>
  <si>
    <t xml:space="preserve">許容応力度の試算（TB杭 と SB杭）</t>
  </si>
  <si>
    <t xml:space="preserve">表7.16〜7.19 の式をそのまま計算しています。品質管理に関わる係数 ξ（表7.15）は考慮していません。</t>
  </si>
  <si>
    <t xml:space="preserve">凡例：黄色セル・青字＝入力欄（変更できます）　／　黒字＝計算式（自動で再計算）</t>
  </si>
  <si>
    <t xml:space="preserve">■ 入力</t>
  </si>
  <si>
    <t xml:space="preserve">コンクリートの設計基準強度 Fc</t>
  </si>
  <si>
    <t xml:space="preserve">N/mm²</t>
  </si>
  <si>
    <t xml:space="preserve">入力例。TB：18〜45、SB：18〜36 が協会の範囲</t>
  </si>
  <si>
    <t xml:space="preserve">鋼管の基準強度 F</t>
  </si>
  <si>
    <t xml:space="preserve">入力例。使用する鋼管の材種に応じて入力</t>
  </si>
  <si>
    <t xml:space="preserve">■ コンクリートの許容応力度（入力した Fc での値）　単位：N/mm²</t>
  </si>
  <si>
    <t xml:space="preserve">SB杭
空掘り・評定工法</t>
  </si>
  <si>
    <t xml:space="preserve">SB杭
泥水中</t>
  </si>
  <si>
    <t xml:space="preserve">備考</t>
  </si>
  <si>
    <t xml:space="preserve">長期 許容圧縮応力度</t>
  </si>
  <si>
    <t xml:space="preserve">TB：表7.16　SB：表7.18</t>
  </si>
  <si>
    <t xml:space="preserve">短期 許容圧縮応力度</t>
  </si>
  <si>
    <t xml:space="preserve">長期の2倍（TB・SB共通）</t>
  </si>
  <si>
    <t xml:space="preserve">長期 許容せん断応力度</t>
  </si>
  <si>
    <t xml:space="preserve">規定なし</t>
  </si>
  <si>
    <t xml:space="preserve">TBの鋼管部のせん断は鋼管だけで負担（表7.16は圧縮のみ）</t>
  </si>
  <si>
    <t xml:space="preserve">短期 許容せん断応力度</t>
  </si>
  <si>
    <t xml:space="preserve">SB：長期の1.5倍</t>
  </si>
  <si>
    <t xml:space="preserve">TBに対する比（長期圧縮）</t>
  </si>
  <si>
    <t xml:space="preserve">1.000 未満なら TB より小さい</t>
  </si>
  <si>
    <t xml:space="preserve">Fc の適用範囲（協会）</t>
  </si>
  <si>
    <t xml:space="preserve">■ 鋼管の許容応力度（TB・SB共通：表7.17／表7.19）　単位：N/mm²</t>
  </si>
  <si>
    <t xml:space="preserve">長期</t>
  </si>
  <si>
    <t xml:space="preserve">短期</t>
  </si>
  <si>
    <t xml:space="preserve">圧縮・引張・曲げ（sf、sft）</t>
  </si>
  <si>
    <t xml:space="preserve">長期 F/1.5、短期は長期の1.5倍</t>
  </si>
  <si>
    <t xml:space="preserve">せん断（sfs）</t>
  </si>
  <si>
    <t xml:space="preserve">長期 F/(1.5√3)、短期は長期の1.5倍</t>
  </si>
  <si>
    <t xml:space="preserve">■ Fc ごとの比較表（長期、単位：N/mm²）</t>
  </si>
  <si>
    <t xml:space="preserve">Fc（入力可）</t>
  </si>
  <si>
    <t xml:space="preserve">TB杭
長期圧縮</t>
  </si>
  <si>
    <t xml:space="preserve">SB杭 空掘り
長期圧縮</t>
  </si>
  <si>
    <t xml:space="preserve">SB杭 泥水中
長期圧縮</t>
  </si>
  <si>
    <t xml:space="preserve">差
TB − SB泥水中</t>
  </si>
  <si>
    <t xml:space="preserve">SB杭 空掘り
長期せん断</t>
  </si>
  <si>
    <t xml:space="preserve">SB杭 泥水中
長期せん断</t>
  </si>
  <si>
    <t xml:space="preserve">SBせん断の決定式</t>
  </si>
  <si>
    <t xml:space="preserve">※入力した Fc と同じ行は太字で表示。Fc＞36 の行は SB協会の適用範囲外のため灰色表示。</t>
  </si>
  <si>
    <t xml:space="preserve">鋼管部の耐力の試算（TB杭 と SB杭）</t>
  </si>
  <si>
    <t xml:space="preserve">鋼管のある区間について、鋼管が受け持つ許容曲げ・許容せん断・終局せん断を同じ入力で比べます。</t>
  </si>
  <si>
    <t xml:space="preserve">凡例：黄色セル・青字＝入力欄（変更できます）　／　黒字＝計算式（自動で再計算）　　※数値はすべて入力例です</t>
  </si>
  <si>
    <t xml:space="preserve">鋼管の外径 D</t>
  </si>
  <si>
    <t xml:space="preserve">mm</t>
  </si>
  <si>
    <t xml:space="preserve">入力例</t>
  </si>
  <si>
    <t xml:space="preserve">鋼管の肉厚 t</t>
  </si>
  <si>
    <t xml:space="preserve">腐食しろ（外面）</t>
  </si>
  <si>
    <t xml:space="preserve">入力例。外面のみ控除と仮定（内面はコンクリート充填）</t>
  </si>
  <si>
    <t xml:space="preserve">入力例。許容応力度に使用</t>
  </si>
  <si>
    <t xml:space="preserve">鋼管の材料強度の倍率（σpy＝F×倍率）</t>
  </si>
  <si>
    <t xml:space="preserve">倍</t>
  </si>
  <si>
    <t xml:space="preserve">入力例。終局耐力に使用（1.1F とするなら 1.1）</t>
  </si>
  <si>
    <t xml:space="preserve">基礎スラブのコンクリート設計基準強度 Fc</t>
  </si>
  <si>
    <t xml:space="preserve">入力例。TBの杭頭接合部 Qu2 に使用</t>
  </si>
  <si>
    <t xml:space="preserve">基礎スラブへの埋込長 ℓ</t>
  </si>
  <si>
    <t xml:space="preserve">SBの鋼管断面のせん断応力度分布係数 κ</t>
  </si>
  <si>
    <t xml:space="preserve">SS7の規定値（式(10.255)）。通常は変更しない</t>
  </si>
  <si>
    <t xml:space="preserve">■ 鋼管の断面性能（腐食しろ控除後）</t>
  </si>
  <si>
    <t xml:space="preserve">値</t>
  </si>
  <si>
    <t xml:space="preserve">単位</t>
  </si>
  <si>
    <t xml:space="preserve">外径 dp</t>
  </si>
  <si>
    <t xml:space="preserve">D − 2×腐食しろ</t>
  </si>
  <si>
    <t xml:space="preserve">肉厚 tp</t>
  </si>
  <si>
    <t xml:space="preserve">t − 腐食しろ</t>
  </si>
  <si>
    <t xml:space="preserve">内径 di</t>
  </si>
  <si>
    <t xml:space="preserve">dp − 2×tp</t>
  </si>
  <si>
    <t xml:space="preserve">断面積 sA</t>
  </si>
  <si>
    <t xml:space="preserve">mm²</t>
  </si>
  <si>
    <t xml:space="preserve">π/4 × (dp² − di²)</t>
  </si>
  <si>
    <t xml:space="preserve">断面係数 sZ</t>
  </si>
  <si>
    <t xml:space="preserve">mm³</t>
  </si>
  <si>
    <t xml:space="preserve">π/32 × (dp⁴ − di⁴) / dp</t>
  </si>
  <si>
    <t xml:space="preserve">長期 許容圧縮・引張応力度 sf（＝sft）</t>
  </si>
  <si>
    <t xml:space="preserve">F/1.5（表7.17／表7.19）</t>
  </si>
  <si>
    <t xml:space="preserve">長期 許容せん断応力度 sfs</t>
  </si>
  <si>
    <t xml:space="preserve">F/(1.5√3)（表7.17／表7.19）</t>
  </si>
  <si>
    <t xml:space="preserve">材料強度 σpy（＝Fs）</t>
  </si>
  <si>
    <t xml:space="preserve">F × 倍率</t>
  </si>
  <si>
    <t xml:space="preserve">■ 結果の比較</t>
  </si>
  <si>
    <t xml:space="preserve">式（SS7）</t>
  </si>
  <si>
    <t xml:space="preserve">ひとこと</t>
  </si>
  <si>
    <t xml:space="preserve">鋼管の許容曲げ sM0（長期）</t>
  </si>
  <si>
    <t xml:space="preserve">kN・m</t>
  </si>
  <si>
    <t xml:space="preserve">TB：sZ・sf (7.127)
SB：sZ・sft (7.137)</t>
  </si>
  <si>
    <t xml:space="preserve">sf＝sft なので同じ値</t>
  </si>
  <si>
    <t xml:space="preserve">鋼管の許容曲げ sM0（短期）</t>
  </si>
  <si>
    <t xml:space="preserve">長期の1.5倍</t>
  </si>
  <si>
    <t xml:space="preserve">同上</t>
  </si>
  <si>
    <t xml:space="preserve">鋼管部の許容せん断力 Qa（長期）</t>
  </si>
  <si>
    <t xml:space="preserve">kN</t>
  </si>
  <si>
    <t xml:space="preserve">sA/2 × sfs
(7.133)／(7.141)</t>
  </si>
  <si>
    <t xml:space="preserve">鋼管部の許容せん断力 Qa（短期）</t>
  </si>
  <si>
    <t xml:space="preserve">終局せん断：鋼管分</t>
  </si>
  <si>
    <t xml:space="preserve">TB：Qu1＝sA/2・Fs/√3
SB：sA・(σpy/√3)・(1/κ)</t>
  </si>
  <si>
    <t xml:space="preserve">κ＝2 なら同じ値</t>
  </si>
  <si>
    <t xml:space="preserve">終局せん断：杭頭接合部</t>
  </si>
  <si>
    <t xml:space="preserve">TB：Qu2＝Fc・D・ℓ (10.254)</t>
  </si>
  <si>
    <t xml:space="preserve">TBだけの検討</t>
  </si>
  <si>
    <t xml:space="preserve">終局せん断耐力 Qu（採用値）</t>
  </si>
  <si>
    <t xml:space="preserve">TB：min(Qu1, Qu2)
SB：鋼管分のみ</t>
  </si>
  <si>
    <t xml:space="preserve">Qu の決定要因</t>
  </si>
  <si>
    <t xml:space="preserve">鋼管で決定</t>
  </si>
  <si>
    <t xml:space="preserve">TBは埋込長 ℓ・基礎スラブ Fc で変わる</t>
  </si>
  <si>
    <t xml:space="preserve">鋼管の終局曲げ Mst</t>
  </si>
  <si>
    <t xml:space="preserve">断面解析で算定</t>
  </si>
  <si>
    <t xml:space="preserve">SB：(dp−tp)²・tp・σpy (10.246)</t>
  </si>
  <si>
    <t xml:space="preserve">SBは全塑性、軸力負担なし</t>
  </si>
  <si>
    <t xml:space="preserve">※腐食しろは外面のみ控除と仮定しています（SS7の記号説明は「腐食しろを控除」のみ）。設計条件に合わせて入力を変更してください。</t>
  </si>
  <si>
    <t xml:space="preserve">※TBの Qu2 の D は鋼管径（入力した外径）、Fc は基礎スラブのコンクリート設計基準強度です（式(10.254)）。</t>
  </si>
  <si>
    <t xml:space="preserve">※TBの鋼管の終局曲げはSS7内の断面解析で求めるため、本シートでは算定していません。</t>
  </si>
  <si>
    <t xml:space="preserve">設計チェックリスト（TB杭／SB杭）</t>
  </si>
  <si>
    <t xml:space="preserve">使い方：「確認」列（黄色）のプルダウンで 未／済／対象外 を選び、「メモ」列（黄色）に内容を記入します。No.1 は記入例です。</t>
  </si>
  <si>
    <t xml:space="preserve">対象</t>
  </si>
  <si>
    <t xml:space="preserve">チェック項目</t>
  </si>
  <si>
    <t xml:space="preserve">根拠（SS7）</t>
  </si>
  <si>
    <t xml:space="preserve">確認</t>
  </si>
  <si>
    <t xml:space="preserve">メモ</t>
  </si>
  <si>
    <t xml:space="preserve">打設状態（空掘り・泥水中）の設定が施工計画と合っているか</t>
  </si>
  <si>
    <t xml:space="preserve">済</t>
  </si>
  <si>
    <t xml:space="preserve">記入例：泥水中で設定（施工計画書 確認済み）</t>
  </si>
  <si>
    <t xml:space="preserve">TB杭・SB杭のどちらで入力されているか（SS7ではどちらも「場所打ち鋼管コンクリート杭」）</t>
  </si>
  <si>
    <t xml:space="preserve">7.7.5／7.7.6</t>
  </si>
  <si>
    <t xml:space="preserve">未</t>
  </si>
  <si>
    <t xml:space="preserve">許容応力度を直接入力していないか（打設状態を考慮する場合、直接入力は無視される）</t>
  </si>
  <si>
    <t xml:space="preserve">品質管理に関わる係数 ξ の設定</t>
  </si>
  <si>
    <t xml:space="preserve">表7.15（7.7.4）</t>
  </si>
  <si>
    <t xml:space="preserve">解析モデル（上部下部分離／一体）に応じた検討ケースになっているか</t>
  </si>
  <si>
    <t xml:space="preserve">仮想コンクリート断面のオフセット（既定100mm）が妥当か</t>
  </si>
  <si>
    <t xml:space="preserve">Fc が協会の範囲（18〜45 N/mm²）に入っているか（SS7は制限しない）</t>
  </si>
  <si>
    <t xml:space="preserve">p.7-63 注意</t>
  </si>
  <si>
    <t xml:space="preserve">鋼管は内側リブ付きのものか（SS7の前提）</t>
  </si>
  <si>
    <t xml:space="preserve">7.7.5(1)2)</t>
  </si>
  <si>
    <t xml:space="preserve">杭頭定着筋が8本以上か</t>
  </si>
  <si>
    <t xml:space="preserve">杭頭主筋がある場合、1段筋への換算（メーカー指針）と、材料が異なる場合の強度の扱い</t>
  </si>
  <si>
    <t xml:space="preserve">7.7.5(4)1)</t>
  </si>
  <si>
    <t xml:space="preserve">杭頭埋込部の支圧 σch＝Qd/(D・l) ≦ cfc</t>
  </si>
  <si>
    <t xml:space="preserve">終局せん断耐力が杭頭接合部（Fc・D・ℓ）で決まる場合があるため、基礎スラブ Fc と埋込長 ℓ を確認</t>
  </si>
  <si>
    <t xml:space="preserve">式(10.254)</t>
  </si>
  <si>
    <t xml:space="preserve">Fc が協会の範囲（18〜36 N/mm²）に入っているか、メッセージが出ていないか</t>
  </si>
  <si>
    <t xml:space="preserve">普通コンクリートか（それ以外は適用外）</t>
  </si>
  <si>
    <t xml:space="preserve">泥水中の場合、長期許容圧縮応力度が Fc/4.5 になることを反映しているか</t>
  </si>
  <si>
    <t xml:space="preserve">表7.18</t>
  </si>
  <si>
    <t xml:space="preserve">設計軸力が鉄筋コンクリート部の範囲（rN0 ≧ ND ≧ rNt）に入っているか（鋼管は軸力を負担しない）</t>
  </si>
  <si>
    <t xml:space="preserve">式(7.135)</t>
  </si>
  <si>
    <t xml:space="preserve">引抜き時に rNt＝−0.75・rf・rA の低減が効いていないか</t>
  </si>
  <si>
    <t xml:space="preserve">式(7.140)</t>
  </si>
  <si>
    <t xml:space="preserve">杭頭定着筋が「軸力0とした鋼管の許容曲げモーメント」以上の曲げ耐力を確保しているか</t>
  </si>
  <si>
    <t xml:space="preserve">7.7.6(4)1)</t>
  </si>
  <si>
    <t xml:space="preserve">曲げの降伏点（終局曲げ）がメーカー指針と整合しているか</t>
  </si>
  <si>
    <t xml:space="preserve">10.15.1(2)</t>
  </si>
  <si>
    <t xml:space="preserve">uFc の低減（水・泥水を使わない打設等は 3/4、それ以外は 1/1.5）が打設方法と合っているか</t>
  </si>
  <si>
    <t xml:space="preserve">式(10.241)〜(10.256)</t>
  </si>
  <si>
    <t xml:space="preserve">SS7 マニュアルの記号をそのまま使っています（添字の r：鉄筋コンクリート部、s：鋼管、c：コンクリート）。</t>
  </si>
  <si>
    <t xml:space="preserve">意味</t>
  </si>
  <si>
    <t xml:space="preserve">使う杭</t>
  </si>
  <si>
    <t xml:space="preserve">N、ND</t>
  </si>
  <si>
    <t xml:space="preserve">設計用軸方向力</t>
  </si>
  <si>
    <t xml:space="preserve">M、MD</t>
  </si>
  <si>
    <t xml:space="preserve">設計用曲げモーメント</t>
  </si>
  <si>
    <t xml:space="preserve">鋼管内（鉄筋）コンクリート部が圧縮力だけを受ける場合の許容軸方向力</t>
  </si>
  <si>
    <t xml:space="preserve">鉄筋コンクリート部が圧縮力だけを受ける場合の許容軸方向力</t>
  </si>
  <si>
    <t xml:space="preserve">（鋼管内）鉄筋コンクリート部が引張力だけを受ける場合の許容軸方向力（TB：−rf・rA、SB：−0.75・rf・rA）</t>
  </si>
  <si>
    <t xml:space="preserve">rN、rM</t>
  </si>
  <si>
    <t xml:space="preserve">鋼管内（鉄筋）コンクリート部の許容軸方向力・許容曲げモーメント</t>
  </si>
  <si>
    <t xml:space="preserve">rNA、rMA</t>
  </si>
  <si>
    <t xml:space="preserve">鉄筋コンクリート部の許容軸方向力・許容曲げモーメント</t>
  </si>
  <si>
    <t xml:space="preserve">sN、sN'</t>
  </si>
  <si>
    <t xml:space="preserve">鋼管部の許容軸方向圧縮力・許容軸方向引張力</t>
  </si>
  <si>
    <t xml:space="preserve">鋼管部の許容曲げモーメント</t>
  </si>
  <si>
    <t xml:space="preserve">鋼管部が曲げモーメントだけを受ける場合の許容曲げモーメント</t>
  </si>
  <si>
    <t xml:space="preserve">sZ、sA</t>
  </si>
  <si>
    <t xml:space="preserve">鋼管の断面係数・断面積（腐食しろ控除）</t>
  </si>
  <si>
    <t xml:space="preserve">sf、sft</t>
  </si>
  <si>
    <t xml:space="preserve">鋼管の許容圧縮応力度（TB）・許容引張応力度（SB）</t>
  </si>
  <si>
    <t xml:space="preserve">sfs</t>
  </si>
  <si>
    <t xml:space="preserve">鋼管の許容せん断応力度。※SBのRC部短期許容せん断の式(7.143)(7.144)ではコンクリートの短期許容せん断応力度</t>
  </si>
  <si>
    <t xml:space="preserve">cA、rA</t>
  </si>
  <si>
    <t xml:space="preserve">コンクリートの断面積・鉄筋の全断面積</t>
  </si>
  <si>
    <t xml:space="preserve">cf、cfc</t>
  </si>
  <si>
    <t xml:space="preserve">鉄筋の許容圧縮応力度（SBの rN0・rNt では許容圧縮または許容引張応力度）</t>
  </si>
  <si>
    <t xml:space="preserve">Qa、Qd</t>
  </si>
  <si>
    <t xml:space="preserve">許容せん断力・設計用せん断力</t>
  </si>
  <si>
    <t xml:space="preserve">wft、pw</t>
  </si>
  <si>
    <t xml:space="preserve">帯筋のせん断補強用許容応力度・帯筋比 aw/(d・x)</t>
  </si>
  <si>
    <t xml:space="preserve">De、b、j、d</t>
  </si>
  <si>
    <t xml:space="preserve">等価正方形断面のせい・幅（b＝De）・応力中心間距離（j＝0.875d）・有効せい（d＝0.9De）</t>
  </si>
  <si>
    <t xml:space="preserve">σch、cfc</t>
  </si>
  <si>
    <t xml:space="preserve">杭頭埋込部のコンクリートの支圧応力度・基礎スラブコンクリートの許容支圧応力度</t>
  </si>
  <si>
    <t xml:space="preserve">D、l（ℓ）</t>
  </si>
  <si>
    <t xml:space="preserve">鋼管径・基礎スラブへの埋込長</t>
  </si>
  <si>
    <t xml:space="preserve">Mc、My、Mu</t>
  </si>
  <si>
    <t xml:space="preserve">ひび割れ・降伏・終局の曲げモーメント</t>
  </si>
  <si>
    <t xml:space="preserve">αy、αy'</t>
  </si>
  <si>
    <t xml:space="preserve">降伏時の剛性低下率（M−φ関係）・M−θ関係に置き換えた値 αy/(3−2αy)</t>
  </si>
  <si>
    <t xml:space="preserve">Mrc、Mst</t>
  </si>
  <si>
    <t xml:space="preserve">鉄筋コンクリート部分・鋼管部分の終局曲げ耐力（Mu＝Mrc＋Mst）</t>
  </si>
  <si>
    <t xml:space="preserve">dp、tp、σpy</t>
  </si>
  <si>
    <t xml:space="preserve">鋼管の外径・肉厚（腐食しろ控除）・鋼管の材料強度</t>
  </si>
  <si>
    <t xml:space="preserve">κ</t>
  </si>
  <si>
    <t xml:space="preserve">鋼管断面のせん断応力度分布係数（＝2.0）</t>
  </si>
  <si>
    <t xml:space="preserve">uFc</t>
  </si>
  <si>
    <t xml:space="preserve">コンクリートの圧縮強度（水・泥水を使わない打設、または強度試験で確認できる場合は Fc×3/4、それ以外は Fc/1.5）</t>
  </si>
  <si>
    <t xml:space="preserve">ku、kp</t>
  </si>
  <si>
    <t xml:space="preserve">補正係数（ku＝0.72、kp＝0.82・pt^0.23）</t>
  </si>
  <si>
    <t xml:space="preserve">ξ</t>
  </si>
  <si>
    <t xml:space="preserve">品質管理に関わる係数（表7.15）</t>
  </si>
  <si>
    <t xml:space="preserve">Qu1、Qu2</t>
  </si>
  <si>
    <t xml:space="preserve">TBの終局せん断耐力：鋼管分（sA/2・Fs/√3）・杭頭接合部分（Fc・D・ℓ）</t>
  </si>
  <si>
    <t xml:space="preserve">PDF対照表（赤枠ID と マニュアルの記載箇所）</t>
  </si>
  <si>
    <t xml:space="preserve">PDF「SS7マニュアル_TB杭SB杭_赤枠.pdf」の各頁に、下表の枠IDで赤枠を付けています。枠IDは赤枠の右横に表示しています。</t>
  </si>
  <si>
    <t xml:space="preserve">枠ID</t>
  </si>
  <si>
    <t xml:space="preserve">PDF頁</t>
  </si>
  <si>
    <t xml:space="preserve">マニュアル頁</t>
  </si>
  <si>
    <t xml:space="preserve">記載内容</t>
  </si>
  <si>
    <t xml:space="preserve">関連する比較一覧No.</t>
  </si>
  <si>
    <t xml:space="preserve">T1</t>
  </si>
  <si>
    <t xml:space="preserve">7-63</t>
  </si>
  <si>
    <t xml:space="preserve">7.7.5 見出し・冒頭（断面算定の対象、検討ケース、設計用応力）</t>
  </si>
  <si>
    <t xml:space="preserve">1,4,5,6</t>
  </si>
  <si>
    <t xml:space="preserve">T2</t>
  </si>
  <si>
    <t xml:space="preserve">表7.16 コンクリートの許容圧縮応力度、KCTBの注意書き</t>
  </si>
  <si>
    <t xml:space="preserve">2,7,9,10,11,12</t>
  </si>
  <si>
    <t xml:space="preserve">T3</t>
  </si>
  <si>
    <t xml:space="preserve">品質管理に関わる係数ξ</t>
  </si>
  <si>
    <t xml:space="preserve">13</t>
  </si>
  <si>
    <t xml:space="preserve">表7.17 鋼材の許容応力度（鋼管は内側リブ付き）</t>
  </si>
  <si>
    <t xml:space="preserve">3,14</t>
  </si>
  <si>
    <t xml:space="preserve">T5</t>
  </si>
  <si>
    <t xml:space="preserve">鉄筋の許容応力度、ヤング係数比</t>
  </si>
  <si>
    <t xml:space="preserve">15,16</t>
  </si>
  <si>
    <t xml:space="preserve">T6</t>
  </si>
  <si>
    <t xml:space="preserve">(2)1) 鋼管コンクリート部：累加強度、(i) N＞rNc</t>
  </si>
  <si>
    <t xml:space="preserve">3,17,18,19</t>
  </si>
  <si>
    <t xml:space="preserve">T7</t>
  </si>
  <si>
    <t xml:space="preserve">7-64</t>
  </si>
  <si>
    <t xml:space="preserve">(ii) rNc≧N≧rNt、(iii) rNt＞N</t>
  </si>
  <si>
    <t xml:space="preserve">18,19</t>
  </si>
  <si>
    <t xml:space="preserve">T8</t>
  </si>
  <si>
    <t xml:space="preserve">(iv) sM0・sN・sN'</t>
  </si>
  <si>
    <t xml:space="preserve">20</t>
  </si>
  <si>
    <t xml:space="preserve">T9</t>
  </si>
  <si>
    <t xml:space="preserve">(v) rNc</t>
  </si>
  <si>
    <t xml:space="preserve">21</t>
  </si>
  <si>
    <t xml:space="preserve">T10</t>
  </si>
  <si>
    <t xml:space="preserve">(vi) rNt＝−rf・rA</t>
  </si>
  <si>
    <t xml:space="preserve">22</t>
  </si>
  <si>
    <t xml:space="preserve">T11</t>
  </si>
  <si>
    <t xml:space="preserve">(vii) rN・rM は 7.7.4</t>
  </si>
  <si>
    <t xml:space="preserve">23</t>
  </si>
  <si>
    <t xml:space="preserve">T12</t>
  </si>
  <si>
    <t xml:space="preserve">7-65</t>
  </si>
  <si>
    <t xml:space="preserve">2) 鉄筋コンクリート部は 7.7.4</t>
  </si>
  <si>
    <t xml:space="preserve">24</t>
  </si>
  <si>
    <t xml:space="preserve">T13</t>
  </si>
  <si>
    <t xml:space="preserve">(3)1) 鋼管部の許容せん断力</t>
  </si>
  <si>
    <t xml:space="preserve">25</t>
  </si>
  <si>
    <t xml:space="preserve">T14</t>
  </si>
  <si>
    <t xml:space="preserve">(3)2) 鉄筋コンクリート部は 7.7.4</t>
  </si>
  <si>
    <t xml:space="preserve">26,27,28</t>
  </si>
  <si>
    <t xml:space="preserve">T15</t>
  </si>
  <si>
    <t xml:space="preserve">(4)1) 杭頭定着筋の検討</t>
  </si>
  <si>
    <t xml:space="preserve">30,31,32</t>
  </si>
  <si>
    <t xml:space="preserve">T16</t>
  </si>
  <si>
    <t xml:space="preserve">図7.48 杭頭定着筋計算用杭径</t>
  </si>
  <si>
    <t xml:space="preserve">29</t>
  </si>
  <si>
    <t xml:space="preserve">T17</t>
  </si>
  <si>
    <t xml:space="preserve">注意：定着筋は8本以上</t>
  </si>
  <si>
    <t xml:space="preserve">33</t>
  </si>
  <si>
    <t xml:space="preserve">T18</t>
  </si>
  <si>
    <t xml:space="preserve">7-66</t>
  </si>
  <si>
    <t xml:space="preserve">2) 水平力に対する検討（支圧）</t>
  </si>
  <si>
    <t xml:space="preserve">34</t>
  </si>
  <si>
    <t xml:space="preserve">S1</t>
  </si>
  <si>
    <t xml:space="preserve">7.7.6 見出し・冒頭</t>
  </si>
  <si>
    <t xml:space="preserve">S2</t>
  </si>
  <si>
    <t xml:space="preserve">表7.18 コンクリートの許容応力度</t>
  </si>
  <si>
    <t xml:space="preserve">9,10,11,12</t>
  </si>
  <si>
    <t xml:space="preserve">S3</t>
  </si>
  <si>
    <t xml:space="preserve">注意：SB耐震杭協会、Fc＝18〜36、普通コンクリートのみ</t>
  </si>
  <si>
    <t xml:space="preserve">2,7,8</t>
  </si>
  <si>
    <t xml:space="preserve">S4</t>
  </si>
  <si>
    <t xml:space="preserve">S5</t>
  </si>
  <si>
    <t xml:space="preserve">表7.19 鋼材の許容応力度</t>
  </si>
  <si>
    <t xml:space="preserve">14</t>
  </si>
  <si>
    <t xml:space="preserve">S6</t>
  </si>
  <si>
    <t xml:space="preserve">S7</t>
  </si>
  <si>
    <t xml:space="preserve">7-67</t>
  </si>
  <si>
    <t xml:space="preserve">(2)1) 鋼管巻き鉄筋コンクリート部：単純累加強度</t>
  </si>
  <si>
    <t xml:space="preserve">3,17</t>
  </si>
  <si>
    <t xml:space="preserve">S8</t>
  </si>
  <si>
    <t xml:space="preserve">(i) ND＝rNA、MD≦sM0＋rMA</t>
  </si>
  <si>
    <t xml:space="preserve">S9</t>
  </si>
  <si>
    <t xml:space="preserve">(ii) sM0＝sZ・sft</t>
  </si>
  <si>
    <t xml:space="preserve">S10</t>
  </si>
  <si>
    <t xml:space="preserve">(iii) rN0</t>
  </si>
  <si>
    <t xml:space="preserve">S11</t>
  </si>
  <si>
    <t xml:space="preserve">(iv) rNt＝−0.75・rf・rA</t>
  </si>
  <si>
    <t xml:space="preserve">S12</t>
  </si>
  <si>
    <t xml:space="preserve">(v) rNA・rMA は 7.7.4</t>
  </si>
  <si>
    <t xml:space="preserve">S13</t>
  </si>
  <si>
    <t xml:space="preserve">S14</t>
  </si>
  <si>
    <t xml:space="preserve">7-68</t>
  </si>
  <si>
    <t xml:space="preserve">(3)1) 鋼管巻き鉄筋コンクリート部の許容せん断力</t>
  </si>
  <si>
    <t xml:space="preserve">S15</t>
  </si>
  <si>
    <t xml:space="preserve">(3)2) 鉄筋コンクリート部（長期・短期・高強度）</t>
  </si>
  <si>
    <t xml:space="preserve">S16</t>
  </si>
  <si>
    <t xml:space="preserve">30,32</t>
  </si>
  <si>
    <t xml:space="preserve">S17</t>
  </si>
  <si>
    <t xml:space="preserve">図7.49 杭頭定着筋計算用杭径</t>
  </si>
  <si>
    <t xml:space="preserve">29,31</t>
  </si>
  <si>
    <t xml:space="preserve">T19</t>
  </si>
  <si>
    <t xml:space="preserve">10-75</t>
  </si>
  <si>
    <t xml:space="preserve">10.15.1(1) 既製杭・場所打ち・TB杭：断面解析</t>
  </si>
  <si>
    <t xml:space="preserve">35</t>
  </si>
  <si>
    <t xml:space="preserve">T20</t>
  </si>
  <si>
    <t xml:space="preserve">2) 骨格曲線（9分割、Mu・My・Mc）</t>
  </si>
  <si>
    <t xml:space="preserve">36</t>
  </si>
  <si>
    <t xml:space="preserve">T21</t>
  </si>
  <si>
    <t xml:space="preserve">10-76</t>
  </si>
  <si>
    <t xml:space="preserve">図10.46 第2折線が降伏点を通過するモデル化</t>
  </si>
  <si>
    <t xml:space="preserve">37</t>
  </si>
  <si>
    <t xml:space="preserve">T22</t>
  </si>
  <si>
    <t xml:space="preserve">コンクリートを含む杭は「1)の方法」</t>
  </si>
  <si>
    <t xml:space="preserve">T23</t>
  </si>
  <si>
    <t xml:space="preserve">αy'＝αy/(3−2αy)</t>
  </si>
  <si>
    <t xml:space="preserve">38</t>
  </si>
  <si>
    <t xml:space="preserve">T24</t>
  </si>
  <si>
    <t xml:space="preserve">10-77</t>
  </si>
  <si>
    <t xml:space="preserve">3) 材料の応力度−ひずみ関係（TB杭）</t>
  </si>
  <si>
    <t xml:space="preserve">39</t>
  </si>
  <si>
    <t xml:space="preserve">S18</t>
  </si>
  <si>
    <t xml:space="preserve">10-78</t>
  </si>
  <si>
    <t xml:space="preserve">10.15.1(2) SB杭：トリリニア自動計算</t>
  </si>
  <si>
    <t xml:space="preserve">35,37</t>
  </si>
  <si>
    <t xml:space="preserve">S19</t>
  </si>
  <si>
    <t xml:space="preserve">1) 曲げひび割れモーメント</t>
  </si>
  <si>
    <t xml:space="preserve">S20</t>
  </si>
  <si>
    <t xml:space="preserve">2) 曲げ降伏時の割線剛性低下率</t>
  </si>
  <si>
    <t xml:space="preserve">S21</t>
  </si>
  <si>
    <t xml:space="preserve">10-79</t>
  </si>
  <si>
    <t xml:space="preserve">3) 終局曲げモーメント Mu＝Mrc＋Mst</t>
  </si>
  <si>
    <t xml:space="preserve">40</t>
  </si>
  <si>
    <t xml:space="preserve">S22</t>
  </si>
  <si>
    <t xml:space="preserve">10-80</t>
  </si>
  <si>
    <t xml:space="preserve">Mst（全塑性）、鉄筋コンクリート部</t>
  </si>
  <si>
    <t xml:space="preserve">C1</t>
  </si>
  <si>
    <t xml:space="preserve">10.15.2 せん断の復元力特性（冒頭）</t>
  </si>
  <si>
    <t xml:space="preserve">41</t>
  </si>
  <si>
    <t xml:space="preserve">C2</t>
  </si>
  <si>
    <t xml:space="preserve">(1)2) 場所打ち鋼管コンクリート：ひび割れ耐力は場所打ち杭と同様</t>
  </si>
  <si>
    <t xml:space="preserve">42</t>
  </si>
  <si>
    <t xml:space="preserve">C3</t>
  </si>
  <si>
    <t xml:space="preserve">10-81</t>
  </si>
  <si>
    <t xml:space="preserve">(2)2) 場所打ち鋼管コンクリート杭：剛性低下率は場所打ち杭と同様</t>
  </si>
  <si>
    <t xml:space="preserve">43</t>
  </si>
  <si>
    <t xml:space="preserve">T25</t>
  </si>
  <si>
    <t xml:space="preserve">(3)1) 場所打ちコンクリート杭の終局せん断（荒川式）※TBのRC部が準用</t>
  </si>
  <si>
    <t xml:space="preserve">45</t>
  </si>
  <si>
    <t xml:space="preserve">T26</t>
  </si>
  <si>
    <t xml:space="preserve">10-82</t>
  </si>
  <si>
    <t xml:space="preserve">高強度せん断補強筋を用いた場合 ※TBのRC部が準用</t>
  </si>
  <si>
    <t xml:space="preserve">46</t>
  </si>
  <si>
    <t xml:space="preserve">T27</t>
  </si>
  <si>
    <t xml:space="preserve">10-83</t>
  </si>
  <si>
    <t xml:space="preserve">2) TB杭 鋼管コンクリート部：Qu＝min(Qu1, Qu2)</t>
  </si>
  <si>
    <t xml:space="preserve">44</t>
  </si>
  <si>
    <t xml:space="preserve">T28</t>
  </si>
  <si>
    <t xml:space="preserve">TB杭 鉄筋コンクリート部は場所打ち杭と同様</t>
  </si>
  <si>
    <t xml:space="preserve">45,46</t>
  </si>
  <si>
    <t xml:space="preserve">S23</t>
  </si>
  <si>
    <t xml:space="preserve">3) SB杭 鋼管巻き鉄筋コンクリート部：Qu</t>
  </si>
  <si>
    <t xml:space="preserve">S24</t>
  </si>
  <si>
    <t xml:space="preserve">SB杭 鉄筋コンクリート部：Qu（式10.256）</t>
  </si>
</sst>
</file>

<file path=xl/styles.xml><?xml version="1.0" encoding="utf-8"?>
<styleSheet xmlns="http://schemas.openxmlformats.org/spreadsheetml/2006/main">
  <numFmts count="6">
    <numFmt numFmtId="164" formatCode="General"/>
    <numFmt numFmtId="165" formatCode="0.00"/>
    <numFmt numFmtId="166" formatCode="0.000"/>
    <numFmt numFmtId="167" formatCode="0.0"/>
    <numFmt numFmtId="168" formatCode="#,##0"/>
    <numFmt numFmtId="169" formatCode="#,##0.0"/>
  </numFmts>
  <fonts count="52">
    <font>
      <sz val="11"/>
      <color theme="1"/>
      <name val="Calibri"/>
      <family val="2"/>
      <charset val="1"/>
    </font>
    <font>
      <sz val="10"/>
      <name val="Arial"/>
      <family val="0"/>
    </font>
    <font>
      <sz val="10"/>
      <name val="Arial"/>
      <family val="0"/>
    </font>
    <font>
      <sz val="10"/>
      <name val="Arial"/>
      <family val="0"/>
    </font>
    <font>
      <b val="true"/>
      <sz val="16"/>
      <color rgb="FF1F3864"/>
      <name val="Meiryo UI"/>
      <family val="2"/>
      <charset val="128"/>
    </font>
    <font>
      <b val="true"/>
      <sz val="16"/>
      <color rgb="FF1F3864"/>
      <name val="Meiryo UI"/>
      <family val="2"/>
      <charset val="128"/>
    </font>
    <font>
      <sz val="9"/>
      <color rgb="FF595959"/>
      <name val="Meiryo UI"/>
      <family val="2"/>
      <charset val="128"/>
    </font>
    <font>
      <sz val="9"/>
      <color rgb="FF595959"/>
      <name val="Meiryo UI"/>
      <family val="2"/>
      <charset val="128"/>
    </font>
    <font>
      <b val="true"/>
      <sz val="12"/>
      <color rgb="FFFFFFFF"/>
      <name val="Meiryo UI"/>
      <family val="2"/>
      <charset val="128"/>
    </font>
    <font>
      <b val="true"/>
      <sz val="14"/>
      <color rgb="FFFFFFFF"/>
      <name val="Meiryo UI"/>
      <family val="2"/>
      <charset val="128"/>
    </font>
    <font>
      <b val="true"/>
      <sz val="14"/>
      <color rgb="FFFFFFFF"/>
      <name val="Meiryo UI"/>
      <family val="2"/>
      <charset val="128"/>
    </font>
    <font>
      <sz val="10.5"/>
      <color rgb="FF000000"/>
      <name val="Meiryo UI"/>
      <family val="2"/>
      <charset val="128"/>
    </font>
    <font>
      <sz val="10.5"/>
      <color rgb="FF000000"/>
      <name val="Meiryo UI"/>
      <family val="2"/>
      <charset val="128"/>
    </font>
    <font>
      <b val="true"/>
      <sz val="10"/>
      <color rgb="FFFFFFFF"/>
      <name val="Meiryo UI"/>
      <family val="2"/>
      <charset val="128"/>
    </font>
    <font>
      <b val="true"/>
      <sz val="10"/>
      <color rgb="FFFFFFFF"/>
      <name val="Meiryo UI"/>
      <family val="2"/>
      <charset val="128"/>
    </font>
    <font>
      <sz val="10"/>
      <color rgb="FF000000"/>
      <name val="Meiryo UI"/>
      <family val="2"/>
      <charset val="128"/>
    </font>
    <font>
      <b val="true"/>
      <sz val="10"/>
      <color rgb="FF000000"/>
      <name val="Meiryo UI"/>
      <family val="2"/>
      <charset val="128"/>
    </font>
    <font>
      <sz val="10"/>
      <color rgb="FF000000"/>
      <name val="Meiryo UI"/>
      <family val="2"/>
      <charset val="128"/>
    </font>
    <font>
      <sz val="9"/>
      <color rgb="FFC00000"/>
      <name val="Meiryo UI"/>
      <family val="2"/>
      <charset val="128"/>
    </font>
    <font>
      <sz val="9"/>
      <color rgb="FFC00000"/>
      <name val="Meiryo UI"/>
      <family val="2"/>
      <charset val="128"/>
    </font>
    <font>
      <b val="true"/>
      <sz val="10"/>
      <color rgb="FF000000"/>
      <name val="Meiryo UI"/>
      <family val="2"/>
      <charset val="128"/>
    </font>
    <font>
      <b val="true"/>
      <sz val="12"/>
      <color rgb="FFFFFFFF"/>
      <name val="Meiryo UI"/>
      <family val="2"/>
      <charset val="128"/>
    </font>
    <font>
      <b val="true"/>
      <sz val="10"/>
      <color rgb="FF1F3864"/>
      <name val="Meiryo UI"/>
      <family val="2"/>
      <charset val="128"/>
    </font>
    <font>
      <b val="true"/>
      <sz val="10"/>
      <color rgb="FF1F3864"/>
      <name val="Meiryo UI"/>
      <family val="2"/>
      <charset val="128"/>
    </font>
    <font>
      <b val="true"/>
      <sz val="13"/>
      <color rgb="FFFFFFFF"/>
      <name val="Meiryo UI"/>
      <family val="2"/>
      <charset val="128"/>
    </font>
    <font>
      <b val="true"/>
      <sz val="13"/>
      <color rgb="FFFFFFFF"/>
      <name val="Meiryo UI"/>
      <family val="2"/>
      <charset val="128"/>
    </font>
    <font>
      <b val="true"/>
      <sz val="12"/>
      <color rgb="FFC00000"/>
      <name val="Meiryo UI"/>
      <family val="2"/>
      <charset val="128"/>
    </font>
    <font>
      <b val="true"/>
      <sz val="12"/>
      <color rgb="FFC00000"/>
      <name val="Meiryo UI"/>
      <family val="2"/>
      <charset val="128"/>
    </font>
    <font>
      <b val="true"/>
      <sz val="10.5"/>
      <color rgb="FF000000"/>
      <name val="Meiryo UI"/>
      <family val="2"/>
      <charset val="128"/>
    </font>
    <font>
      <b val="true"/>
      <sz val="10.5"/>
      <color rgb="FF000000"/>
      <name val="Meiryo UI"/>
      <family val="2"/>
      <charset val="128"/>
    </font>
    <font>
      <b val="true"/>
      <sz val="11"/>
      <color rgb="FF1F3864"/>
      <name val="Meiryo UI"/>
      <family val="2"/>
      <charset val="128"/>
    </font>
    <font>
      <b val="true"/>
      <sz val="11"/>
      <color rgb="FF1F3864"/>
      <name val="Meiryo UI"/>
      <family val="2"/>
      <charset val="128"/>
    </font>
    <font>
      <b val="true"/>
      <sz val="10"/>
      <color rgb="FF2F75B5"/>
      <name val="Meiryo UI"/>
      <family val="2"/>
      <charset val="128"/>
    </font>
    <font>
      <b val="true"/>
      <sz val="10"/>
      <color rgb="FFC65911"/>
      <name val="Meiryo UI"/>
      <family val="2"/>
      <charset val="128"/>
    </font>
    <font>
      <b val="true"/>
      <sz val="10.5"/>
      <color rgb="FFC00000"/>
      <name val="Meiryo UI"/>
      <family val="2"/>
      <charset val="128"/>
    </font>
    <font>
      <b val="true"/>
      <sz val="10.5"/>
      <color rgb="FFC00000"/>
      <name val="Meiryo UI"/>
      <family val="2"/>
      <charset val="128"/>
    </font>
    <font>
      <sz val="9"/>
      <color rgb="FF404040"/>
      <name val="Meiryo UI"/>
      <family val="2"/>
      <charset val="128"/>
    </font>
    <font>
      <b val="true"/>
      <sz val="10"/>
      <color rgb="FF595959"/>
      <name val="Meiryo UI"/>
      <family val="2"/>
      <charset val="128"/>
    </font>
    <font>
      <sz val="9"/>
      <color rgb="FF404040"/>
      <name val="Meiryo UI"/>
      <family val="2"/>
      <charset val="128"/>
    </font>
    <font>
      <b val="true"/>
      <sz val="10"/>
      <color rgb="FFC00000"/>
      <name val="Meiryo UI"/>
      <family val="2"/>
      <charset val="128"/>
    </font>
    <font>
      <b val="true"/>
      <sz val="10"/>
      <color rgb="FF7F6000"/>
      <name val="Meiryo UI"/>
      <family val="2"/>
      <charset val="128"/>
    </font>
    <font>
      <b val="true"/>
      <sz val="9"/>
      <color rgb="FF595959"/>
      <name val="Meiryo UI"/>
      <family val="2"/>
      <charset val="128"/>
    </font>
    <font>
      <b val="true"/>
      <sz val="11"/>
      <color rgb="FF0000FF"/>
      <name val="Meiryo UI"/>
      <family val="2"/>
      <charset val="128"/>
    </font>
    <font>
      <sz val="10"/>
      <color rgb="FF808080"/>
      <name val="Meiryo UI"/>
      <family val="2"/>
      <charset val="128"/>
    </font>
    <font>
      <sz val="9"/>
      <color rgb="FF000000"/>
      <name val="Meiryo UI"/>
      <family val="2"/>
      <charset val="128"/>
    </font>
    <font>
      <b val="true"/>
      <sz val="10.5"/>
      <color rgb="FF0000FF"/>
      <name val="Meiryo UI"/>
      <family val="2"/>
      <charset val="128"/>
    </font>
    <font>
      <sz val="9.5"/>
      <color rgb="FF595959"/>
      <name val="Meiryo UI"/>
      <family val="2"/>
      <charset val="128"/>
    </font>
    <font>
      <b val="true"/>
      <sz val="11"/>
      <color rgb="FF000000"/>
      <name val="Meiryo UI"/>
      <family val="2"/>
      <charset val="128"/>
    </font>
    <font>
      <b val="true"/>
      <sz val="9"/>
      <color rgb="FF595959"/>
      <name val="Meiryo UI"/>
      <family val="2"/>
      <charset val="128"/>
    </font>
    <font>
      <b val="true"/>
      <sz val="10"/>
      <color rgb="FF404040"/>
      <name val="Meiryo UI"/>
      <family val="2"/>
      <charset val="128"/>
    </font>
    <font>
      <sz val="10"/>
      <color rgb="FF0000FF"/>
      <name val="Meiryo UI"/>
      <family val="2"/>
      <charset val="128"/>
    </font>
    <font>
      <b val="true"/>
      <sz val="10"/>
      <color rgb="FFC00000"/>
      <name val="Meiryo UI"/>
      <family val="2"/>
      <charset val="128"/>
    </font>
  </fonts>
  <fills count="15">
    <fill>
      <patternFill patternType="none"/>
    </fill>
    <fill>
      <patternFill patternType="gray125"/>
    </fill>
    <fill>
      <patternFill patternType="solid">
        <fgColor rgb="FF1F3864"/>
        <bgColor rgb="FF333399"/>
      </patternFill>
    </fill>
    <fill>
      <patternFill patternType="solid">
        <fgColor rgb="FF2F75B5"/>
        <bgColor rgb="FF0066CC"/>
      </patternFill>
    </fill>
    <fill>
      <patternFill patternType="solid">
        <fgColor rgb="FFDDEBF7"/>
        <bgColor rgb="FFD9E1F2"/>
      </patternFill>
    </fill>
    <fill>
      <patternFill patternType="solid">
        <fgColor rgb="FFC65911"/>
        <bgColor rgb="FF993300"/>
      </patternFill>
    </fill>
    <fill>
      <patternFill patternType="solid">
        <fgColor rgb="FFFCE4D6"/>
        <bgColor rgb="FFE7E6E6"/>
      </patternFill>
    </fill>
    <fill>
      <patternFill patternType="solid">
        <fgColor rgb="FF404040"/>
        <bgColor rgb="FF1F3864"/>
      </patternFill>
    </fill>
    <fill>
      <patternFill patternType="solid">
        <fgColor rgb="FFC00000"/>
        <bgColor rgb="FF9C0006"/>
      </patternFill>
    </fill>
    <fill>
      <patternFill patternType="solid">
        <fgColor rgb="FFE2EFDA"/>
        <bgColor rgb="FFE7E6E6"/>
      </patternFill>
    </fill>
    <fill>
      <patternFill patternType="solid">
        <fgColor rgb="FFF8CBAD"/>
        <bgColor rgb="FFFFC7CE"/>
      </patternFill>
    </fill>
    <fill>
      <patternFill patternType="solid">
        <fgColor rgb="FFD9E1F2"/>
        <bgColor rgb="FFDDEBF7"/>
      </patternFill>
    </fill>
    <fill>
      <patternFill patternType="solid">
        <fgColor rgb="FFE7E6E6"/>
        <bgColor rgb="FFE2EFDA"/>
      </patternFill>
    </fill>
    <fill>
      <patternFill patternType="solid">
        <fgColor rgb="FFFFE699"/>
        <bgColor rgb="FFFCE4D6"/>
      </patternFill>
    </fill>
    <fill>
      <patternFill patternType="solid">
        <fgColor rgb="FFFFFF00"/>
        <bgColor rgb="FFFFFF00"/>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7" fillId="6"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5" fillId="4" borderId="1" xfId="0" applyFont="true" applyBorder="true" applyAlignment="true" applyProtection="false">
      <alignment horizontal="general" vertical="center" textRotation="0" wrapText="true" indent="0" shrinkToFit="false"/>
      <protection locked="true" hidden="false"/>
    </xf>
    <xf numFmtId="164" fontId="15" fillId="6"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7" fillId="4" borderId="1" xfId="0" applyFont="true" applyBorder="true" applyAlignment="true" applyProtection="false">
      <alignment horizontal="general" vertical="center" textRotation="0" wrapText="true" indent="0" shrinkToFit="false"/>
      <protection locked="true" hidden="false"/>
    </xf>
    <xf numFmtId="164" fontId="17" fillId="6"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4" fillId="3"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general" vertical="center"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general"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general" vertical="center" textRotation="0" wrapText="true" indent="0" shrinkToFit="false"/>
      <protection locked="true" hidden="false"/>
    </xf>
    <xf numFmtId="164" fontId="26" fillId="9" borderId="1" xfId="0" applyFont="true" applyBorder="true" applyAlignment="true" applyProtection="false">
      <alignment horizontal="general" vertical="center" textRotation="0" wrapText="true" indent="0" shrinkToFit="false"/>
      <protection locked="true" hidden="false"/>
    </xf>
    <xf numFmtId="164" fontId="27" fillId="10" borderId="1" xfId="0" applyFont="true" applyBorder="true" applyAlignment="true" applyProtection="false">
      <alignment horizontal="general" vertical="center" textRotation="0" wrapText="true" indent="0" shrinkToFit="false"/>
      <protection locked="true" hidden="false"/>
    </xf>
    <xf numFmtId="164" fontId="29" fillId="0" borderId="1" xfId="0" applyFont="true" applyBorder="true" applyAlignment="true" applyProtection="false">
      <alignment horizontal="general" vertical="center" textRotation="0" wrapText="true" indent="0" shrinkToFit="false"/>
      <protection locked="true" hidden="false"/>
    </xf>
    <xf numFmtId="164" fontId="11" fillId="9"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32" fillId="4" borderId="1" xfId="0" applyFont="true" applyBorder="true" applyAlignment="true" applyProtection="false">
      <alignment horizontal="center" vertical="center" textRotation="0" wrapText="true" indent="0" shrinkToFit="false"/>
      <protection locked="true" hidden="false"/>
    </xf>
    <xf numFmtId="164" fontId="33" fillId="6" borderId="1" xfId="0" applyFont="true" applyBorder="true" applyAlignment="true" applyProtection="false">
      <alignment horizontal="center" vertical="center" textRotation="0" wrapText="true" indent="0" shrinkToFit="false"/>
      <protection locked="true" hidden="false"/>
    </xf>
    <xf numFmtId="164" fontId="34" fillId="4" borderId="1" xfId="0" applyFont="true" applyBorder="true" applyAlignment="true" applyProtection="false">
      <alignment horizontal="general" vertical="center" textRotation="0" wrapText="true" indent="0" shrinkToFit="false"/>
      <protection locked="true" hidden="false"/>
    </xf>
    <xf numFmtId="164" fontId="34" fillId="6" borderId="1" xfId="0" applyFont="true" applyBorder="true" applyAlignment="true" applyProtection="false">
      <alignment horizontal="general" vertical="center" textRotation="0" wrapText="true" indent="0" shrinkToFit="false"/>
      <protection locked="true" hidden="false"/>
    </xf>
    <xf numFmtId="164" fontId="34"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4" fontId="37" fillId="12" borderId="1" xfId="0" applyFont="true" applyBorder="true" applyAlignment="true" applyProtection="false">
      <alignment horizontal="center" vertical="center" textRotation="0" wrapText="true" indent="0" shrinkToFit="false"/>
      <protection locked="true" hidden="false"/>
    </xf>
    <xf numFmtId="164" fontId="3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39" fillId="10" borderId="1" xfId="0" applyFont="true" applyBorder="true" applyAlignment="true" applyProtection="false">
      <alignment horizontal="center" vertical="center" textRotation="0" wrapText="true" indent="0" shrinkToFit="false"/>
      <protection locked="true" hidden="false"/>
    </xf>
    <xf numFmtId="164" fontId="40" fillId="13" borderId="1" xfId="0" applyFont="true" applyBorder="true" applyAlignment="true" applyProtection="false">
      <alignment horizontal="center" vertical="center" textRotation="0" wrapText="true" indent="0" shrinkToFit="false"/>
      <protection locked="true" hidden="false"/>
    </xf>
    <xf numFmtId="164" fontId="39" fillId="1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40" fillId="13" borderId="1" xfId="0" applyFont="true" applyBorder="true" applyAlignment="false" applyProtection="false">
      <alignment horizontal="general" vertical="bottom" textRotation="0" wrapText="false" indent="0" shrinkToFit="false"/>
      <protection locked="true" hidden="false"/>
    </xf>
    <xf numFmtId="164" fontId="37" fillId="12" borderId="1"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2" fillId="14"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4" fontId="38" fillId="0" borderId="1" xfId="0" applyFont="true" applyBorder="true" applyAlignment="true" applyProtection="false">
      <alignment horizontal="general" vertical="center" textRotation="0" wrapText="true" indent="0" shrinkToFit="false"/>
      <protection locked="true" hidden="false"/>
    </xf>
    <xf numFmtId="164" fontId="36" fillId="0" borderId="1" xfId="0" applyFont="true" applyBorder="true" applyAlignment="true" applyProtection="false">
      <alignment horizontal="general" vertical="center" textRotation="0" wrapText="true" indent="0" shrinkToFit="false"/>
      <protection locked="true" hidden="false"/>
    </xf>
    <xf numFmtId="165" fontId="43" fillId="4"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6" fontId="12" fillId="6" borderId="1" xfId="0" applyFont="true" applyBorder="true" applyAlignment="true" applyProtection="false">
      <alignment horizontal="center" vertical="center" textRotation="0" wrapText="true" indent="0" shrinkToFit="false"/>
      <protection locked="true" hidden="false"/>
    </xf>
    <xf numFmtId="165" fontId="44" fillId="4" borderId="1" xfId="0" applyFont="true" applyBorder="true" applyAlignment="true" applyProtection="false">
      <alignment horizontal="center" vertical="center" textRotation="0" wrapText="true" indent="0" shrinkToFit="false"/>
      <protection locked="true" hidden="false"/>
    </xf>
    <xf numFmtId="165" fontId="44" fillId="6"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center" textRotation="0" wrapText="false" indent="0" shrinkToFit="false"/>
      <protection locked="true" hidden="false"/>
    </xf>
    <xf numFmtId="164" fontId="45" fillId="14" borderId="1" xfId="0" applyFont="true" applyBorder="true" applyAlignment="true" applyProtection="false">
      <alignment horizontal="center" vertical="center" textRotation="0" wrapText="true" indent="0" shrinkToFit="false"/>
      <protection locked="true" hidden="false"/>
    </xf>
    <xf numFmtId="165" fontId="15" fillId="4" borderId="1" xfId="0" applyFont="true" applyBorder="true" applyAlignment="true" applyProtection="false">
      <alignment horizontal="center" vertical="center" textRotation="0" wrapText="true" indent="0" shrinkToFit="false"/>
      <protection locked="true" hidden="false"/>
    </xf>
    <xf numFmtId="165" fontId="15" fillId="6"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5" fontId="38" fillId="0" borderId="1" xfId="0" applyFont="true" applyBorder="true" applyAlignment="true" applyProtection="false">
      <alignment horizontal="general" vertical="center" textRotation="0" wrapText="true" indent="0" shrinkToFit="false"/>
      <protection locked="true" hidden="false"/>
    </xf>
    <xf numFmtId="168" fontId="42" fillId="14"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42" fillId="14"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8" fontId="12" fillId="6" borderId="1" xfId="0" applyFont="true" applyBorder="true" applyAlignment="true" applyProtection="false">
      <alignment horizontal="center" vertical="center" textRotation="0" wrapText="true" indent="0" shrinkToFit="false"/>
      <protection locked="true" hidden="false"/>
    </xf>
    <xf numFmtId="168" fontId="46" fillId="6" borderId="1" xfId="0" applyFont="true" applyBorder="true" applyAlignment="true" applyProtection="false">
      <alignment horizontal="center" vertical="center" textRotation="0" wrapText="true" indent="0" shrinkToFit="false"/>
      <protection locked="true" hidden="false"/>
    </xf>
    <xf numFmtId="168" fontId="47" fillId="4" borderId="1" xfId="0" applyFont="true" applyBorder="true" applyAlignment="true" applyProtection="false">
      <alignment horizontal="center" vertical="center" textRotation="0" wrapText="true" indent="0" shrinkToFit="false"/>
      <protection locked="true" hidden="false"/>
    </xf>
    <xf numFmtId="168" fontId="47" fillId="6" borderId="1" xfId="0" applyFont="true" applyBorder="true" applyAlignment="true" applyProtection="false">
      <alignment horizontal="center" vertical="center" textRotation="0" wrapText="true" indent="0" shrinkToFit="false"/>
      <protection locked="true" hidden="false"/>
    </xf>
    <xf numFmtId="168" fontId="46" fillId="4" borderId="1" xfId="0" applyFont="true" applyBorder="true" applyAlignment="true" applyProtection="false">
      <alignment horizontal="center" vertical="center" textRotation="0" wrapText="true" indent="0" shrinkToFit="false"/>
      <protection locked="true" hidden="false"/>
    </xf>
    <xf numFmtId="164" fontId="49" fillId="12" borderId="1" xfId="0" applyFont="true" applyBorder="true" applyAlignment="true" applyProtection="false">
      <alignment horizontal="center" vertical="center" textRotation="0" wrapText="true" indent="0" shrinkToFit="false"/>
      <protection locked="true" hidden="false"/>
    </xf>
    <xf numFmtId="164" fontId="50" fillId="14" borderId="1" xfId="0" applyFont="true" applyBorder="true" applyAlignment="true" applyProtection="false">
      <alignment horizontal="center" vertical="center" textRotation="0" wrapText="true" indent="0" shrinkToFit="false"/>
      <protection locked="true" hidden="false"/>
    </xf>
    <xf numFmtId="164" fontId="50" fillId="14"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51"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40404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F75B5"/>
          <bgColor rgb="FF000000"/>
        </patternFill>
      </fill>
    </dxf>
    <dxf>
      <fill>
        <patternFill patternType="solid">
          <fgColor rgb="FFDDEBF7"/>
          <bgColor rgb="FF000000"/>
        </patternFill>
      </fill>
    </dxf>
    <dxf>
      <fill>
        <patternFill patternType="solid">
          <fgColor rgb="FFC65911"/>
          <bgColor rgb="FF000000"/>
        </patternFill>
      </fill>
    </dxf>
    <dxf>
      <fill>
        <patternFill patternType="solid">
          <fgColor rgb="FFFCE4D6"/>
          <bgColor rgb="FF000000"/>
        </patternFill>
      </fill>
    </dxf>
    <dxf>
      <fill>
        <patternFill patternType="solid">
          <fgColor rgb="FFE7E6E6"/>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595959"/>
          <bgColor rgb="FF000000"/>
        </patternFill>
      </fill>
    </dxf>
    <dxf>
      <fill>
        <patternFill patternType="solid">
          <fgColor rgb="FF7F6000"/>
          <bgColor rgb="FF000000"/>
        </patternFill>
      </fill>
    </dxf>
    <dxf>
      <fill>
        <patternFill patternType="solid">
          <fgColor rgb="FFC00000"/>
          <bgColor rgb="FF000000"/>
        </patternFill>
      </fill>
    </dxf>
    <dxf>
      <font>
        <name val="Meiryo UI"/>
        <charset val="1"/>
        <family val="0"/>
        <color rgb="FFA6A6A6"/>
      </font>
      <fill>
        <patternFill>
          <bgColor rgb="FFF2F2F2"/>
        </patternFill>
      </fill>
    </dxf>
    <dxf>
      <font>
        <name val="Meiryo UI"/>
        <charset val="1"/>
        <family val="0"/>
        <b val="1"/>
      </font>
    </dxf>
    <dxf>
      <font>
        <name val="Meiryo UI"/>
        <charset val="1"/>
        <family val="0"/>
        <b val="1"/>
        <color rgb="FFC00000"/>
      </font>
    </dxf>
    <dxf>
      <font>
        <name val="Meiryo UI"/>
        <charset val="1"/>
        <family val="0"/>
        <b val="1"/>
        <color rgb="FF006100"/>
      </font>
      <fill>
        <patternFill>
          <bgColor rgb="FFC6EFCE"/>
        </patternFill>
      </fill>
    </dxf>
    <dxf>
      <font>
        <name val="Meiryo UI"/>
        <charset val="1"/>
        <family val="0"/>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FFC7CE"/>
      <rgbColor rgb="FF808080"/>
      <rgbColor rgb="FF7F7F7F"/>
      <rgbColor rgb="FF993366"/>
      <rgbColor rgb="FFF2F2F2"/>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699"/>
      <rgbColor rgb="FFE7E6E6"/>
      <rgbColor rgb="FFFCE4D6"/>
      <rgbColor rgb="FFCC99FF"/>
      <rgbColor rgb="FFF8CBAD"/>
      <rgbColor rgb="FF2F75B5"/>
      <rgbColor rgb="FF33CCCC"/>
      <rgbColor rgb="FF99CC00"/>
      <rgbColor rgb="FFFFCC00"/>
      <rgbColor rgb="FFFF9900"/>
      <rgbColor rgb="FFC65911"/>
      <rgbColor rgb="FF595959"/>
      <rgbColor rgb="FFA6A6A6"/>
      <rgbColor rgb="FF1F3864"/>
      <rgbColor rgb="FF548235"/>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65</xdr:row>
      <xdr:rowOff>201960</xdr:rowOff>
    </xdr:from>
    <xdr:to>
      <xdr:col>5</xdr:col>
      <xdr:colOff>729720</xdr:colOff>
      <xdr:row>101</xdr:row>
      <xdr:rowOff>144360</xdr:rowOff>
    </xdr:to>
    <xdr:pic>
      <xdr:nvPicPr>
        <xdr:cNvPr id="0" name="Image 1" descr="Picture"/>
        <xdr:cNvPicPr/>
      </xdr:nvPicPr>
      <xdr:blipFill>
        <a:blip r:embed="rId1"/>
        <a:stretch/>
      </xdr:blipFill>
      <xdr:spPr>
        <a:xfrm>
          <a:off x="177840" y="21326400"/>
          <a:ext cx="10953360" cy="68860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out.xlsx" TargetMode="External"/><Relationship Id="rId2" Type="http://schemas.openxmlformats.org/officeDocument/2006/relationships/hyperlink" Target="out.xlsx" TargetMode="External"/><Relationship Id="rId3" Type="http://schemas.openxmlformats.org/officeDocument/2006/relationships/hyperlink" Target="out.xlsx" TargetMode="External"/><Relationship Id="rId4" Type="http://schemas.openxmlformats.org/officeDocument/2006/relationships/hyperlink" Target="out.xlsx" TargetMode="External"/><Relationship Id="rId5" Type="http://schemas.openxmlformats.org/officeDocument/2006/relationships/hyperlink" Target="out.xlsx" TargetMode="External"/><Relationship Id="rId6" Type="http://schemas.openxmlformats.org/officeDocument/2006/relationships/hyperlink" Target="out.xlsx" TargetMode="External"/><Relationship Id="rId7" Type="http://schemas.openxmlformats.org/officeDocument/2006/relationships/hyperlink" Target="out.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G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2"/>
    <col collapsed="false" customWidth="true" hidden="false" outlineLevel="0" max="6" min="4" style="0" width="46"/>
    <col collapsed="false" customWidth="true" hidden="false" outlineLevel="0" max="7" min="7" style="0" width="22"/>
  </cols>
  <sheetData>
    <row r="2" customFormat="false" ht="27.75" hidden="false" customHeight="true" outlineLevel="0" collapsed="false">
      <c r="B2" s="1" t="s">
        <v>0</v>
      </c>
    </row>
    <row r="3" customFormat="false" ht="15" hidden="false" customHeight="false" outlineLevel="0" collapsed="false">
      <c r="B3" s="2" t="s">
        <v>1</v>
      </c>
    </row>
    <row r="5" customFormat="false" ht="21.75" hidden="false" customHeight="true" outlineLevel="0" collapsed="false">
      <c r="B5" s="3" t="s">
        <v>2</v>
      </c>
      <c r="C5" s="4"/>
      <c r="D5" s="4"/>
      <c r="E5" s="4"/>
      <c r="F5" s="4"/>
      <c r="G5" s="4"/>
    </row>
    <row r="6" customFormat="false" ht="43.5" hidden="false" customHeight="true" outlineLevel="0" collapsed="false">
      <c r="B6" s="5" t="s">
        <v>3</v>
      </c>
      <c r="C6" s="5"/>
      <c r="D6" s="6" t="s">
        <v>4</v>
      </c>
      <c r="E6" s="6"/>
      <c r="F6" s="6"/>
      <c r="G6" s="6"/>
    </row>
    <row r="7" customFormat="false" ht="43.5" hidden="false" customHeight="true" outlineLevel="0" collapsed="false">
      <c r="B7" s="7" t="s">
        <v>5</v>
      </c>
      <c r="C7" s="7"/>
      <c r="D7" s="8" t="s">
        <v>6</v>
      </c>
      <c r="E7" s="8"/>
      <c r="F7" s="8"/>
      <c r="G7" s="8"/>
    </row>
    <row r="9" customFormat="false" ht="21.75" hidden="false" customHeight="true" outlineLevel="0" collapsed="false">
      <c r="B9" s="3" t="s">
        <v>7</v>
      </c>
      <c r="C9" s="4"/>
      <c r="D9" s="4"/>
      <c r="E9" s="4"/>
      <c r="F9" s="4"/>
      <c r="G9" s="4"/>
    </row>
    <row r="10" customFormat="false" ht="21.75" hidden="false" customHeight="true" outlineLevel="0" collapsed="false">
      <c r="B10" s="9" t="s">
        <v>8</v>
      </c>
      <c r="C10" s="10" t="s">
        <v>9</v>
      </c>
      <c r="D10" s="11" t="s">
        <v>10</v>
      </c>
      <c r="E10" s="12" t="s">
        <v>11</v>
      </c>
      <c r="F10" s="10" t="s">
        <v>12</v>
      </c>
      <c r="G10" s="13" t="s">
        <v>13</v>
      </c>
    </row>
    <row r="11" customFormat="false" ht="49.5" hidden="false" customHeight="true" outlineLevel="0" collapsed="false">
      <c r="B11" s="14" t="n">
        <v>1</v>
      </c>
      <c r="C11" s="15" t="s">
        <v>14</v>
      </c>
      <c r="D11" s="16" t="s">
        <v>15</v>
      </c>
      <c r="E11" s="17" t="s">
        <v>16</v>
      </c>
      <c r="F11" s="18" t="s">
        <v>17</v>
      </c>
      <c r="G11" s="19" t="s">
        <v>18</v>
      </c>
    </row>
    <row r="12" customFormat="false" ht="49.5" hidden="false" customHeight="true" outlineLevel="0" collapsed="false">
      <c r="B12" s="14" t="n">
        <v>2</v>
      </c>
      <c r="C12" s="15" t="s">
        <v>19</v>
      </c>
      <c r="D12" s="20" t="s">
        <v>20</v>
      </c>
      <c r="E12" s="21" t="s">
        <v>21</v>
      </c>
      <c r="F12" s="18" t="s">
        <v>22</v>
      </c>
      <c r="G12" s="19" t="s">
        <v>23</v>
      </c>
    </row>
    <row r="13" customFormat="false" ht="34.5" hidden="false" customHeight="true" outlineLevel="0" collapsed="false">
      <c r="B13" s="14" t="n">
        <v>3</v>
      </c>
      <c r="C13" s="15" t="s">
        <v>24</v>
      </c>
      <c r="D13" s="20" t="s">
        <v>25</v>
      </c>
      <c r="E13" s="17" t="s">
        <v>26</v>
      </c>
      <c r="F13" s="22" t="s">
        <v>27</v>
      </c>
      <c r="G13" s="19" t="s">
        <v>28</v>
      </c>
    </row>
    <row r="14" customFormat="false" ht="49.5" hidden="false" customHeight="true" outlineLevel="0" collapsed="false">
      <c r="B14" s="14" t="n">
        <v>4</v>
      </c>
      <c r="C14" s="15" t="s">
        <v>29</v>
      </c>
      <c r="D14" s="16" t="s">
        <v>30</v>
      </c>
      <c r="E14" s="17" t="s">
        <v>31</v>
      </c>
      <c r="F14" s="22" t="s">
        <v>32</v>
      </c>
      <c r="G14" s="19" t="s">
        <v>33</v>
      </c>
    </row>
    <row r="15" customFormat="false" ht="34.5" hidden="false" customHeight="true" outlineLevel="0" collapsed="false">
      <c r="B15" s="14" t="n">
        <v>5</v>
      </c>
      <c r="C15" s="15" t="s">
        <v>34</v>
      </c>
      <c r="D15" s="20" t="s">
        <v>35</v>
      </c>
      <c r="E15" s="21" t="s">
        <v>36</v>
      </c>
      <c r="F15" s="18" t="s">
        <v>37</v>
      </c>
      <c r="G15" s="19" t="s">
        <v>38</v>
      </c>
    </row>
    <row r="16" customFormat="false" ht="49.5" hidden="false" customHeight="true" outlineLevel="0" collapsed="false">
      <c r="B16" s="14" t="n">
        <v>6</v>
      </c>
      <c r="C16" s="23" t="s">
        <v>39</v>
      </c>
      <c r="D16" s="20" t="s">
        <v>40</v>
      </c>
      <c r="E16" s="21" t="s">
        <v>41</v>
      </c>
      <c r="F16" s="18" t="s">
        <v>42</v>
      </c>
      <c r="G16" s="19" t="s">
        <v>43</v>
      </c>
    </row>
    <row r="17" customFormat="false" ht="34.5" hidden="false" customHeight="true" outlineLevel="0" collapsed="false">
      <c r="B17" s="14" t="n">
        <v>7</v>
      </c>
      <c r="C17" s="15" t="s">
        <v>44</v>
      </c>
      <c r="D17" s="16" t="s">
        <v>45</v>
      </c>
      <c r="E17" s="17" t="s">
        <v>46</v>
      </c>
      <c r="F17" s="18" t="s">
        <v>47</v>
      </c>
      <c r="G17" s="19" t="s">
        <v>48</v>
      </c>
    </row>
    <row r="18" customFormat="false" ht="34.5" hidden="false" customHeight="true" outlineLevel="0" collapsed="false">
      <c r="B18" s="14" t="n">
        <v>8</v>
      </c>
      <c r="C18" s="15" t="s">
        <v>49</v>
      </c>
      <c r="D18" s="20" t="s">
        <v>50</v>
      </c>
      <c r="E18" s="17" t="s">
        <v>51</v>
      </c>
      <c r="F18" s="18" t="s">
        <v>52</v>
      </c>
      <c r="G18" s="19" t="s">
        <v>53</v>
      </c>
    </row>
    <row r="19" customFormat="false" ht="79.5" hidden="false" customHeight="true" outlineLevel="0" collapsed="false">
      <c r="B19" s="14" t="n">
        <v>9</v>
      </c>
      <c r="C19" s="15" t="s">
        <v>54</v>
      </c>
      <c r="D19" s="16" t="s">
        <v>55</v>
      </c>
      <c r="E19" s="21" t="s">
        <v>56</v>
      </c>
      <c r="F19" s="18" t="s">
        <v>57</v>
      </c>
      <c r="G19" s="19" t="s">
        <v>58</v>
      </c>
    </row>
    <row r="20" customFormat="false" ht="64.5" hidden="false" customHeight="true" outlineLevel="0" collapsed="false">
      <c r="B20" s="14" t="n">
        <v>10</v>
      </c>
      <c r="C20" s="15" t="s">
        <v>59</v>
      </c>
      <c r="D20" s="16" t="s">
        <v>60</v>
      </c>
      <c r="E20" s="17" t="s">
        <v>61</v>
      </c>
      <c r="F20" s="22" t="s">
        <v>62</v>
      </c>
      <c r="G20" s="19" t="s">
        <v>63</v>
      </c>
    </row>
    <row r="22" customFormat="false" ht="21.75" hidden="false" customHeight="true" outlineLevel="0" collapsed="false">
      <c r="B22" s="3" t="s">
        <v>64</v>
      </c>
      <c r="C22" s="4"/>
      <c r="D22" s="4"/>
      <c r="E22" s="4"/>
      <c r="F22" s="4"/>
      <c r="G22" s="4"/>
    </row>
    <row r="23" customFormat="false" ht="21.75" hidden="false" customHeight="true" outlineLevel="0" collapsed="false">
      <c r="B23" s="9"/>
      <c r="C23" s="10" t="s">
        <v>65</v>
      </c>
      <c r="D23" s="11" t="s">
        <v>66</v>
      </c>
      <c r="E23" s="12" t="s">
        <v>67</v>
      </c>
      <c r="F23" s="10" t="s">
        <v>68</v>
      </c>
    </row>
    <row r="24" customFormat="false" ht="34.5" hidden="false" customHeight="true" outlineLevel="0" collapsed="false">
      <c r="B24" s="14"/>
      <c r="C24" s="24" t="s">
        <v>69</v>
      </c>
      <c r="D24" s="25" t="s">
        <v>70</v>
      </c>
      <c r="E24" s="26" t="s">
        <v>71</v>
      </c>
      <c r="F24" s="27" t="s">
        <v>72</v>
      </c>
    </row>
    <row r="25" customFormat="false" ht="34.5" hidden="false" customHeight="true" outlineLevel="0" collapsed="false">
      <c r="B25" s="14"/>
      <c r="C25" s="24" t="s">
        <v>73</v>
      </c>
      <c r="D25" s="28" t="s">
        <v>74</v>
      </c>
      <c r="E25" s="29" t="s">
        <v>75</v>
      </c>
      <c r="F25" s="27" t="s">
        <v>76</v>
      </c>
    </row>
    <row r="26" customFormat="false" ht="34.5" hidden="false" customHeight="true" outlineLevel="0" collapsed="false">
      <c r="B26" s="14"/>
      <c r="C26" s="24" t="s">
        <v>77</v>
      </c>
      <c r="D26" s="28" t="s">
        <v>78</v>
      </c>
      <c r="E26" s="29" t="s">
        <v>78</v>
      </c>
      <c r="F26" s="27" t="s">
        <v>79</v>
      </c>
    </row>
    <row r="27" customFormat="false" ht="19.5" hidden="false" customHeight="true" outlineLevel="0" collapsed="false">
      <c r="B27" s="14"/>
      <c r="C27" s="24" t="s">
        <v>80</v>
      </c>
      <c r="D27" s="28" t="s">
        <v>81</v>
      </c>
      <c r="E27" s="29" t="s">
        <v>82</v>
      </c>
      <c r="F27" s="27" t="s">
        <v>83</v>
      </c>
    </row>
    <row r="28" customFormat="false" ht="34.5" hidden="false" customHeight="true" outlineLevel="0" collapsed="false">
      <c r="B28" s="14"/>
      <c r="C28" s="24" t="s">
        <v>84</v>
      </c>
      <c r="D28" s="28" t="s">
        <v>85</v>
      </c>
      <c r="E28" s="26" t="s">
        <v>86</v>
      </c>
      <c r="F28" s="30" t="s">
        <v>87</v>
      </c>
    </row>
    <row r="29" customFormat="false" ht="15" hidden="false" customHeight="false" outlineLevel="0" collapsed="false">
      <c r="C29" s="2" t="s">
        <v>88</v>
      </c>
    </row>
    <row r="31" customFormat="false" ht="21.75" hidden="false" customHeight="true" outlineLevel="0" collapsed="false">
      <c r="B31" s="3" t="s">
        <v>89</v>
      </c>
      <c r="C31" s="4"/>
      <c r="D31" s="4"/>
      <c r="E31" s="4"/>
      <c r="F31" s="4"/>
      <c r="G31" s="4"/>
    </row>
    <row r="32" customFormat="false" ht="18" hidden="false" customHeight="true" outlineLevel="0" collapsed="false">
      <c r="C32" s="31" t="s">
        <v>90</v>
      </c>
      <c r="D32" s="31"/>
      <c r="E32" s="31"/>
      <c r="F32" s="31"/>
      <c r="G32" s="31"/>
    </row>
    <row r="33" customFormat="false" ht="18" hidden="false" customHeight="true" outlineLevel="0" collapsed="false">
      <c r="C33" s="31" t="s">
        <v>91</v>
      </c>
      <c r="D33" s="31"/>
      <c r="E33" s="31"/>
      <c r="F33" s="31"/>
      <c r="G33" s="31"/>
    </row>
    <row r="34" customFormat="false" ht="18" hidden="false" customHeight="true" outlineLevel="0" collapsed="false">
      <c r="C34" s="31" t="s">
        <v>92</v>
      </c>
      <c r="D34" s="31"/>
      <c r="E34" s="31"/>
      <c r="F34" s="31"/>
      <c r="G34" s="31"/>
    </row>
    <row r="35" customFormat="false" ht="18" hidden="false" customHeight="true" outlineLevel="0" collapsed="false">
      <c r="C35" s="31" t="s">
        <v>93</v>
      </c>
      <c r="D35" s="31"/>
      <c r="E35" s="31"/>
      <c r="F35" s="31"/>
      <c r="G35" s="31"/>
    </row>
    <row r="36" customFormat="false" ht="18" hidden="false" customHeight="true" outlineLevel="0" collapsed="false">
      <c r="C36" s="31" t="s">
        <v>94</v>
      </c>
      <c r="D36" s="31"/>
      <c r="E36" s="31"/>
      <c r="F36" s="31"/>
      <c r="G36" s="31"/>
    </row>
    <row r="37" customFormat="false" ht="18" hidden="false" customHeight="true" outlineLevel="0" collapsed="false">
      <c r="C37" s="31" t="s">
        <v>95</v>
      </c>
      <c r="D37" s="31"/>
      <c r="E37" s="31"/>
      <c r="F37" s="31"/>
      <c r="G37" s="31"/>
    </row>
    <row r="38" customFormat="false" ht="18" hidden="false" customHeight="true" outlineLevel="0" collapsed="false">
      <c r="C38" s="31" t="s">
        <v>96</v>
      </c>
      <c r="D38" s="31"/>
      <c r="E38" s="31"/>
      <c r="F38" s="31"/>
      <c r="G38" s="31"/>
    </row>
    <row r="39" customFormat="false" ht="18" hidden="false" customHeight="true" outlineLevel="0" collapsed="false">
      <c r="C39" s="31" t="s">
        <v>97</v>
      </c>
      <c r="D39" s="31"/>
      <c r="E39" s="31"/>
      <c r="F39" s="31"/>
      <c r="G39" s="31"/>
    </row>
    <row r="40" customFormat="false" ht="18" hidden="false" customHeight="true" outlineLevel="0" collapsed="false">
      <c r="C40" s="31" t="s">
        <v>98</v>
      </c>
      <c r="D40" s="31"/>
      <c r="E40" s="31"/>
      <c r="F40" s="31"/>
      <c r="G40" s="31"/>
    </row>
    <row r="42" customFormat="false" ht="21.75" hidden="false" customHeight="true" outlineLevel="0" collapsed="false">
      <c r="B42" s="3" t="s">
        <v>99</v>
      </c>
      <c r="C42" s="4"/>
      <c r="D42" s="4"/>
      <c r="E42" s="4"/>
      <c r="F42" s="4"/>
      <c r="G42" s="4"/>
    </row>
    <row r="43" customFormat="false" ht="18" hidden="false" customHeight="true" outlineLevel="0" collapsed="false">
      <c r="C43" s="32" t="s">
        <v>100</v>
      </c>
      <c r="D43" s="31" t="s">
        <v>101</v>
      </c>
      <c r="E43" s="31"/>
      <c r="F43" s="31"/>
      <c r="G43" s="31"/>
    </row>
    <row r="44" customFormat="false" ht="18" hidden="false" customHeight="true" outlineLevel="0" collapsed="false">
      <c r="C44" s="32" t="s">
        <v>102</v>
      </c>
      <c r="D44" s="33" t="s">
        <v>103</v>
      </c>
      <c r="E44" s="33"/>
      <c r="F44" s="33"/>
      <c r="G44" s="33"/>
    </row>
    <row r="45" customFormat="false" ht="18" hidden="false" customHeight="true" outlineLevel="0" collapsed="false">
      <c r="C45" s="32" t="s">
        <v>104</v>
      </c>
      <c r="D45" s="31" t="s">
        <v>105</v>
      </c>
      <c r="E45" s="31"/>
      <c r="F45" s="31"/>
      <c r="G45" s="31"/>
    </row>
    <row r="46" customFormat="false" ht="18" hidden="false" customHeight="true" outlineLevel="0" collapsed="false">
      <c r="C46" s="32" t="s">
        <v>106</v>
      </c>
      <c r="D46" s="33" t="s">
        <v>107</v>
      </c>
      <c r="E46" s="33"/>
      <c r="F46" s="33"/>
      <c r="G46" s="33"/>
    </row>
    <row r="47" customFormat="false" ht="18" hidden="false" customHeight="true" outlineLevel="0" collapsed="false">
      <c r="C47" s="32" t="s">
        <v>108</v>
      </c>
      <c r="D47" s="31" t="s">
        <v>109</v>
      </c>
      <c r="E47" s="31"/>
      <c r="F47" s="31"/>
      <c r="G47" s="31"/>
    </row>
    <row r="48" customFormat="false" ht="18" hidden="false" customHeight="true" outlineLevel="0" collapsed="false">
      <c r="C48" s="32" t="s">
        <v>110</v>
      </c>
      <c r="D48" s="33" t="s">
        <v>111</v>
      </c>
      <c r="E48" s="33"/>
      <c r="F48" s="33"/>
      <c r="G48" s="33"/>
    </row>
    <row r="49" customFormat="false" ht="18" hidden="false" customHeight="true" outlineLevel="0" collapsed="false">
      <c r="C49" s="34" t="s">
        <v>112</v>
      </c>
      <c r="D49" s="33" t="s">
        <v>113</v>
      </c>
      <c r="E49" s="33"/>
      <c r="F49" s="33"/>
      <c r="G49" s="33"/>
    </row>
    <row r="51" customFormat="false" ht="30" hidden="false" customHeight="true" outlineLevel="0" collapsed="false">
      <c r="B51" s="35" t="s">
        <v>114</v>
      </c>
      <c r="C51" s="35"/>
      <c r="D51" s="35"/>
      <c r="E51" s="35"/>
      <c r="F51" s="35"/>
      <c r="G51" s="35"/>
    </row>
  </sheetData>
  <mergeCells count="21">
    <mergeCell ref="B6:C6"/>
    <mergeCell ref="D6:G6"/>
    <mergeCell ref="B7:C7"/>
    <mergeCell ref="D7:G7"/>
    <mergeCell ref="C32:G32"/>
    <mergeCell ref="C33:G33"/>
    <mergeCell ref="C34:G34"/>
    <mergeCell ref="C35:G35"/>
    <mergeCell ref="C36:G36"/>
    <mergeCell ref="C37:G37"/>
    <mergeCell ref="C38:G38"/>
    <mergeCell ref="C39:G39"/>
    <mergeCell ref="C40:G40"/>
    <mergeCell ref="D43:G43"/>
    <mergeCell ref="D44:G44"/>
    <mergeCell ref="D45:G45"/>
    <mergeCell ref="D46:G46"/>
    <mergeCell ref="D47:G47"/>
    <mergeCell ref="D48:G48"/>
    <mergeCell ref="D49:G49"/>
    <mergeCell ref="B51:G51"/>
  </mergeCells>
  <hyperlinks>
    <hyperlink ref="C43" r:id="rId1" location="'比較一覧'!A1" display="比較一覧"/>
    <hyperlink ref="C44" r:id="rId2" location="'許容応力度_試算'!A1" display="許容応力度_試算"/>
    <hyperlink ref="C45" r:id="rId3" location="'鋼管部_試算'!A1" display="鋼管部_試算"/>
    <hyperlink ref="C46" r:id="rId4" location="'設計チェック'!A1" display="設計チェック"/>
    <hyperlink ref="C47" r:id="rId5" location="'記号の説明'!A1" display="記号の説明"/>
    <hyperlink ref="C48" r:id="rId6" location="'軸力負担の比較'!A1" display="軸力負担の比較"/>
    <hyperlink ref="C49" r:id="rId7" location="'PDF対照表'!A1" display="PDF対照表"/>
  </hyperlink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2:G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2"/>
    <col collapsed="false" customWidth="true" hidden="false" outlineLevel="0" max="5" min="4" style="0" width="44"/>
    <col collapsed="false" customWidth="true" hidden="false" outlineLevel="0" max="6" min="6" style="0" width="36"/>
    <col collapsed="false" customWidth="true" hidden="false" outlineLevel="0" max="7" min="7" style="0" width="16"/>
  </cols>
  <sheetData>
    <row r="2" customFormat="false" ht="20.85" hidden="false" customHeight="false" outlineLevel="0" collapsed="false">
      <c r="B2" s="36" t="s">
        <v>115</v>
      </c>
    </row>
    <row r="3" customFormat="false" ht="15" hidden="false" customHeight="false" outlineLevel="0" collapsed="false">
      <c r="B3" s="2" t="s">
        <v>116</v>
      </c>
    </row>
    <row r="5" customFormat="false" ht="21.75" hidden="false" customHeight="true" outlineLevel="0" collapsed="false">
      <c r="B5" s="3" t="s">
        <v>2</v>
      </c>
      <c r="C5" s="4"/>
      <c r="D5" s="4"/>
      <c r="E5" s="4"/>
      <c r="F5" s="4"/>
      <c r="G5" s="4"/>
    </row>
    <row r="6" customFormat="false" ht="27.75" hidden="false" customHeight="true" outlineLevel="0" collapsed="false">
      <c r="B6" s="37" t="s">
        <v>117</v>
      </c>
      <c r="C6" s="37"/>
      <c r="D6" s="38" t="s">
        <v>118</v>
      </c>
      <c r="E6" s="38"/>
      <c r="F6" s="38"/>
      <c r="G6" s="38"/>
    </row>
    <row r="7" customFormat="false" ht="27.75" hidden="false" customHeight="true" outlineLevel="0" collapsed="false">
      <c r="B7" s="39" t="s">
        <v>119</v>
      </c>
      <c r="C7" s="39"/>
      <c r="D7" s="40" t="s">
        <v>120</v>
      </c>
      <c r="E7" s="40"/>
      <c r="F7" s="40"/>
      <c r="G7" s="40"/>
    </row>
    <row r="9" customFormat="false" ht="21.75" hidden="false" customHeight="true" outlineLevel="0" collapsed="false">
      <c r="B9" s="3" t="s">
        <v>121</v>
      </c>
      <c r="C9" s="4"/>
      <c r="D9" s="4"/>
      <c r="E9" s="4"/>
      <c r="F9" s="4"/>
      <c r="G9" s="4"/>
    </row>
    <row r="10" customFormat="false" ht="25.5" hidden="false" customHeight="true" outlineLevel="0" collapsed="false">
      <c r="B10" s="9" t="s">
        <v>8</v>
      </c>
      <c r="C10" s="10" t="s">
        <v>9</v>
      </c>
      <c r="D10" s="11" t="s">
        <v>122</v>
      </c>
      <c r="E10" s="12" t="s">
        <v>123</v>
      </c>
      <c r="F10" s="10" t="s">
        <v>124</v>
      </c>
      <c r="G10" s="41" t="s">
        <v>125</v>
      </c>
    </row>
    <row r="11" customFormat="false" ht="49.5" hidden="false" customHeight="true" outlineLevel="0" collapsed="false">
      <c r="B11" s="42" t="n">
        <v>1</v>
      </c>
      <c r="C11" s="43" t="s">
        <v>126</v>
      </c>
      <c r="D11" s="6" t="s">
        <v>127</v>
      </c>
      <c r="E11" s="8" t="s">
        <v>128</v>
      </c>
      <c r="F11" s="44" t="s">
        <v>129</v>
      </c>
      <c r="G11" s="45" t="s">
        <v>130</v>
      </c>
    </row>
    <row r="12" customFormat="false" ht="21.75" hidden="false" customHeight="true" outlineLevel="0" collapsed="false">
      <c r="B12" s="42" t="n">
        <v>2</v>
      </c>
      <c r="C12" s="43" t="s">
        <v>131</v>
      </c>
      <c r="D12" s="6" t="s">
        <v>132</v>
      </c>
      <c r="E12" s="8" t="s">
        <v>133</v>
      </c>
      <c r="F12" s="44"/>
      <c r="G12" s="45" t="s">
        <v>134</v>
      </c>
    </row>
    <row r="13" customFormat="false" ht="34.5" hidden="false" customHeight="true" outlineLevel="0" collapsed="false">
      <c r="B13" s="42" t="n">
        <v>3</v>
      </c>
      <c r="C13" s="46" t="s">
        <v>135</v>
      </c>
      <c r="D13" s="47" t="s">
        <v>136</v>
      </c>
      <c r="E13" s="48" t="s">
        <v>137</v>
      </c>
      <c r="F13" s="46" t="s">
        <v>138</v>
      </c>
      <c r="G13" s="45" t="s">
        <v>139</v>
      </c>
    </row>
    <row r="14" customFormat="false" ht="21.75" hidden="false" customHeight="true" outlineLevel="0" collapsed="false">
      <c r="B14" s="42" t="n">
        <v>4</v>
      </c>
      <c r="C14" s="49" t="s">
        <v>140</v>
      </c>
      <c r="D14" s="50" t="s">
        <v>141</v>
      </c>
      <c r="E14" s="50" t="s">
        <v>142</v>
      </c>
      <c r="F14" s="44"/>
      <c r="G14" s="45" t="s">
        <v>139</v>
      </c>
    </row>
    <row r="15" customFormat="false" ht="34.5" hidden="false" customHeight="true" outlineLevel="0" collapsed="false">
      <c r="B15" s="42" t="n">
        <v>5</v>
      </c>
      <c r="C15" s="43" t="s">
        <v>143</v>
      </c>
      <c r="D15" s="50" t="s">
        <v>144</v>
      </c>
      <c r="E15" s="50" t="s">
        <v>145</v>
      </c>
      <c r="F15" s="44" t="s">
        <v>146</v>
      </c>
      <c r="G15" s="45" t="s">
        <v>147</v>
      </c>
    </row>
    <row r="16" customFormat="false" ht="34.5" hidden="false" customHeight="true" outlineLevel="0" collapsed="false">
      <c r="B16" s="42" t="n">
        <v>6</v>
      </c>
      <c r="C16" s="43" t="s">
        <v>148</v>
      </c>
      <c r="D16" s="50" t="s">
        <v>149</v>
      </c>
      <c r="E16" s="50" t="s">
        <v>149</v>
      </c>
      <c r="F16" s="44" t="s">
        <v>150</v>
      </c>
      <c r="G16" s="45" t="s">
        <v>151</v>
      </c>
    </row>
    <row r="17" customFormat="false" ht="34.5" hidden="false" customHeight="true" outlineLevel="0" collapsed="false">
      <c r="B17" s="42" t="n">
        <v>7</v>
      </c>
      <c r="C17" s="43" t="s">
        <v>152</v>
      </c>
      <c r="D17" s="51" t="s">
        <v>153</v>
      </c>
      <c r="E17" s="52" t="s">
        <v>154</v>
      </c>
      <c r="F17" s="44"/>
      <c r="G17" s="45" t="s">
        <v>134</v>
      </c>
    </row>
    <row r="18" customFormat="false" ht="21.75" hidden="false" customHeight="true" outlineLevel="0" collapsed="false">
      <c r="B18" s="42" t="n">
        <v>8</v>
      </c>
      <c r="C18" s="43" t="s">
        <v>155</v>
      </c>
      <c r="D18" s="51" t="s">
        <v>156</v>
      </c>
      <c r="E18" s="52" t="s">
        <v>157</v>
      </c>
      <c r="F18" s="44"/>
      <c r="G18" s="45" t="s">
        <v>139</v>
      </c>
    </row>
    <row r="19" customFormat="false" ht="49.5" hidden="false" customHeight="true" outlineLevel="0" collapsed="false">
      <c r="B19" s="42" t="n">
        <v>9</v>
      </c>
      <c r="C19" s="43" t="s">
        <v>158</v>
      </c>
      <c r="D19" s="51" t="s">
        <v>159</v>
      </c>
      <c r="E19" s="52" t="s">
        <v>160</v>
      </c>
      <c r="F19" s="53" t="s">
        <v>161</v>
      </c>
      <c r="G19" s="45" t="s">
        <v>139</v>
      </c>
    </row>
    <row r="20" customFormat="false" ht="21.75" hidden="false" customHeight="true" outlineLevel="0" collapsed="false">
      <c r="B20" s="42" t="n">
        <v>10</v>
      </c>
      <c r="C20" s="43" t="s">
        <v>162</v>
      </c>
      <c r="D20" s="51" t="s">
        <v>163</v>
      </c>
      <c r="E20" s="52" t="s">
        <v>164</v>
      </c>
      <c r="F20" s="53" t="s">
        <v>165</v>
      </c>
      <c r="G20" s="45" t="s">
        <v>166</v>
      </c>
    </row>
    <row r="21" customFormat="false" ht="34.5" hidden="false" customHeight="true" outlineLevel="0" collapsed="false">
      <c r="B21" s="42" t="n">
        <v>11</v>
      </c>
      <c r="C21" s="43" t="s">
        <v>167</v>
      </c>
      <c r="D21" s="51" t="s">
        <v>168</v>
      </c>
      <c r="E21" s="52" t="s">
        <v>169</v>
      </c>
      <c r="F21" s="44" t="s">
        <v>170</v>
      </c>
      <c r="G21" s="45" t="s">
        <v>171</v>
      </c>
    </row>
    <row r="22" customFormat="false" ht="34.5" hidden="false" customHeight="true" outlineLevel="0" collapsed="false">
      <c r="B22" s="42" t="n">
        <v>12</v>
      </c>
      <c r="C22" s="43" t="s">
        <v>172</v>
      </c>
      <c r="D22" s="6" t="s">
        <v>173</v>
      </c>
      <c r="E22" s="52" t="s">
        <v>174</v>
      </c>
      <c r="F22" s="44"/>
      <c r="G22" s="45" t="s">
        <v>175</v>
      </c>
    </row>
    <row r="23" customFormat="false" ht="34.5" hidden="false" customHeight="true" outlineLevel="0" collapsed="false">
      <c r="B23" s="42" t="n">
        <v>13</v>
      </c>
      <c r="C23" s="43" t="s">
        <v>176</v>
      </c>
      <c r="D23" s="6" t="s">
        <v>177</v>
      </c>
      <c r="E23" s="8" t="s">
        <v>178</v>
      </c>
      <c r="F23" s="44" t="s">
        <v>179</v>
      </c>
      <c r="G23" s="45" t="s">
        <v>180</v>
      </c>
    </row>
    <row r="24" customFormat="false" ht="15" hidden="false" customHeight="false" outlineLevel="0" collapsed="false">
      <c r="C24" s="2" t="s">
        <v>181</v>
      </c>
    </row>
    <row r="25" customFormat="false" ht="30" hidden="false" customHeight="true" outlineLevel="0" collapsed="false">
      <c r="B25" s="35" t="s">
        <v>182</v>
      </c>
      <c r="C25" s="35"/>
      <c r="D25" s="35"/>
      <c r="E25" s="35"/>
      <c r="F25" s="35"/>
      <c r="G25" s="35"/>
    </row>
    <row r="27" customFormat="false" ht="21.75" hidden="false" customHeight="true" outlineLevel="0" collapsed="false">
      <c r="B27" s="3" t="s">
        <v>183</v>
      </c>
      <c r="C27" s="4"/>
      <c r="D27" s="4"/>
      <c r="E27" s="4"/>
      <c r="F27" s="4"/>
      <c r="G27" s="4"/>
    </row>
    <row r="28" customFormat="false" ht="21.75" hidden="false" customHeight="true" outlineLevel="0" collapsed="false">
      <c r="C28" s="54" t="s">
        <v>184</v>
      </c>
      <c r="D28" s="53" t="s">
        <v>185</v>
      </c>
      <c r="E28" s="53"/>
      <c r="F28" s="53"/>
      <c r="G28" s="53"/>
    </row>
    <row r="29" customFormat="false" ht="21.75" hidden="false" customHeight="true" outlineLevel="0" collapsed="false">
      <c r="C29" s="54" t="s">
        <v>186</v>
      </c>
      <c r="D29" s="53" t="s">
        <v>187</v>
      </c>
      <c r="E29" s="53"/>
      <c r="F29" s="53"/>
      <c r="G29" s="53"/>
    </row>
    <row r="30" customFormat="false" ht="21.75" hidden="false" customHeight="true" outlineLevel="0" collapsed="false">
      <c r="C30" s="54" t="s">
        <v>188</v>
      </c>
      <c r="D30" s="44" t="s">
        <v>189</v>
      </c>
      <c r="E30" s="44"/>
      <c r="F30" s="44"/>
      <c r="G30" s="44"/>
    </row>
    <row r="31" customFormat="false" ht="21.75" hidden="false" customHeight="true" outlineLevel="0" collapsed="false">
      <c r="C31" s="54" t="s">
        <v>190</v>
      </c>
      <c r="D31" s="53" t="s">
        <v>191</v>
      </c>
      <c r="E31" s="53"/>
      <c r="F31" s="53"/>
      <c r="G31" s="53"/>
    </row>
    <row r="33" customFormat="false" ht="21.75" hidden="false" customHeight="true" outlineLevel="0" collapsed="false">
      <c r="B33" s="9"/>
      <c r="C33" s="10" t="s">
        <v>192</v>
      </c>
      <c r="D33" s="10" t="s">
        <v>193</v>
      </c>
      <c r="E33" s="10"/>
      <c r="F33" s="10" t="s">
        <v>194</v>
      </c>
      <c r="G33" s="10" t="s">
        <v>195</v>
      </c>
    </row>
    <row r="34" customFormat="false" ht="19.5" hidden="false" customHeight="true" outlineLevel="0" collapsed="false">
      <c r="C34" s="55" t="s">
        <v>196</v>
      </c>
      <c r="D34" s="27" t="s">
        <v>197</v>
      </c>
      <c r="E34" s="27"/>
      <c r="F34" s="27" t="s">
        <v>198</v>
      </c>
      <c r="G34" s="56" t="s">
        <v>199</v>
      </c>
    </row>
    <row r="35" customFormat="false" ht="19.5" hidden="false" customHeight="true" outlineLevel="0" collapsed="false">
      <c r="C35" s="55" t="s">
        <v>200</v>
      </c>
      <c r="D35" s="27" t="s">
        <v>201</v>
      </c>
      <c r="E35" s="27"/>
      <c r="F35" s="27" t="s">
        <v>202</v>
      </c>
      <c r="G35" s="56" t="s">
        <v>199</v>
      </c>
    </row>
    <row r="36" customFormat="false" ht="19.5" hidden="false" customHeight="true" outlineLevel="0" collapsed="false">
      <c r="C36" s="55" t="s">
        <v>203</v>
      </c>
      <c r="D36" s="30" t="s">
        <v>204</v>
      </c>
      <c r="E36" s="30"/>
      <c r="F36" s="30" t="s">
        <v>205</v>
      </c>
      <c r="G36" s="57" t="s">
        <v>206</v>
      </c>
    </row>
    <row r="37" customFormat="false" ht="34.5" hidden="false" customHeight="true" outlineLevel="0" collapsed="false">
      <c r="C37" s="55" t="s">
        <v>207</v>
      </c>
      <c r="D37" s="30" t="s">
        <v>208</v>
      </c>
      <c r="E37" s="30"/>
      <c r="F37" s="30" t="s">
        <v>209</v>
      </c>
      <c r="G37" s="58" t="s">
        <v>210</v>
      </c>
    </row>
    <row r="38" customFormat="false" ht="19.5" hidden="false" customHeight="true" outlineLevel="0" collapsed="false">
      <c r="C38" s="55" t="s">
        <v>211</v>
      </c>
      <c r="D38" s="30" t="s">
        <v>212</v>
      </c>
      <c r="E38" s="30"/>
      <c r="F38" s="30" t="s">
        <v>213</v>
      </c>
      <c r="G38" s="56" t="s">
        <v>199</v>
      </c>
    </row>
    <row r="39" customFormat="false" ht="19.5" hidden="false" customHeight="true" outlineLevel="0" collapsed="false">
      <c r="C39" s="55" t="s">
        <v>214</v>
      </c>
      <c r="D39" s="30" t="s">
        <v>215</v>
      </c>
      <c r="E39" s="30"/>
      <c r="F39" s="30" t="s">
        <v>216</v>
      </c>
      <c r="G39" s="14" t="s">
        <v>217</v>
      </c>
    </row>
    <row r="40" customFormat="false" ht="19.5" hidden="false" customHeight="true" outlineLevel="0" collapsed="false">
      <c r="C40" s="55" t="s">
        <v>218</v>
      </c>
      <c r="D40" s="30" t="s">
        <v>219</v>
      </c>
      <c r="E40" s="30"/>
      <c r="F40" s="30" t="s">
        <v>220</v>
      </c>
      <c r="G40" s="14" t="s">
        <v>217</v>
      </c>
    </row>
    <row r="41" customFormat="false" ht="19.5" hidden="false" customHeight="true" outlineLevel="0" collapsed="false">
      <c r="C41" s="55" t="s">
        <v>221</v>
      </c>
      <c r="D41" s="27" t="s">
        <v>222</v>
      </c>
      <c r="E41" s="27"/>
      <c r="F41" s="30" t="s">
        <v>223</v>
      </c>
      <c r="G41" s="57" t="s">
        <v>206</v>
      </c>
    </row>
    <row r="42" customFormat="false" ht="19.5" hidden="false" customHeight="true" outlineLevel="0" collapsed="false">
      <c r="C42" s="55" t="s">
        <v>224</v>
      </c>
      <c r="D42" s="27" t="s">
        <v>225</v>
      </c>
      <c r="E42" s="27"/>
      <c r="F42" s="30" t="s">
        <v>226</v>
      </c>
      <c r="G42" s="57" t="s">
        <v>206</v>
      </c>
    </row>
    <row r="43" customFormat="false" ht="19.5" hidden="false" customHeight="true" outlineLevel="0" collapsed="false">
      <c r="C43" s="55" t="s">
        <v>227</v>
      </c>
      <c r="D43" s="27" t="s">
        <v>228</v>
      </c>
      <c r="E43" s="27"/>
      <c r="F43" s="30" t="s">
        <v>229</v>
      </c>
      <c r="G43" s="56" t="s">
        <v>199</v>
      </c>
    </row>
    <row r="44" customFormat="false" ht="19.5" hidden="false" customHeight="true" outlineLevel="0" collapsed="false">
      <c r="C44" s="55" t="s">
        <v>230</v>
      </c>
      <c r="D44" s="27" t="s">
        <v>231</v>
      </c>
      <c r="E44" s="27"/>
      <c r="F44" s="30" t="s">
        <v>232</v>
      </c>
      <c r="G44" s="56" t="s">
        <v>199</v>
      </c>
    </row>
    <row r="45" customFormat="false" ht="19.5" hidden="false" customHeight="true" outlineLevel="0" collapsed="false">
      <c r="C45" s="55" t="s">
        <v>233</v>
      </c>
      <c r="D45" s="27" t="s">
        <v>234</v>
      </c>
      <c r="E45" s="27"/>
      <c r="F45" s="30" t="s">
        <v>232</v>
      </c>
      <c r="G45" s="56" t="s">
        <v>199</v>
      </c>
    </row>
    <row r="46" customFormat="false" ht="19.5" hidden="false" customHeight="true" outlineLevel="0" collapsed="false">
      <c r="C46" s="55" t="s">
        <v>235</v>
      </c>
      <c r="D46" s="27" t="s">
        <v>236</v>
      </c>
      <c r="E46" s="27"/>
      <c r="F46" s="30" t="s">
        <v>237</v>
      </c>
      <c r="G46" s="56" t="s">
        <v>199</v>
      </c>
    </row>
    <row r="47" customFormat="false" ht="19.5" hidden="false" customHeight="true" outlineLevel="0" collapsed="false">
      <c r="C47" s="55" t="s">
        <v>238</v>
      </c>
      <c r="D47" s="27" t="s">
        <v>239</v>
      </c>
      <c r="E47" s="27"/>
      <c r="F47" s="30" t="s">
        <v>237</v>
      </c>
      <c r="G47" s="56" t="s">
        <v>199</v>
      </c>
    </row>
    <row r="48" customFormat="false" ht="19.5" hidden="false" customHeight="true" outlineLevel="0" collapsed="false">
      <c r="C48" s="55" t="s">
        <v>240</v>
      </c>
      <c r="D48" s="27" t="s">
        <v>241</v>
      </c>
      <c r="E48" s="27"/>
      <c r="F48" s="30" t="s">
        <v>237</v>
      </c>
      <c r="G48" s="56" t="s">
        <v>199</v>
      </c>
    </row>
    <row r="49" customFormat="false" ht="19.5" hidden="false" customHeight="true" outlineLevel="0" collapsed="false">
      <c r="C49" s="55" t="s">
        <v>242</v>
      </c>
      <c r="D49" s="27" t="s">
        <v>243</v>
      </c>
      <c r="E49" s="27"/>
      <c r="F49" s="30" t="s">
        <v>244</v>
      </c>
      <c r="G49" s="56" t="s">
        <v>199</v>
      </c>
    </row>
    <row r="50" customFormat="false" ht="19.5" hidden="false" customHeight="true" outlineLevel="0" collapsed="false">
      <c r="C50" s="55" t="s">
        <v>245</v>
      </c>
      <c r="D50" s="27" t="s">
        <v>246</v>
      </c>
      <c r="E50" s="27"/>
      <c r="F50" s="30" t="s">
        <v>247</v>
      </c>
      <c r="G50" s="14" t="s">
        <v>217</v>
      </c>
    </row>
    <row r="52" customFormat="false" ht="21.75" hidden="false" customHeight="true" outlineLevel="0" collapsed="false">
      <c r="B52" s="3" t="s">
        <v>248</v>
      </c>
      <c r="C52" s="4"/>
      <c r="D52" s="4"/>
      <c r="E52" s="4"/>
      <c r="F52" s="4"/>
      <c r="G52" s="4"/>
    </row>
    <row r="53" customFormat="false" ht="21.75" hidden="false" customHeight="true" outlineLevel="0" collapsed="false">
      <c r="B53" s="9"/>
      <c r="C53" s="10" t="s">
        <v>249</v>
      </c>
      <c r="D53" s="10" t="s">
        <v>250</v>
      </c>
      <c r="E53" s="10"/>
      <c r="F53" s="10" t="s">
        <v>124</v>
      </c>
      <c r="G53" s="10" t="s">
        <v>195</v>
      </c>
    </row>
    <row r="54" customFormat="false" ht="34.5" hidden="false" customHeight="true" outlineLevel="0" collapsed="false">
      <c r="C54" s="59" t="s">
        <v>251</v>
      </c>
      <c r="D54" s="53" t="s">
        <v>252</v>
      </c>
      <c r="E54" s="53"/>
      <c r="F54" s="44" t="s">
        <v>253</v>
      </c>
      <c r="G54" s="57" t="s">
        <v>206</v>
      </c>
    </row>
    <row r="55" customFormat="false" ht="34.5" hidden="false" customHeight="true" outlineLevel="0" collapsed="false">
      <c r="C55" s="60" t="s">
        <v>254</v>
      </c>
      <c r="D55" s="44" t="s">
        <v>255</v>
      </c>
      <c r="E55" s="44"/>
      <c r="F55" s="53" t="s">
        <v>256</v>
      </c>
      <c r="G55" s="58" t="s">
        <v>210</v>
      </c>
    </row>
    <row r="56" customFormat="false" ht="34.5" hidden="false" customHeight="true" outlineLevel="0" collapsed="false">
      <c r="C56" s="61" t="s">
        <v>257</v>
      </c>
      <c r="D56" s="53" t="s">
        <v>258</v>
      </c>
      <c r="E56" s="53"/>
      <c r="F56" s="53" t="s">
        <v>259</v>
      </c>
      <c r="G56" s="62" t="s">
        <v>199</v>
      </c>
    </row>
    <row r="57" customFormat="false" ht="49.5" hidden="false" customHeight="true" outlineLevel="0" collapsed="false">
      <c r="C57" s="60" t="s">
        <v>260</v>
      </c>
      <c r="D57" s="44" t="s">
        <v>261</v>
      </c>
      <c r="E57" s="44"/>
      <c r="F57" s="53" t="s">
        <v>262</v>
      </c>
      <c r="G57" s="58" t="s">
        <v>210</v>
      </c>
    </row>
    <row r="58" customFormat="false" ht="49.5" hidden="false" customHeight="true" outlineLevel="0" collapsed="false">
      <c r="C58" s="60" t="s">
        <v>263</v>
      </c>
      <c r="D58" s="44" t="s">
        <v>264</v>
      </c>
      <c r="E58" s="44"/>
      <c r="F58" s="44" t="s">
        <v>265</v>
      </c>
      <c r="G58" s="58" t="s">
        <v>210</v>
      </c>
    </row>
    <row r="59" customFormat="false" ht="34.5" hidden="false" customHeight="true" outlineLevel="0" collapsed="false">
      <c r="C59" s="60" t="s">
        <v>266</v>
      </c>
      <c r="D59" s="44" t="s">
        <v>267</v>
      </c>
      <c r="E59" s="44"/>
      <c r="F59" s="44" t="s">
        <v>268</v>
      </c>
      <c r="G59" s="58" t="s">
        <v>210</v>
      </c>
    </row>
    <row r="60" customFormat="false" ht="49.5" hidden="false" customHeight="true" outlineLevel="0" collapsed="false">
      <c r="C60" s="59" t="s">
        <v>269</v>
      </c>
      <c r="D60" s="44" t="s">
        <v>270</v>
      </c>
      <c r="E60" s="44"/>
      <c r="F60" s="44" t="s">
        <v>271</v>
      </c>
      <c r="G60" s="57" t="s">
        <v>206</v>
      </c>
    </row>
    <row r="61" customFormat="false" ht="34.5" hidden="false" customHeight="true" outlineLevel="0" collapsed="false">
      <c r="C61" s="59" t="s">
        <v>272</v>
      </c>
      <c r="D61" s="44" t="s">
        <v>273</v>
      </c>
      <c r="E61" s="44"/>
      <c r="F61" s="53" t="s">
        <v>274</v>
      </c>
      <c r="G61" s="57" t="s">
        <v>206</v>
      </c>
    </row>
    <row r="62" customFormat="false" ht="34.5" hidden="false" customHeight="true" outlineLevel="0" collapsed="false">
      <c r="C62" s="59" t="s">
        <v>275</v>
      </c>
      <c r="D62" s="44" t="s">
        <v>276</v>
      </c>
      <c r="E62" s="44"/>
      <c r="F62" s="44" t="s">
        <v>277</v>
      </c>
      <c r="G62" s="57" t="s">
        <v>206</v>
      </c>
    </row>
    <row r="63" customFormat="false" ht="34.5" hidden="false" customHeight="true" outlineLevel="0" collapsed="false">
      <c r="C63" s="61" t="s">
        <v>278</v>
      </c>
      <c r="D63" s="44" t="s">
        <v>279</v>
      </c>
      <c r="E63" s="44"/>
      <c r="F63" s="53" t="s">
        <v>280</v>
      </c>
      <c r="G63" s="62" t="s">
        <v>199</v>
      </c>
    </row>
    <row r="64" customFormat="false" ht="15" hidden="false" customHeight="false" outlineLevel="0" collapsed="false">
      <c r="C64" s="2" t="s">
        <v>281</v>
      </c>
    </row>
    <row r="66" customFormat="false" ht="21.75" hidden="false" customHeight="true" outlineLevel="0" collapsed="false">
      <c r="B66" s="3" t="s">
        <v>282</v>
      </c>
      <c r="C66" s="4"/>
      <c r="D66" s="4"/>
      <c r="E66" s="4"/>
      <c r="F66" s="4"/>
      <c r="G66" s="4"/>
    </row>
  </sheetData>
  <mergeCells count="38">
    <mergeCell ref="B6:C6"/>
    <mergeCell ref="D6:G6"/>
    <mergeCell ref="B7:C7"/>
    <mergeCell ref="D7:G7"/>
    <mergeCell ref="B25:G25"/>
    <mergeCell ref="D28:G28"/>
    <mergeCell ref="D29:G29"/>
    <mergeCell ref="D30:G30"/>
    <mergeCell ref="D31:G31"/>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3:E53"/>
    <mergeCell ref="D54:E54"/>
    <mergeCell ref="D55:E55"/>
    <mergeCell ref="D56:E56"/>
    <mergeCell ref="D57:E57"/>
    <mergeCell ref="D58:E58"/>
    <mergeCell ref="D59:E59"/>
    <mergeCell ref="D60:E60"/>
    <mergeCell ref="D61:E61"/>
    <mergeCell ref="D62:E62"/>
    <mergeCell ref="D63:E63"/>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65"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22"/>
    <col collapsed="false" customWidth="true" hidden="false" outlineLevel="0" max="5" min="4" style="0" width="46"/>
    <col collapsed="false" customWidth="true" hidden="false" outlineLevel="0" max="6" min="6" style="0" width="11"/>
    <col collapsed="false" customWidth="true" hidden="false" outlineLevel="0" max="7" min="7" style="0" width="36"/>
    <col collapsed="false" customWidth="true" hidden="false" outlineLevel="0" max="8" min="8" style="0" width="18"/>
    <col collapsed="false" customWidth="true" hidden="false" outlineLevel="0" max="9" min="9" style="0" width="30"/>
  </cols>
  <sheetData>
    <row r="1" customFormat="false" ht="20.85" hidden="false" customHeight="false" outlineLevel="0" collapsed="false">
      <c r="A1" s="1" t="s">
        <v>283</v>
      </c>
    </row>
    <row r="2" customFormat="false" ht="15" hidden="false" customHeight="false" outlineLevel="0" collapsed="false">
      <c r="A2" s="2" t="s">
        <v>1</v>
      </c>
    </row>
    <row r="3" customFormat="false" ht="27.75" hidden="false" customHeight="true" outlineLevel="0" collapsed="false">
      <c r="A3" s="63" t="s">
        <v>284</v>
      </c>
      <c r="B3" s="63"/>
      <c r="C3" s="63"/>
      <c r="D3" s="63"/>
      <c r="E3" s="63"/>
      <c r="F3" s="63"/>
      <c r="G3" s="63"/>
      <c r="H3" s="63"/>
      <c r="I3" s="63"/>
    </row>
    <row r="4" customFormat="false" ht="31.5" hidden="false" customHeight="true" outlineLevel="0" collapsed="false">
      <c r="A4" s="9" t="s">
        <v>8</v>
      </c>
      <c r="B4" s="10" t="s">
        <v>285</v>
      </c>
      <c r="C4" s="10" t="s">
        <v>9</v>
      </c>
      <c r="D4" s="11" t="s">
        <v>286</v>
      </c>
      <c r="E4" s="12" t="s">
        <v>287</v>
      </c>
      <c r="F4" s="10" t="s">
        <v>288</v>
      </c>
      <c r="G4" s="10" t="s">
        <v>289</v>
      </c>
      <c r="H4" s="10" t="s">
        <v>290</v>
      </c>
      <c r="I4" s="41" t="s">
        <v>291</v>
      </c>
    </row>
    <row r="5" customFormat="false" ht="34.5" hidden="false" customHeight="true" outlineLevel="0" collapsed="false">
      <c r="A5" s="14" t="n">
        <v>1</v>
      </c>
      <c r="B5" s="64" t="s">
        <v>292</v>
      </c>
      <c r="C5" s="23" t="s">
        <v>293</v>
      </c>
      <c r="D5" s="16" t="s">
        <v>294</v>
      </c>
      <c r="E5" s="17" t="s">
        <v>295</v>
      </c>
      <c r="F5" s="65" t="s">
        <v>296</v>
      </c>
      <c r="G5" s="22" t="s">
        <v>297</v>
      </c>
      <c r="H5" s="66" t="s">
        <v>298</v>
      </c>
      <c r="I5" s="67" t="s">
        <v>299</v>
      </c>
    </row>
    <row r="6" customFormat="false" ht="34.5" hidden="false" customHeight="true" outlineLevel="0" collapsed="false">
      <c r="A6" s="14" t="n">
        <v>2</v>
      </c>
      <c r="B6" s="64" t="s">
        <v>292</v>
      </c>
      <c r="C6" s="15" t="s">
        <v>300</v>
      </c>
      <c r="D6" s="16" t="s">
        <v>15</v>
      </c>
      <c r="E6" s="17" t="s">
        <v>16</v>
      </c>
      <c r="F6" s="68" t="s">
        <v>301</v>
      </c>
      <c r="G6" s="22" t="s">
        <v>302</v>
      </c>
      <c r="H6" s="66" t="s">
        <v>303</v>
      </c>
      <c r="I6" s="67" t="s">
        <v>304</v>
      </c>
    </row>
    <row r="7" customFormat="false" ht="64.5" hidden="false" customHeight="true" outlineLevel="0" collapsed="false">
      <c r="A7" s="14" t="n">
        <v>3</v>
      </c>
      <c r="B7" s="64" t="s">
        <v>292</v>
      </c>
      <c r="C7" s="15" t="s">
        <v>305</v>
      </c>
      <c r="D7" s="16" t="s">
        <v>306</v>
      </c>
      <c r="E7" s="17" t="s">
        <v>307</v>
      </c>
      <c r="F7" s="68" t="s">
        <v>301</v>
      </c>
      <c r="G7" s="18" t="s">
        <v>308</v>
      </c>
      <c r="H7" s="66" t="s">
        <v>309</v>
      </c>
      <c r="I7" s="67" t="s">
        <v>310</v>
      </c>
    </row>
    <row r="8" customFormat="false" ht="34.5" hidden="false" customHeight="true" outlineLevel="0" collapsed="false">
      <c r="A8" s="14" t="n">
        <v>4</v>
      </c>
      <c r="B8" s="64" t="s">
        <v>292</v>
      </c>
      <c r="C8" s="15" t="s">
        <v>311</v>
      </c>
      <c r="D8" s="16" t="s">
        <v>312</v>
      </c>
      <c r="E8" s="17" t="s">
        <v>312</v>
      </c>
      <c r="F8" s="65" t="s">
        <v>296</v>
      </c>
      <c r="G8" s="18"/>
      <c r="H8" s="66" t="s">
        <v>313</v>
      </c>
      <c r="I8" s="67" t="s">
        <v>299</v>
      </c>
    </row>
    <row r="9" customFormat="false" ht="49.5" hidden="false" customHeight="true" outlineLevel="0" collapsed="false">
      <c r="A9" s="14" t="n">
        <v>5</v>
      </c>
      <c r="B9" s="64" t="s">
        <v>292</v>
      </c>
      <c r="C9" s="15" t="s">
        <v>314</v>
      </c>
      <c r="D9" s="16" t="s">
        <v>315</v>
      </c>
      <c r="E9" s="17" t="s">
        <v>315</v>
      </c>
      <c r="F9" s="65" t="s">
        <v>296</v>
      </c>
      <c r="G9" s="18"/>
      <c r="H9" s="66" t="s">
        <v>313</v>
      </c>
      <c r="I9" s="67" t="s">
        <v>299</v>
      </c>
    </row>
    <row r="10" customFormat="false" ht="34.5" hidden="false" customHeight="true" outlineLevel="0" collapsed="false">
      <c r="A10" s="14" t="n">
        <v>6</v>
      </c>
      <c r="B10" s="64" t="s">
        <v>292</v>
      </c>
      <c r="C10" s="15" t="s">
        <v>316</v>
      </c>
      <c r="D10" s="16" t="s">
        <v>317</v>
      </c>
      <c r="E10" s="17" t="s">
        <v>317</v>
      </c>
      <c r="F10" s="65" t="s">
        <v>296</v>
      </c>
      <c r="G10" s="18"/>
      <c r="H10" s="66" t="s">
        <v>313</v>
      </c>
      <c r="I10" s="67" t="s">
        <v>299</v>
      </c>
    </row>
    <row r="11" customFormat="false" ht="49.5" hidden="false" customHeight="true" outlineLevel="0" collapsed="false">
      <c r="A11" s="14" t="n">
        <v>7</v>
      </c>
      <c r="B11" s="64" t="s">
        <v>292</v>
      </c>
      <c r="C11" s="15" t="s">
        <v>318</v>
      </c>
      <c r="D11" s="16" t="s">
        <v>319</v>
      </c>
      <c r="E11" s="17" t="s">
        <v>320</v>
      </c>
      <c r="F11" s="68" t="s">
        <v>301</v>
      </c>
      <c r="G11" s="18" t="s">
        <v>321</v>
      </c>
      <c r="H11" s="66" t="s">
        <v>303</v>
      </c>
      <c r="I11" s="67" t="s">
        <v>304</v>
      </c>
    </row>
    <row r="12" customFormat="false" ht="34.5" hidden="false" customHeight="true" outlineLevel="0" collapsed="false">
      <c r="A12" s="14" t="n">
        <v>8</v>
      </c>
      <c r="B12" s="64" t="s">
        <v>292</v>
      </c>
      <c r="C12" s="15" t="s">
        <v>322</v>
      </c>
      <c r="D12" s="16" t="s">
        <v>51</v>
      </c>
      <c r="E12" s="17" t="s">
        <v>323</v>
      </c>
      <c r="F12" s="68" t="s">
        <v>301</v>
      </c>
      <c r="G12" s="18" t="s">
        <v>324</v>
      </c>
      <c r="H12" s="66" t="s">
        <v>325</v>
      </c>
      <c r="I12" s="67" t="s">
        <v>326</v>
      </c>
    </row>
    <row r="13" customFormat="false" ht="49.5" hidden="false" customHeight="true" outlineLevel="0" collapsed="false">
      <c r="A13" s="14" t="n">
        <v>9</v>
      </c>
      <c r="B13" s="64" t="s">
        <v>327</v>
      </c>
      <c r="C13" s="15" t="s">
        <v>328</v>
      </c>
      <c r="D13" s="20" t="s">
        <v>329</v>
      </c>
      <c r="E13" s="17" t="s">
        <v>330</v>
      </c>
      <c r="F13" s="68" t="s">
        <v>301</v>
      </c>
      <c r="G13" s="22" t="s">
        <v>331</v>
      </c>
      <c r="H13" s="64" t="s">
        <v>332</v>
      </c>
      <c r="I13" s="67" t="s">
        <v>333</v>
      </c>
    </row>
    <row r="14" customFormat="false" ht="49.5" hidden="false" customHeight="true" outlineLevel="0" collapsed="false">
      <c r="A14" s="14" t="n">
        <v>10</v>
      </c>
      <c r="B14" s="64" t="s">
        <v>327</v>
      </c>
      <c r="C14" s="15" t="s">
        <v>334</v>
      </c>
      <c r="D14" s="16" t="s">
        <v>335</v>
      </c>
      <c r="E14" s="17" t="s">
        <v>336</v>
      </c>
      <c r="F14" s="68" t="s">
        <v>301</v>
      </c>
      <c r="G14" s="18" t="s">
        <v>337</v>
      </c>
      <c r="H14" s="64" t="s">
        <v>332</v>
      </c>
      <c r="I14" s="67" t="s">
        <v>333</v>
      </c>
    </row>
    <row r="15" customFormat="false" ht="34.5" hidden="false" customHeight="true" outlineLevel="0" collapsed="false">
      <c r="A15" s="14" t="n">
        <v>11</v>
      </c>
      <c r="B15" s="64" t="s">
        <v>327</v>
      </c>
      <c r="C15" s="15" t="s">
        <v>338</v>
      </c>
      <c r="D15" s="16" t="s">
        <v>339</v>
      </c>
      <c r="E15" s="17" t="s">
        <v>340</v>
      </c>
      <c r="F15" s="69" t="s">
        <v>341</v>
      </c>
      <c r="G15" s="22" t="s">
        <v>342</v>
      </c>
      <c r="H15" s="64" t="s">
        <v>332</v>
      </c>
      <c r="I15" s="67" t="s">
        <v>333</v>
      </c>
    </row>
    <row r="16" customFormat="false" ht="34.5" hidden="false" customHeight="true" outlineLevel="0" collapsed="false">
      <c r="A16" s="14" t="n">
        <v>12</v>
      </c>
      <c r="B16" s="64" t="s">
        <v>327</v>
      </c>
      <c r="C16" s="15" t="s">
        <v>343</v>
      </c>
      <c r="D16" s="16" t="s">
        <v>344</v>
      </c>
      <c r="E16" s="17" t="s">
        <v>344</v>
      </c>
      <c r="F16" s="65" t="s">
        <v>296</v>
      </c>
      <c r="G16" s="22" t="s">
        <v>345</v>
      </c>
      <c r="H16" s="66" t="s">
        <v>346</v>
      </c>
      <c r="I16" s="67" t="s">
        <v>333</v>
      </c>
    </row>
    <row r="17" customFormat="false" ht="34.5" hidden="false" customHeight="true" outlineLevel="0" collapsed="false">
      <c r="A17" s="14" t="n">
        <v>13</v>
      </c>
      <c r="B17" s="64" t="s">
        <v>327</v>
      </c>
      <c r="C17" s="15" t="s">
        <v>347</v>
      </c>
      <c r="D17" s="20" t="s">
        <v>348</v>
      </c>
      <c r="E17" s="21" t="s">
        <v>348</v>
      </c>
      <c r="F17" s="65" t="s">
        <v>296</v>
      </c>
      <c r="G17" s="18"/>
      <c r="H17" s="66" t="s">
        <v>346</v>
      </c>
      <c r="I17" s="67" t="s">
        <v>349</v>
      </c>
    </row>
    <row r="18" customFormat="false" ht="64.5" hidden="false" customHeight="true" outlineLevel="0" collapsed="false">
      <c r="A18" s="14" t="n">
        <v>14</v>
      </c>
      <c r="B18" s="64" t="s">
        <v>327</v>
      </c>
      <c r="C18" s="15" t="s">
        <v>350</v>
      </c>
      <c r="D18" s="16" t="s">
        <v>351</v>
      </c>
      <c r="E18" s="17" t="s">
        <v>352</v>
      </c>
      <c r="F18" s="65" t="s">
        <v>296</v>
      </c>
      <c r="G18" s="22" t="s">
        <v>353</v>
      </c>
      <c r="H18" s="64" t="s">
        <v>354</v>
      </c>
      <c r="I18" s="67" t="s">
        <v>355</v>
      </c>
    </row>
    <row r="19" customFormat="false" ht="34.5" hidden="false" customHeight="true" outlineLevel="0" collapsed="false">
      <c r="A19" s="14" t="n">
        <v>15</v>
      </c>
      <c r="B19" s="64" t="s">
        <v>327</v>
      </c>
      <c r="C19" s="15" t="s">
        <v>356</v>
      </c>
      <c r="D19" s="16" t="s">
        <v>357</v>
      </c>
      <c r="E19" s="17" t="s">
        <v>357</v>
      </c>
      <c r="F19" s="65" t="s">
        <v>296</v>
      </c>
      <c r="G19" s="18"/>
      <c r="H19" s="66" t="s">
        <v>358</v>
      </c>
      <c r="I19" s="67" t="s">
        <v>359</v>
      </c>
    </row>
    <row r="20" customFormat="false" ht="34.5" hidden="false" customHeight="true" outlineLevel="0" collapsed="false">
      <c r="A20" s="14" t="n">
        <v>16</v>
      </c>
      <c r="B20" s="64" t="s">
        <v>327</v>
      </c>
      <c r="C20" s="15" t="s">
        <v>360</v>
      </c>
      <c r="D20" s="16" t="s">
        <v>361</v>
      </c>
      <c r="E20" s="17" t="s">
        <v>361</v>
      </c>
      <c r="F20" s="65" t="s">
        <v>296</v>
      </c>
      <c r="G20" s="18"/>
      <c r="H20" s="66" t="s">
        <v>362</v>
      </c>
      <c r="I20" s="67" t="s">
        <v>359</v>
      </c>
    </row>
    <row r="21" customFormat="false" ht="49.5" hidden="false" customHeight="true" outlineLevel="0" collapsed="false">
      <c r="A21" s="14" t="n">
        <v>17</v>
      </c>
      <c r="B21" s="64" t="s">
        <v>363</v>
      </c>
      <c r="C21" s="15" t="s">
        <v>364</v>
      </c>
      <c r="D21" s="20" t="s">
        <v>365</v>
      </c>
      <c r="E21" s="21" t="s">
        <v>366</v>
      </c>
      <c r="F21" s="69" t="s">
        <v>341</v>
      </c>
      <c r="G21" s="22" t="s">
        <v>367</v>
      </c>
      <c r="H21" s="66" t="s">
        <v>368</v>
      </c>
      <c r="I21" s="67" t="s">
        <v>369</v>
      </c>
    </row>
    <row r="22" customFormat="false" ht="49.5" hidden="false" customHeight="true" outlineLevel="0" collapsed="false">
      <c r="A22" s="14" t="n">
        <v>18</v>
      </c>
      <c r="B22" s="64" t="s">
        <v>363</v>
      </c>
      <c r="C22" s="15" t="s">
        <v>29</v>
      </c>
      <c r="D22" s="16" t="s">
        <v>370</v>
      </c>
      <c r="E22" s="17" t="s">
        <v>371</v>
      </c>
      <c r="F22" s="68" t="s">
        <v>301</v>
      </c>
      <c r="G22" s="18" t="s">
        <v>372</v>
      </c>
      <c r="H22" s="64" t="s">
        <v>373</v>
      </c>
      <c r="I22" s="67" t="s">
        <v>374</v>
      </c>
    </row>
    <row r="23" customFormat="false" ht="49.5" hidden="false" customHeight="true" outlineLevel="0" collapsed="false">
      <c r="A23" s="14" t="n">
        <v>19</v>
      </c>
      <c r="B23" s="64" t="s">
        <v>363</v>
      </c>
      <c r="C23" s="15" t="s">
        <v>158</v>
      </c>
      <c r="D23" s="20" t="s">
        <v>375</v>
      </c>
      <c r="E23" s="21" t="s">
        <v>376</v>
      </c>
      <c r="F23" s="68" t="s">
        <v>301</v>
      </c>
      <c r="G23" s="18" t="s">
        <v>377</v>
      </c>
      <c r="H23" s="64" t="s">
        <v>378</v>
      </c>
      <c r="I23" s="67" t="s">
        <v>374</v>
      </c>
    </row>
    <row r="24" customFormat="false" ht="49.5" hidden="false" customHeight="true" outlineLevel="0" collapsed="false">
      <c r="A24" s="14" t="n">
        <v>20</v>
      </c>
      <c r="B24" s="64" t="s">
        <v>363</v>
      </c>
      <c r="C24" s="15" t="s">
        <v>379</v>
      </c>
      <c r="D24" s="20" t="s">
        <v>380</v>
      </c>
      <c r="E24" s="21" t="s">
        <v>381</v>
      </c>
      <c r="F24" s="69" t="s">
        <v>341</v>
      </c>
      <c r="G24" s="22" t="s">
        <v>382</v>
      </c>
      <c r="H24" s="64" t="s">
        <v>383</v>
      </c>
      <c r="I24" s="67" t="s">
        <v>384</v>
      </c>
    </row>
    <row r="25" customFormat="false" ht="49.5" hidden="false" customHeight="true" outlineLevel="0" collapsed="false">
      <c r="A25" s="14" t="n">
        <v>21</v>
      </c>
      <c r="B25" s="64" t="s">
        <v>363</v>
      </c>
      <c r="C25" s="23" t="s">
        <v>385</v>
      </c>
      <c r="D25" s="20" t="s">
        <v>386</v>
      </c>
      <c r="E25" s="21" t="s">
        <v>387</v>
      </c>
      <c r="F25" s="65" t="s">
        <v>296</v>
      </c>
      <c r="G25" s="22" t="s">
        <v>388</v>
      </c>
      <c r="H25" s="64" t="s">
        <v>389</v>
      </c>
      <c r="I25" s="67" t="s">
        <v>390</v>
      </c>
    </row>
    <row r="26" customFormat="false" ht="34.5" hidden="false" customHeight="true" outlineLevel="0" collapsed="false">
      <c r="A26" s="14" t="n">
        <v>22</v>
      </c>
      <c r="B26" s="64" t="s">
        <v>363</v>
      </c>
      <c r="C26" s="23" t="s">
        <v>391</v>
      </c>
      <c r="D26" s="20" t="s">
        <v>35</v>
      </c>
      <c r="E26" s="21" t="s">
        <v>36</v>
      </c>
      <c r="F26" s="68" t="s">
        <v>301</v>
      </c>
      <c r="G26" s="18" t="s">
        <v>392</v>
      </c>
      <c r="H26" s="64" t="s">
        <v>393</v>
      </c>
      <c r="I26" s="67" t="s">
        <v>394</v>
      </c>
    </row>
    <row r="27" customFormat="false" ht="34.5" hidden="false" customHeight="true" outlineLevel="0" collapsed="false">
      <c r="A27" s="14" t="n">
        <v>23</v>
      </c>
      <c r="B27" s="64" t="s">
        <v>363</v>
      </c>
      <c r="C27" s="23" t="s">
        <v>395</v>
      </c>
      <c r="D27" s="16" t="s">
        <v>396</v>
      </c>
      <c r="E27" s="17" t="s">
        <v>396</v>
      </c>
      <c r="F27" s="65" t="s">
        <v>296</v>
      </c>
      <c r="G27" s="18"/>
      <c r="H27" s="66" t="s">
        <v>397</v>
      </c>
      <c r="I27" s="67" t="s">
        <v>398</v>
      </c>
    </row>
    <row r="28" customFormat="false" ht="34.5" hidden="false" customHeight="true" outlineLevel="0" collapsed="false">
      <c r="A28" s="14" t="n">
        <v>24</v>
      </c>
      <c r="B28" s="64" t="s">
        <v>363</v>
      </c>
      <c r="C28" s="15" t="s">
        <v>399</v>
      </c>
      <c r="D28" s="16" t="s">
        <v>396</v>
      </c>
      <c r="E28" s="17" t="s">
        <v>396</v>
      </c>
      <c r="F28" s="65" t="s">
        <v>296</v>
      </c>
      <c r="G28" s="18"/>
      <c r="H28" s="66" t="s">
        <v>400</v>
      </c>
      <c r="I28" s="67" t="s">
        <v>401</v>
      </c>
    </row>
    <row r="29" customFormat="false" ht="49.5" hidden="false" customHeight="true" outlineLevel="0" collapsed="false">
      <c r="A29" s="14" t="n">
        <v>25</v>
      </c>
      <c r="B29" s="64" t="s">
        <v>402</v>
      </c>
      <c r="C29" s="15" t="s">
        <v>403</v>
      </c>
      <c r="D29" s="16" t="s">
        <v>404</v>
      </c>
      <c r="E29" s="21" t="s">
        <v>405</v>
      </c>
      <c r="F29" s="65" t="s">
        <v>296</v>
      </c>
      <c r="G29" s="22" t="s">
        <v>406</v>
      </c>
      <c r="H29" s="64" t="s">
        <v>407</v>
      </c>
      <c r="I29" s="67" t="s">
        <v>408</v>
      </c>
    </row>
    <row r="30" customFormat="false" ht="34.5" hidden="false" customHeight="true" outlineLevel="0" collapsed="false">
      <c r="A30" s="14" t="n">
        <v>26</v>
      </c>
      <c r="B30" s="64" t="s">
        <v>402</v>
      </c>
      <c r="C30" s="15" t="s">
        <v>409</v>
      </c>
      <c r="D30" s="16" t="s">
        <v>396</v>
      </c>
      <c r="E30" s="17" t="s">
        <v>410</v>
      </c>
      <c r="F30" s="69" t="s">
        <v>341</v>
      </c>
      <c r="G30" s="18"/>
      <c r="H30" s="66" t="s">
        <v>411</v>
      </c>
      <c r="I30" s="67" t="s">
        <v>412</v>
      </c>
    </row>
    <row r="31" customFormat="false" ht="79.5" hidden="false" customHeight="true" outlineLevel="0" collapsed="false">
      <c r="A31" s="14" t="n">
        <v>27</v>
      </c>
      <c r="B31" s="64" t="s">
        <v>402</v>
      </c>
      <c r="C31" s="15" t="s">
        <v>413</v>
      </c>
      <c r="D31" s="16" t="s">
        <v>396</v>
      </c>
      <c r="E31" s="21" t="s">
        <v>414</v>
      </c>
      <c r="F31" s="68" t="s">
        <v>301</v>
      </c>
      <c r="G31" s="18" t="s">
        <v>415</v>
      </c>
      <c r="H31" s="64" t="s">
        <v>416</v>
      </c>
      <c r="I31" s="67" t="s">
        <v>412</v>
      </c>
    </row>
    <row r="32" customFormat="false" ht="34.5" hidden="false" customHeight="true" outlineLevel="0" collapsed="false">
      <c r="A32" s="14" t="n">
        <v>28</v>
      </c>
      <c r="B32" s="64" t="s">
        <v>402</v>
      </c>
      <c r="C32" s="15" t="s">
        <v>417</v>
      </c>
      <c r="D32" s="16" t="s">
        <v>396</v>
      </c>
      <c r="E32" s="17" t="s">
        <v>418</v>
      </c>
      <c r="F32" s="65" t="s">
        <v>296</v>
      </c>
      <c r="G32" s="18"/>
      <c r="H32" s="66" t="s">
        <v>411</v>
      </c>
      <c r="I32" s="67" t="s">
        <v>412</v>
      </c>
    </row>
    <row r="33" customFormat="false" ht="34.5" hidden="false" customHeight="true" outlineLevel="0" collapsed="false">
      <c r="A33" s="14" t="n">
        <v>29</v>
      </c>
      <c r="B33" s="64" t="s">
        <v>419</v>
      </c>
      <c r="C33" s="15" t="s">
        <v>420</v>
      </c>
      <c r="D33" s="16" t="s">
        <v>421</v>
      </c>
      <c r="E33" s="17" t="s">
        <v>421</v>
      </c>
      <c r="F33" s="65" t="s">
        <v>296</v>
      </c>
      <c r="G33" s="18"/>
      <c r="H33" s="64" t="s">
        <v>422</v>
      </c>
      <c r="I33" s="67" t="s">
        <v>423</v>
      </c>
    </row>
    <row r="34" customFormat="false" ht="49.5" hidden="false" customHeight="true" outlineLevel="0" collapsed="false">
      <c r="A34" s="14" t="n">
        <v>30</v>
      </c>
      <c r="B34" s="64" t="s">
        <v>419</v>
      </c>
      <c r="C34" s="15" t="s">
        <v>424</v>
      </c>
      <c r="D34" s="16" t="s">
        <v>425</v>
      </c>
      <c r="E34" s="17" t="s">
        <v>426</v>
      </c>
      <c r="F34" s="68" t="s">
        <v>301</v>
      </c>
      <c r="G34" s="18" t="s">
        <v>427</v>
      </c>
      <c r="H34" s="66" t="s">
        <v>428</v>
      </c>
      <c r="I34" s="67" t="s">
        <v>429</v>
      </c>
    </row>
    <row r="35" customFormat="false" ht="64.5" hidden="false" customHeight="true" outlineLevel="0" collapsed="false">
      <c r="A35" s="14" t="n">
        <v>31</v>
      </c>
      <c r="B35" s="64" t="s">
        <v>419</v>
      </c>
      <c r="C35" s="15" t="s">
        <v>430</v>
      </c>
      <c r="D35" s="20" t="s">
        <v>431</v>
      </c>
      <c r="E35" s="17" t="s">
        <v>432</v>
      </c>
      <c r="F35" s="69" t="s">
        <v>341</v>
      </c>
      <c r="G35" s="18"/>
      <c r="H35" s="66" t="s">
        <v>433</v>
      </c>
      <c r="I35" s="67" t="s">
        <v>434</v>
      </c>
    </row>
    <row r="36" customFormat="false" ht="64.5" hidden="false" customHeight="true" outlineLevel="0" collapsed="false">
      <c r="A36" s="14" t="n">
        <v>32</v>
      </c>
      <c r="B36" s="64" t="s">
        <v>419</v>
      </c>
      <c r="C36" s="15" t="s">
        <v>435</v>
      </c>
      <c r="D36" s="16" t="s">
        <v>436</v>
      </c>
      <c r="E36" s="17" t="s">
        <v>437</v>
      </c>
      <c r="F36" s="69" t="s">
        <v>341</v>
      </c>
      <c r="G36" s="18" t="s">
        <v>438</v>
      </c>
      <c r="H36" s="66" t="s">
        <v>428</v>
      </c>
      <c r="I36" s="67" t="s">
        <v>429</v>
      </c>
    </row>
    <row r="37" customFormat="false" ht="34.5" hidden="false" customHeight="true" outlineLevel="0" collapsed="false">
      <c r="A37" s="14" t="n">
        <v>33</v>
      </c>
      <c r="B37" s="64" t="s">
        <v>419</v>
      </c>
      <c r="C37" s="15" t="s">
        <v>439</v>
      </c>
      <c r="D37" s="20" t="s">
        <v>440</v>
      </c>
      <c r="E37" s="17" t="s">
        <v>51</v>
      </c>
      <c r="F37" s="69" t="s">
        <v>341</v>
      </c>
      <c r="G37" s="18"/>
      <c r="H37" s="66" t="s">
        <v>441</v>
      </c>
      <c r="I37" s="67" t="s">
        <v>442</v>
      </c>
    </row>
    <row r="38" customFormat="false" ht="64.5" hidden="false" customHeight="true" outlineLevel="0" collapsed="false">
      <c r="A38" s="14" t="n">
        <v>34</v>
      </c>
      <c r="B38" s="64" t="s">
        <v>419</v>
      </c>
      <c r="C38" s="15" t="s">
        <v>443</v>
      </c>
      <c r="D38" s="16" t="s">
        <v>444</v>
      </c>
      <c r="E38" s="17" t="s">
        <v>51</v>
      </c>
      <c r="F38" s="68" t="s">
        <v>301</v>
      </c>
      <c r="G38" s="18" t="s">
        <v>445</v>
      </c>
      <c r="H38" s="64" t="s">
        <v>446</v>
      </c>
      <c r="I38" s="67" t="s">
        <v>447</v>
      </c>
    </row>
    <row r="39" customFormat="false" ht="49.5" hidden="false" customHeight="true" outlineLevel="0" collapsed="false">
      <c r="A39" s="14" t="n">
        <v>35</v>
      </c>
      <c r="B39" s="64" t="s">
        <v>54</v>
      </c>
      <c r="C39" s="15" t="s">
        <v>448</v>
      </c>
      <c r="D39" s="16" t="s">
        <v>449</v>
      </c>
      <c r="E39" s="17" t="s">
        <v>450</v>
      </c>
      <c r="F39" s="68" t="s">
        <v>301</v>
      </c>
      <c r="G39" s="18" t="s">
        <v>451</v>
      </c>
      <c r="H39" s="66" t="s">
        <v>452</v>
      </c>
      <c r="I39" s="67" t="s">
        <v>453</v>
      </c>
    </row>
    <row r="40" customFormat="false" ht="79.5" hidden="false" customHeight="true" outlineLevel="0" collapsed="false">
      <c r="A40" s="14" t="n">
        <v>36</v>
      </c>
      <c r="B40" s="64" t="s">
        <v>54</v>
      </c>
      <c r="C40" s="15" t="s">
        <v>454</v>
      </c>
      <c r="D40" s="16" t="s">
        <v>455</v>
      </c>
      <c r="E40" s="21" t="s">
        <v>456</v>
      </c>
      <c r="F40" s="68" t="s">
        <v>301</v>
      </c>
      <c r="G40" s="18"/>
      <c r="H40" s="66" t="s">
        <v>457</v>
      </c>
      <c r="I40" s="67" t="s">
        <v>458</v>
      </c>
    </row>
    <row r="41" customFormat="false" ht="49.5" hidden="false" customHeight="true" outlineLevel="0" collapsed="false">
      <c r="A41" s="14" t="n">
        <v>37</v>
      </c>
      <c r="B41" s="64" t="s">
        <v>54</v>
      </c>
      <c r="C41" s="15" t="s">
        <v>459</v>
      </c>
      <c r="D41" s="16" t="s">
        <v>460</v>
      </c>
      <c r="E41" s="17" t="s">
        <v>461</v>
      </c>
      <c r="F41" s="68" t="s">
        <v>301</v>
      </c>
      <c r="G41" s="18"/>
      <c r="H41" s="64" t="s">
        <v>462</v>
      </c>
      <c r="I41" s="67" t="s">
        <v>463</v>
      </c>
    </row>
    <row r="42" customFormat="false" ht="64.5" hidden="false" customHeight="true" outlineLevel="0" collapsed="false">
      <c r="A42" s="14" t="n">
        <v>38</v>
      </c>
      <c r="B42" s="64" t="s">
        <v>54</v>
      </c>
      <c r="C42" s="15" t="s">
        <v>464</v>
      </c>
      <c r="D42" s="20" t="s">
        <v>465</v>
      </c>
      <c r="E42" s="21" t="s">
        <v>466</v>
      </c>
      <c r="F42" s="68" t="s">
        <v>301</v>
      </c>
      <c r="G42" s="18"/>
      <c r="H42" s="64" t="s">
        <v>467</v>
      </c>
      <c r="I42" s="67" t="s">
        <v>468</v>
      </c>
    </row>
    <row r="43" customFormat="false" ht="49.5" hidden="false" customHeight="true" outlineLevel="0" collapsed="false">
      <c r="A43" s="14" t="n">
        <v>39</v>
      </c>
      <c r="B43" s="64" t="s">
        <v>54</v>
      </c>
      <c r="C43" s="15" t="s">
        <v>469</v>
      </c>
      <c r="D43" s="16" t="s">
        <v>470</v>
      </c>
      <c r="E43" s="17" t="s">
        <v>471</v>
      </c>
      <c r="F43" s="68" t="s">
        <v>301</v>
      </c>
      <c r="G43" s="18"/>
      <c r="H43" s="64" t="s">
        <v>472</v>
      </c>
      <c r="I43" s="67" t="s">
        <v>473</v>
      </c>
    </row>
    <row r="44" customFormat="false" ht="124.5" hidden="false" customHeight="true" outlineLevel="0" collapsed="false">
      <c r="A44" s="14" t="n">
        <v>40</v>
      </c>
      <c r="B44" s="64" t="s">
        <v>54</v>
      </c>
      <c r="C44" s="15" t="s">
        <v>474</v>
      </c>
      <c r="D44" s="16" t="s">
        <v>475</v>
      </c>
      <c r="E44" s="21" t="s">
        <v>476</v>
      </c>
      <c r="F44" s="68" t="s">
        <v>301</v>
      </c>
      <c r="G44" s="18" t="s">
        <v>477</v>
      </c>
      <c r="H44" s="64" t="s">
        <v>478</v>
      </c>
      <c r="I44" s="67" t="s">
        <v>479</v>
      </c>
    </row>
    <row r="45" customFormat="false" ht="49.5" hidden="false" customHeight="true" outlineLevel="0" collapsed="false">
      <c r="A45" s="14" t="n">
        <v>41</v>
      </c>
      <c r="B45" s="64" t="s">
        <v>480</v>
      </c>
      <c r="C45" s="15" t="s">
        <v>481</v>
      </c>
      <c r="D45" s="16" t="s">
        <v>482</v>
      </c>
      <c r="E45" s="17" t="s">
        <v>482</v>
      </c>
      <c r="F45" s="65" t="s">
        <v>296</v>
      </c>
      <c r="G45" s="18"/>
      <c r="H45" s="66" t="s">
        <v>483</v>
      </c>
      <c r="I45" s="19" t="s">
        <v>484</v>
      </c>
    </row>
    <row r="46" customFormat="false" ht="34.5" hidden="false" customHeight="true" outlineLevel="0" collapsed="false">
      <c r="A46" s="14" t="n">
        <v>42</v>
      </c>
      <c r="B46" s="64" t="s">
        <v>480</v>
      </c>
      <c r="C46" s="15" t="s">
        <v>485</v>
      </c>
      <c r="D46" s="16" t="s">
        <v>486</v>
      </c>
      <c r="E46" s="17" t="s">
        <v>486</v>
      </c>
      <c r="F46" s="65" t="s">
        <v>296</v>
      </c>
      <c r="G46" s="18"/>
      <c r="H46" s="66" t="s">
        <v>487</v>
      </c>
      <c r="I46" s="19" t="s">
        <v>488</v>
      </c>
    </row>
    <row r="47" customFormat="false" ht="34.5" hidden="false" customHeight="true" outlineLevel="0" collapsed="false">
      <c r="A47" s="14" t="n">
        <v>43</v>
      </c>
      <c r="B47" s="64" t="s">
        <v>480</v>
      </c>
      <c r="C47" s="15" t="s">
        <v>489</v>
      </c>
      <c r="D47" s="16" t="s">
        <v>490</v>
      </c>
      <c r="E47" s="17" t="s">
        <v>490</v>
      </c>
      <c r="F47" s="65" t="s">
        <v>296</v>
      </c>
      <c r="G47" s="18"/>
      <c r="H47" s="64" t="s">
        <v>491</v>
      </c>
      <c r="I47" s="19" t="s">
        <v>492</v>
      </c>
    </row>
    <row r="48" customFormat="false" ht="79.5" hidden="false" customHeight="true" outlineLevel="0" collapsed="false">
      <c r="A48" s="14" t="n">
        <v>44</v>
      </c>
      <c r="B48" s="64" t="s">
        <v>480</v>
      </c>
      <c r="C48" s="15" t="s">
        <v>493</v>
      </c>
      <c r="D48" s="16" t="s">
        <v>494</v>
      </c>
      <c r="E48" s="17" t="s">
        <v>495</v>
      </c>
      <c r="F48" s="68" t="s">
        <v>301</v>
      </c>
      <c r="G48" s="22" t="s">
        <v>496</v>
      </c>
      <c r="H48" s="64" t="s">
        <v>497</v>
      </c>
      <c r="I48" s="67" t="s">
        <v>498</v>
      </c>
    </row>
    <row r="49" customFormat="false" ht="79.5" hidden="false" customHeight="true" outlineLevel="0" collapsed="false">
      <c r="A49" s="14" t="n">
        <v>45</v>
      </c>
      <c r="B49" s="64" t="s">
        <v>480</v>
      </c>
      <c r="C49" s="15" t="s">
        <v>499</v>
      </c>
      <c r="D49" s="16" t="s">
        <v>500</v>
      </c>
      <c r="E49" s="21" t="s">
        <v>501</v>
      </c>
      <c r="F49" s="68" t="s">
        <v>301</v>
      </c>
      <c r="G49" s="18" t="s">
        <v>502</v>
      </c>
      <c r="H49" s="64" t="s">
        <v>503</v>
      </c>
      <c r="I49" s="67" t="s">
        <v>504</v>
      </c>
    </row>
    <row r="50" customFormat="false" ht="49.5" hidden="false" customHeight="true" outlineLevel="0" collapsed="false">
      <c r="A50" s="14" t="n">
        <v>46</v>
      </c>
      <c r="B50" s="64" t="s">
        <v>480</v>
      </c>
      <c r="C50" s="15" t="s">
        <v>505</v>
      </c>
      <c r="D50" s="16" t="s">
        <v>317</v>
      </c>
      <c r="E50" s="17" t="s">
        <v>317</v>
      </c>
      <c r="F50" s="65" t="s">
        <v>296</v>
      </c>
      <c r="G50" s="18"/>
      <c r="H50" s="66" t="s">
        <v>506</v>
      </c>
      <c r="I50" s="67" t="s">
        <v>507</v>
      </c>
    </row>
    <row r="52" customFormat="false" ht="15" hidden="false" customHeight="false" outlineLevel="0" collapsed="false">
      <c r="A52" s="32" t="s">
        <v>508</v>
      </c>
    </row>
    <row r="53" customFormat="false" ht="15" hidden="false" customHeight="false" outlineLevel="0" collapsed="false">
      <c r="C53" s="70" t="s">
        <v>301</v>
      </c>
      <c r="D53" s="71" t="str">
        <f aca="false">COUNTIF($F$5:$F$50,C53)&amp;" 項目"</f>
        <v>20 項目</v>
      </c>
    </row>
    <row r="54" customFormat="false" ht="15" hidden="false" customHeight="false" outlineLevel="0" collapsed="false">
      <c r="C54" s="72" t="s">
        <v>341</v>
      </c>
      <c r="D54" s="71" t="str">
        <f aca="false">COUNTIF($F$5:$F$50,C54)&amp;" 項目"</f>
        <v>7 項目</v>
      </c>
    </row>
    <row r="55" customFormat="false" ht="15" hidden="false" customHeight="false" outlineLevel="0" collapsed="false">
      <c r="C55" s="73" t="s">
        <v>296</v>
      </c>
      <c r="D55" s="71" t="str">
        <f aca="false">COUNTIF($F$5:$F$50,C55)&amp;" 項目"</f>
        <v>19 項目</v>
      </c>
    </row>
    <row r="57" customFormat="false" ht="30" hidden="false" customHeight="true" outlineLevel="0" collapsed="false">
      <c r="A57" s="35" t="s">
        <v>509</v>
      </c>
      <c r="B57" s="35"/>
      <c r="C57" s="35"/>
      <c r="D57" s="35"/>
      <c r="E57" s="35"/>
      <c r="F57" s="35"/>
      <c r="G57" s="35"/>
      <c r="H57" s="35"/>
      <c r="I57" s="35"/>
    </row>
  </sheetData>
  <autoFilter ref="A4:I50"/>
  <mergeCells count="2">
    <mergeCell ref="A3:I3"/>
    <mergeCell ref="A57:I57"/>
  </mergeCells>
  <printOptions headings="false" gridLines="false" gridLinesSet="true" horizontalCentered="tru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B2: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7"/>
    <col collapsed="false" customWidth="true" hidden="false" outlineLevel="0" max="9" min="9" style="0" width="50"/>
  </cols>
  <sheetData>
    <row r="2" customFormat="false" ht="20.85" hidden="false" customHeight="false" outlineLevel="0" collapsed="false">
      <c r="B2" s="36" t="s">
        <v>510</v>
      </c>
    </row>
    <row r="3" customFormat="false" ht="15" hidden="false" customHeight="false" outlineLevel="0" collapsed="false">
      <c r="B3" s="2" t="s">
        <v>511</v>
      </c>
    </row>
    <row r="4" customFormat="false" ht="15" hidden="false" customHeight="false" outlineLevel="0" collapsed="false">
      <c r="B4" s="74" t="s">
        <v>512</v>
      </c>
    </row>
    <row r="6" customFormat="false" ht="21.75" hidden="false" customHeight="true" outlineLevel="0" collapsed="false">
      <c r="B6" s="3" t="s">
        <v>513</v>
      </c>
      <c r="C6" s="4"/>
      <c r="D6" s="4"/>
      <c r="E6" s="4"/>
      <c r="F6" s="4"/>
      <c r="G6" s="4"/>
      <c r="H6" s="4"/>
      <c r="I6" s="4"/>
    </row>
    <row r="7" customFormat="false" ht="19.5" hidden="false" customHeight="true" outlineLevel="0" collapsed="false">
      <c r="B7" s="75" t="s">
        <v>514</v>
      </c>
      <c r="C7" s="76" t="n">
        <v>24</v>
      </c>
      <c r="D7" s="77" t="s">
        <v>515</v>
      </c>
      <c r="E7" s="2" t="s">
        <v>516</v>
      </c>
    </row>
    <row r="8" customFormat="false" ht="19.5" hidden="false" customHeight="true" outlineLevel="0" collapsed="false">
      <c r="B8" s="75" t="s">
        <v>517</v>
      </c>
      <c r="C8" s="76" t="n">
        <v>235</v>
      </c>
      <c r="D8" s="77" t="s">
        <v>515</v>
      </c>
      <c r="E8" s="2" t="s">
        <v>518</v>
      </c>
    </row>
    <row r="10" customFormat="false" ht="21.75" hidden="false" customHeight="true" outlineLevel="0" collapsed="false">
      <c r="B10" s="3" t="s">
        <v>519</v>
      </c>
      <c r="C10" s="4"/>
      <c r="D10" s="4"/>
      <c r="E10" s="4"/>
      <c r="F10" s="4"/>
      <c r="G10" s="4"/>
      <c r="H10" s="4"/>
      <c r="I10" s="4"/>
    </row>
    <row r="11" customFormat="false" ht="31.5" hidden="false" customHeight="true" outlineLevel="0" collapsed="false">
      <c r="B11" s="10" t="s">
        <v>9</v>
      </c>
      <c r="C11" s="11" t="s">
        <v>10</v>
      </c>
      <c r="D11" s="12" t="s">
        <v>520</v>
      </c>
      <c r="E11" s="12" t="s">
        <v>521</v>
      </c>
      <c r="F11" s="10" t="s">
        <v>522</v>
      </c>
      <c r="G11" s="10"/>
      <c r="H11" s="10"/>
      <c r="I11" s="10"/>
    </row>
    <row r="12" customFormat="false" ht="19.5" hidden="false" customHeight="true" outlineLevel="0" collapsed="false">
      <c r="B12" s="24" t="s">
        <v>523</v>
      </c>
      <c r="C12" s="78" t="n">
        <f aca="false">$C$7/4</f>
        <v>6</v>
      </c>
      <c r="D12" s="79" t="n">
        <f aca="false">$C$7/4</f>
        <v>6</v>
      </c>
      <c r="E12" s="79" t="n">
        <f aca="false">$C$7/4.5</f>
        <v>5.33333333333333</v>
      </c>
      <c r="F12" s="80" t="s">
        <v>524</v>
      </c>
      <c r="G12" s="80"/>
      <c r="H12" s="80"/>
      <c r="I12" s="80"/>
    </row>
    <row r="13" customFormat="false" ht="19.5" hidden="false" customHeight="true" outlineLevel="0" collapsed="false">
      <c r="B13" s="24" t="s">
        <v>525</v>
      </c>
      <c r="C13" s="78" t="n">
        <f aca="false">2*C12</f>
        <v>12</v>
      </c>
      <c r="D13" s="79" t="n">
        <f aca="false">2*D12</f>
        <v>12</v>
      </c>
      <c r="E13" s="79" t="n">
        <f aca="false">2*E12</f>
        <v>10.6666666666667</v>
      </c>
      <c r="F13" s="81" t="s">
        <v>526</v>
      </c>
      <c r="G13" s="81"/>
      <c r="H13" s="81"/>
      <c r="I13" s="81"/>
    </row>
    <row r="14" customFormat="false" ht="19.5" hidden="false" customHeight="true" outlineLevel="0" collapsed="false">
      <c r="B14" s="24" t="s">
        <v>527</v>
      </c>
      <c r="C14" s="82" t="s">
        <v>528</v>
      </c>
      <c r="D14" s="79" t="n">
        <f aca="false">MIN($C$7/40,3/4*(0.49+$C$7/100))</f>
        <v>0.5475</v>
      </c>
      <c r="E14" s="79" t="n">
        <f aca="false">MIN($C$7/45,3/4*(0.49+$C$7/100))</f>
        <v>0.533333333333333</v>
      </c>
      <c r="F14" s="80" t="s">
        <v>529</v>
      </c>
      <c r="G14" s="80"/>
      <c r="H14" s="80"/>
      <c r="I14" s="80"/>
    </row>
    <row r="15" customFormat="false" ht="19.5" hidden="false" customHeight="true" outlineLevel="0" collapsed="false">
      <c r="B15" s="24" t="s">
        <v>530</v>
      </c>
      <c r="C15" s="82" t="s">
        <v>528</v>
      </c>
      <c r="D15" s="79" t="n">
        <f aca="false">1.5*D14</f>
        <v>0.82125</v>
      </c>
      <c r="E15" s="79" t="n">
        <f aca="false">1.5*E14</f>
        <v>0.8</v>
      </c>
      <c r="F15" s="80" t="s">
        <v>531</v>
      </c>
      <c r="G15" s="80"/>
      <c r="H15" s="80"/>
      <c r="I15" s="80"/>
    </row>
    <row r="16" customFormat="false" ht="19.5" hidden="false" customHeight="true" outlineLevel="0" collapsed="false">
      <c r="B16" s="83" t="s">
        <v>532</v>
      </c>
      <c r="C16" s="84" t="n">
        <f aca="false">C12/C12</f>
        <v>1</v>
      </c>
      <c r="D16" s="85" t="n">
        <f aca="false">D12/C12</f>
        <v>1</v>
      </c>
      <c r="E16" s="85" t="n">
        <f aca="false">E12/C12</f>
        <v>0.888888888888889</v>
      </c>
      <c r="F16" s="80" t="s">
        <v>533</v>
      </c>
      <c r="G16" s="80"/>
      <c r="H16" s="80"/>
      <c r="I16" s="80"/>
    </row>
    <row r="17" customFormat="false" ht="30" hidden="false" customHeight="true" outlineLevel="0" collapsed="false">
      <c r="B17" s="83" t="s">
        <v>534</v>
      </c>
      <c r="C17" s="86" t="str">
        <f aca="false">IF(AND($C$7&gt;=18,$C$7&lt;=45),"範囲内（18〜45）","範囲外：SS7は計算を続けるので要確認")</f>
        <v>範囲内（18〜45）</v>
      </c>
      <c r="D17" s="87" t="str">
        <f aca="false">IF(AND($C$7&gt;=18,$C$7&lt;=36),"範囲内（18〜36）","範囲外：SS7がメッセージを出力")</f>
        <v>範囲内（18〜36）</v>
      </c>
      <c r="E17" s="87" t="str">
        <f aca="false">IF(AND($C$7&gt;=18,$C$7&lt;=36),"範囲内（18〜36）","範囲外：SS7がメッセージを出力")</f>
        <v>範囲内（18〜36）</v>
      </c>
      <c r="F17" s="80" t="s">
        <v>303</v>
      </c>
      <c r="G17" s="80"/>
      <c r="H17" s="80"/>
      <c r="I17" s="80"/>
    </row>
    <row r="19" customFormat="false" ht="21.75" hidden="false" customHeight="true" outlineLevel="0" collapsed="false">
      <c r="B19" s="3" t="s">
        <v>535</v>
      </c>
      <c r="C19" s="4"/>
      <c r="D19" s="4"/>
      <c r="E19" s="4"/>
      <c r="F19" s="4"/>
      <c r="G19" s="4"/>
      <c r="H19" s="4"/>
      <c r="I19" s="4"/>
    </row>
    <row r="20" customFormat="false" ht="21.75" hidden="false" customHeight="true" outlineLevel="0" collapsed="false">
      <c r="B20" s="10" t="s">
        <v>9</v>
      </c>
      <c r="C20" s="10" t="s">
        <v>536</v>
      </c>
      <c r="D20" s="10" t="s">
        <v>537</v>
      </c>
      <c r="E20" s="10" t="s">
        <v>522</v>
      </c>
      <c r="F20" s="10"/>
      <c r="G20" s="10"/>
      <c r="H20" s="10"/>
      <c r="I20" s="10"/>
    </row>
    <row r="21" customFormat="false" ht="19.5" hidden="false" customHeight="true" outlineLevel="0" collapsed="false">
      <c r="B21" s="24" t="s">
        <v>538</v>
      </c>
      <c r="C21" s="88" t="n">
        <f aca="false">$C$8/1.5</f>
        <v>156.666666666667</v>
      </c>
      <c r="D21" s="88" t="n">
        <f aca="false">1.5*C21</f>
        <v>235</v>
      </c>
      <c r="E21" s="89" t="s">
        <v>539</v>
      </c>
      <c r="F21" s="89"/>
      <c r="G21" s="89"/>
      <c r="H21" s="89"/>
      <c r="I21" s="89"/>
    </row>
    <row r="22" customFormat="false" ht="19.5" hidden="false" customHeight="true" outlineLevel="0" collapsed="false">
      <c r="B22" s="24" t="s">
        <v>540</v>
      </c>
      <c r="C22" s="88" t="n">
        <f aca="false">$C$8/(1.5*SQRT(3))</f>
        <v>90.4515421730414</v>
      </c>
      <c r="D22" s="88" t="n">
        <f aca="false">1.5*C22</f>
        <v>135.677313259562</v>
      </c>
      <c r="E22" s="89" t="s">
        <v>541</v>
      </c>
      <c r="F22" s="89"/>
      <c r="G22" s="89"/>
      <c r="H22" s="89"/>
      <c r="I22" s="89"/>
    </row>
    <row r="24" customFormat="false" ht="21.75" hidden="false" customHeight="true" outlineLevel="0" collapsed="false">
      <c r="B24" s="90" t="s">
        <v>542</v>
      </c>
      <c r="C24" s="4"/>
      <c r="D24" s="4"/>
      <c r="E24" s="4"/>
      <c r="F24" s="4"/>
      <c r="G24" s="4"/>
      <c r="H24" s="4"/>
      <c r="I24" s="4"/>
    </row>
    <row r="25" customFormat="false" ht="36" hidden="false" customHeight="true" outlineLevel="0" collapsed="false">
      <c r="B25" s="9" t="s">
        <v>543</v>
      </c>
      <c r="C25" s="11" t="s">
        <v>544</v>
      </c>
      <c r="D25" s="12" t="s">
        <v>545</v>
      </c>
      <c r="E25" s="12" t="s">
        <v>546</v>
      </c>
      <c r="F25" s="10" t="s">
        <v>547</v>
      </c>
      <c r="G25" s="12" t="s">
        <v>548</v>
      </c>
      <c r="H25" s="12" t="s">
        <v>549</v>
      </c>
      <c r="I25" s="9" t="s">
        <v>550</v>
      </c>
    </row>
    <row r="26" customFormat="false" ht="18.75" hidden="false" customHeight="true" outlineLevel="0" collapsed="false">
      <c r="B26" s="91" t="n">
        <v>18</v>
      </c>
      <c r="C26" s="92" t="n">
        <f aca="false">B26/4</f>
        <v>4.5</v>
      </c>
      <c r="D26" s="93" t="n">
        <f aca="false">IF(B26&gt;36,"範囲外",B26/4)</f>
        <v>4.5</v>
      </c>
      <c r="E26" s="93" t="n">
        <f aca="false">IF(B26&gt;36,"範囲外",B26/4.5)</f>
        <v>4</v>
      </c>
      <c r="F26" s="94" t="n">
        <f aca="false">IF(B26&gt;36,"—",C26-E26)</f>
        <v>0.5</v>
      </c>
      <c r="G26" s="93" t="n">
        <f aca="false">IF(B26&gt;36,"範囲外",MIN(B26/40,3/4*(0.49+B26/100)))</f>
        <v>0.45</v>
      </c>
      <c r="H26" s="93" t="n">
        <f aca="false">IF(B26&gt;36,"範囲外",MIN(B26/45,3/4*(0.49+B26/100)))</f>
        <v>0.4</v>
      </c>
      <c r="I26" s="95" t="str">
        <f aca="false">IF(B26&gt;36,"SB協会の範囲外（Fc＞36）","空掘り："&amp;IF(B26/40&lt;=3/4*(0.49+B26/100),"Fc/40","3/4(0.49＋Fc/100)")&amp;"　／　泥水中："&amp;IF(B26/45&lt;=3/4*(0.49+B26/100),"Fc/45","3/4(0.49＋Fc/100)"))</f>
        <v>空掘り：Fc/40　／　泥水中：Fc/45</v>
      </c>
    </row>
    <row r="27" customFormat="false" ht="18.75" hidden="false" customHeight="true" outlineLevel="0" collapsed="false">
      <c r="B27" s="91" t="n">
        <v>21</v>
      </c>
      <c r="C27" s="92" t="n">
        <f aca="false">B27/4</f>
        <v>5.25</v>
      </c>
      <c r="D27" s="93" t="n">
        <f aca="false">IF(B27&gt;36,"範囲外",B27/4)</f>
        <v>5.25</v>
      </c>
      <c r="E27" s="93" t="n">
        <f aca="false">IF(B27&gt;36,"範囲外",B27/4.5)</f>
        <v>4.66666666666667</v>
      </c>
      <c r="F27" s="94" t="n">
        <f aca="false">IF(B27&gt;36,"—",C27-E27)</f>
        <v>0.583333333333333</v>
      </c>
      <c r="G27" s="93" t="n">
        <f aca="false">IF(B27&gt;36,"範囲外",MIN(B27/40,3/4*(0.49+B27/100)))</f>
        <v>0.525</v>
      </c>
      <c r="H27" s="93" t="n">
        <f aca="false">IF(B27&gt;36,"範囲外",MIN(B27/45,3/4*(0.49+B27/100)))</f>
        <v>0.466666666666667</v>
      </c>
      <c r="I27" s="95" t="str">
        <f aca="false">IF(B27&gt;36,"SB協会の範囲外（Fc＞36）","空掘り："&amp;IF(B27/40&lt;=3/4*(0.49+B27/100),"Fc/40","3/4(0.49＋Fc/100)")&amp;"　／　泥水中："&amp;IF(B27/45&lt;=3/4*(0.49+B27/100),"Fc/45","3/4(0.49＋Fc/100)"))</f>
        <v>空掘り：Fc/40　／　泥水中：Fc/45</v>
      </c>
    </row>
    <row r="28" customFormat="false" ht="18.75" hidden="false" customHeight="true" outlineLevel="0" collapsed="false">
      <c r="B28" s="91" t="n">
        <v>24</v>
      </c>
      <c r="C28" s="92" t="n">
        <f aca="false">B28/4</f>
        <v>6</v>
      </c>
      <c r="D28" s="93" t="n">
        <f aca="false">IF(B28&gt;36,"範囲外",B28/4)</f>
        <v>6</v>
      </c>
      <c r="E28" s="93" t="n">
        <f aca="false">IF(B28&gt;36,"範囲外",B28/4.5)</f>
        <v>5.33333333333333</v>
      </c>
      <c r="F28" s="94" t="n">
        <f aca="false">IF(B28&gt;36,"—",C28-E28)</f>
        <v>0.666666666666667</v>
      </c>
      <c r="G28" s="93" t="n">
        <f aca="false">IF(B28&gt;36,"範囲外",MIN(B28/40,3/4*(0.49+B28/100)))</f>
        <v>0.5475</v>
      </c>
      <c r="H28" s="93" t="n">
        <f aca="false">IF(B28&gt;36,"範囲外",MIN(B28/45,3/4*(0.49+B28/100)))</f>
        <v>0.533333333333333</v>
      </c>
      <c r="I28" s="95" t="str">
        <f aca="false">IF(B28&gt;36,"SB協会の範囲外（Fc＞36）","空掘り："&amp;IF(B28/40&lt;=3/4*(0.49+B28/100),"Fc/40","3/4(0.49＋Fc/100)")&amp;"　／　泥水中："&amp;IF(B28/45&lt;=3/4*(0.49+B28/100),"Fc/45","3/4(0.49＋Fc/100)"))</f>
        <v>空掘り：3/4(0.49＋Fc/100)　／　泥水中：Fc/45</v>
      </c>
    </row>
    <row r="29" customFormat="false" ht="18.75" hidden="false" customHeight="true" outlineLevel="0" collapsed="false">
      <c r="B29" s="91" t="n">
        <v>27</v>
      </c>
      <c r="C29" s="92" t="n">
        <f aca="false">B29/4</f>
        <v>6.75</v>
      </c>
      <c r="D29" s="93" t="n">
        <f aca="false">IF(B29&gt;36,"範囲外",B29/4)</f>
        <v>6.75</v>
      </c>
      <c r="E29" s="93" t="n">
        <f aca="false">IF(B29&gt;36,"範囲外",B29/4.5)</f>
        <v>6</v>
      </c>
      <c r="F29" s="94" t="n">
        <f aca="false">IF(B29&gt;36,"—",C29-E29)</f>
        <v>0.75</v>
      </c>
      <c r="G29" s="93" t="n">
        <f aca="false">IF(B29&gt;36,"範囲外",MIN(B29/40,3/4*(0.49+B29/100)))</f>
        <v>0.57</v>
      </c>
      <c r="H29" s="93" t="n">
        <f aca="false">IF(B29&gt;36,"範囲外",MIN(B29/45,3/4*(0.49+B29/100)))</f>
        <v>0.57</v>
      </c>
      <c r="I29" s="95" t="str">
        <f aca="false">IF(B29&gt;36,"SB協会の範囲外（Fc＞36）","空掘り："&amp;IF(B29/40&lt;=3/4*(0.49+B29/100),"Fc/40","3/4(0.49＋Fc/100)")&amp;"　／　泥水中："&amp;IF(B29/45&lt;=3/4*(0.49+B29/100),"Fc/45","3/4(0.49＋Fc/100)"))</f>
        <v>空掘り：3/4(0.49＋Fc/100)　／　泥水中：3/4(0.49＋Fc/100)</v>
      </c>
    </row>
    <row r="30" customFormat="false" ht="18.75" hidden="false" customHeight="true" outlineLevel="0" collapsed="false">
      <c r="B30" s="91" t="n">
        <v>30</v>
      </c>
      <c r="C30" s="92" t="n">
        <f aca="false">B30/4</f>
        <v>7.5</v>
      </c>
      <c r="D30" s="93" t="n">
        <f aca="false">IF(B30&gt;36,"範囲外",B30/4)</f>
        <v>7.5</v>
      </c>
      <c r="E30" s="93" t="n">
        <f aca="false">IF(B30&gt;36,"範囲外",B30/4.5)</f>
        <v>6.66666666666667</v>
      </c>
      <c r="F30" s="94" t="n">
        <f aca="false">IF(B30&gt;36,"—",C30-E30)</f>
        <v>0.833333333333333</v>
      </c>
      <c r="G30" s="93" t="n">
        <f aca="false">IF(B30&gt;36,"範囲外",MIN(B30/40,3/4*(0.49+B30/100)))</f>
        <v>0.5925</v>
      </c>
      <c r="H30" s="93" t="n">
        <f aca="false">IF(B30&gt;36,"範囲外",MIN(B30/45,3/4*(0.49+B30/100)))</f>
        <v>0.5925</v>
      </c>
      <c r="I30" s="95" t="str">
        <f aca="false">IF(B30&gt;36,"SB協会の範囲外（Fc＞36）","空掘り："&amp;IF(B30/40&lt;=3/4*(0.49+B30/100),"Fc/40","3/4(0.49＋Fc/100)")&amp;"　／　泥水中："&amp;IF(B30/45&lt;=3/4*(0.49+B30/100),"Fc/45","3/4(0.49＋Fc/100)"))</f>
        <v>空掘り：3/4(0.49＋Fc/100)　／　泥水中：3/4(0.49＋Fc/100)</v>
      </c>
    </row>
    <row r="31" customFormat="false" ht="18.75" hidden="false" customHeight="true" outlineLevel="0" collapsed="false">
      <c r="B31" s="91" t="n">
        <v>33</v>
      </c>
      <c r="C31" s="92" t="n">
        <f aca="false">B31/4</f>
        <v>8.25</v>
      </c>
      <c r="D31" s="93" t="n">
        <f aca="false">IF(B31&gt;36,"範囲外",B31/4)</f>
        <v>8.25</v>
      </c>
      <c r="E31" s="93" t="n">
        <f aca="false">IF(B31&gt;36,"範囲外",B31/4.5)</f>
        <v>7.33333333333333</v>
      </c>
      <c r="F31" s="94" t="n">
        <f aca="false">IF(B31&gt;36,"—",C31-E31)</f>
        <v>0.916666666666667</v>
      </c>
      <c r="G31" s="93" t="n">
        <f aca="false">IF(B31&gt;36,"範囲外",MIN(B31/40,3/4*(0.49+B31/100)))</f>
        <v>0.615</v>
      </c>
      <c r="H31" s="93" t="n">
        <f aca="false">IF(B31&gt;36,"範囲外",MIN(B31/45,3/4*(0.49+B31/100)))</f>
        <v>0.615</v>
      </c>
      <c r="I31" s="95" t="str">
        <f aca="false">IF(B31&gt;36,"SB協会の範囲外（Fc＞36）","空掘り："&amp;IF(B31/40&lt;=3/4*(0.49+B31/100),"Fc/40","3/4(0.49＋Fc/100)")&amp;"　／　泥水中："&amp;IF(B31/45&lt;=3/4*(0.49+B31/100),"Fc/45","3/4(0.49＋Fc/100)"))</f>
        <v>空掘り：3/4(0.49＋Fc/100)　／　泥水中：3/4(0.49＋Fc/100)</v>
      </c>
    </row>
    <row r="32" customFormat="false" ht="18.75" hidden="false" customHeight="true" outlineLevel="0" collapsed="false">
      <c r="B32" s="91" t="n">
        <v>36</v>
      </c>
      <c r="C32" s="92" t="n">
        <f aca="false">B32/4</f>
        <v>9</v>
      </c>
      <c r="D32" s="93" t="n">
        <f aca="false">IF(B32&gt;36,"範囲外",B32/4)</f>
        <v>9</v>
      </c>
      <c r="E32" s="93" t="n">
        <f aca="false">IF(B32&gt;36,"範囲外",B32/4.5)</f>
        <v>8</v>
      </c>
      <c r="F32" s="94" t="n">
        <f aca="false">IF(B32&gt;36,"—",C32-E32)</f>
        <v>1</v>
      </c>
      <c r="G32" s="93" t="n">
        <f aca="false">IF(B32&gt;36,"範囲外",MIN(B32/40,3/4*(0.49+B32/100)))</f>
        <v>0.6375</v>
      </c>
      <c r="H32" s="93" t="n">
        <f aca="false">IF(B32&gt;36,"範囲外",MIN(B32/45,3/4*(0.49+B32/100)))</f>
        <v>0.6375</v>
      </c>
      <c r="I32" s="95" t="str">
        <f aca="false">IF(B32&gt;36,"SB協会の範囲外（Fc＞36）","空掘り："&amp;IF(B32/40&lt;=3/4*(0.49+B32/100),"Fc/40","3/4(0.49＋Fc/100)")&amp;"　／　泥水中："&amp;IF(B32/45&lt;=3/4*(0.49+B32/100),"Fc/45","3/4(0.49＋Fc/100)"))</f>
        <v>空掘り：3/4(0.49＋Fc/100)　／　泥水中：3/4(0.49＋Fc/100)</v>
      </c>
    </row>
    <row r="33" customFormat="false" ht="18.75" hidden="false" customHeight="true" outlineLevel="0" collapsed="false">
      <c r="B33" s="91" t="n">
        <v>40</v>
      </c>
      <c r="C33" s="92" t="n">
        <f aca="false">B33/4</f>
        <v>10</v>
      </c>
      <c r="D33" s="93" t="str">
        <f aca="false">IF(B33&gt;36,"範囲外",B33/4)</f>
        <v>範囲外</v>
      </c>
      <c r="E33" s="93" t="str">
        <f aca="false">IF(B33&gt;36,"範囲外",B33/4.5)</f>
        <v>範囲外</v>
      </c>
      <c r="F33" s="94" t="str">
        <f aca="false">IF(B33&gt;36,"—",C33-E33)</f>
        <v>—</v>
      </c>
      <c r="G33" s="93" t="str">
        <f aca="false">IF(B33&gt;36,"範囲外",MIN(B33/40,3/4*(0.49+B33/100)))</f>
        <v>範囲外</v>
      </c>
      <c r="H33" s="93" t="str">
        <f aca="false">IF(B33&gt;36,"範囲外",MIN(B33/45,3/4*(0.49+B33/100)))</f>
        <v>範囲外</v>
      </c>
      <c r="I33" s="95" t="str">
        <f aca="false">IF(B33&gt;36,"SB協会の範囲外（Fc＞36）","空掘り："&amp;IF(B33/40&lt;=3/4*(0.49+B33/100),"Fc/40","3/4(0.49＋Fc/100)")&amp;"　／　泥水中："&amp;IF(B33/45&lt;=3/4*(0.49+B33/100),"Fc/45","3/4(0.49＋Fc/100)"))</f>
        <v>SB協会の範囲外（Fc＞36）</v>
      </c>
    </row>
    <row r="34" customFormat="false" ht="18.75" hidden="false" customHeight="true" outlineLevel="0" collapsed="false">
      <c r="B34" s="91" t="n">
        <v>45</v>
      </c>
      <c r="C34" s="92" t="n">
        <f aca="false">B34/4</f>
        <v>11.25</v>
      </c>
      <c r="D34" s="93" t="str">
        <f aca="false">IF(B34&gt;36,"範囲外",B34/4)</f>
        <v>範囲外</v>
      </c>
      <c r="E34" s="93" t="str">
        <f aca="false">IF(B34&gt;36,"範囲外",B34/4.5)</f>
        <v>範囲外</v>
      </c>
      <c r="F34" s="94" t="str">
        <f aca="false">IF(B34&gt;36,"—",C34-E34)</f>
        <v>—</v>
      </c>
      <c r="G34" s="93" t="str">
        <f aca="false">IF(B34&gt;36,"範囲外",MIN(B34/40,3/4*(0.49+B34/100)))</f>
        <v>範囲外</v>
      </c>
      <c r="H34" s="93" t="str">
        <f aca="false">IF(B34&gt;36,"範囲外",MIN(B34/45,3/4*(0.49+B34/100)))</f>
        <v>範囲外</v>
      </c>
      <c r="I34" s="95" t="str">
        <f aca="false">IF(B34&gt;36,"SB協会の範囲外（Fc＞36）","空掘り："&amp;IF(B34/40&lt;=3/4*(0.49+B34/100),"Fc/40","3/4(0.49＋Fc/100)")&amp;"　／　泥水中："&amp;IF(B34/45&lt;=3/4*(0.49+B34/100),"Fc/45","3/4(0.49＋Fc/100)"))</f>
        <v>SB協会の範囲外（Fc＞36）</v>
      </c>
    </row>
    <row r="35" customFormat="false" ht="15" hidden="false" customHeight="false" outlineLevel="0" collapsed="false">
      <c r="B35" s="2" t="s">
        <v>551</v>
      </c>
    </row>
  </sheetData>
  <mergeCells count="10">
    <mergeCell ref="F11:I11"/>
    <mergeCell ref="F12:I12"/>
    <mergeCell ref="F13:I13"/>
    <mergeCell ref="F14:I14"/>
    <mergeCell ref="F15:I15"/>
    <mergeCell ref="F16:I16"/>
    <mergeCell ref="F17:I17"/>
    <mergeCell ref="E20:I20"/>
    <mergeCell ref="E21:I21"/>
    <mergeCell ref="E22:I22"/>
  </mergeCells>
  <conditionalFormatting sqref="D26:H34">
    <cfRule type="expression" priority="2" aboveAverage="0" equalAverage="0" bottom="0" percent="0" rank="0" text="" dxfId="14">
      <formula>$B26&gt;36</formula>
    </cfRule>
  </conditionalFormatting>
  <conditionalFormatting sqref="B26:I34">
    <cfRule type="expression" priority="3" aboveAverage="0" equalAverage="0" bottom="0" percent="0" rank="0" text="" dxfId="15">
      <formula>$B26=$C$7</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B2: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4" min="3" style="0" width="16"/>
    <col collapsed="false" customWidth="true" hidden="false" outlineLevel="0" max="5" min="5" style="0" width="10"/>
    <col collapsed="false" customWidth="true" hidden="false" outlineLevel="0" max="6" min="6" style="0" width="44"/>
    <col collapsed="false" customWidth="true" hidden="false" outlineLevel="0" max="7" min="7" style="0" width="26"/>
  </cols>
  <sheetData>
    <row r="2" customFormat="false" ht="20.85" hidden="false" customHeight="false" outlineLevel="0" collapsed="false">
      <c r="B2" s="36" t="s">
        <v>552</v>
      </c>
    </row>
    <row r="3" customFormat="false" ht="15" hidden="false" customHeight="false" outlineLevel="0" collapsed="false">
      <c r="B3" s="2" t="s">
        <v>553</v>
      </c>
    </row>
    <row r="4" customFormat="false" ht="15" hidden="false" customHeight="false" outlineLevel="0" collapsed="false">
      <c r="B4" s="74" t="s">
        <v>554</v>
      </c>
    </row>
    <row r="6" customFormat="false" ht="21.75" hidden="false" customHeight="true" outlineLevel="0" collapsed="false">
      <c r="B6" s="3" t="s">
        <v>513</v>
      </c>
      <c r="C6" s="4"/>
      <c r="D6" s="4"/>
      <c r="E6" s="4"/>
      <c r="F6" s="4"/>
      <c r="G6" s="4"/>
    </row>
    <row r="7" customFormat="false" ht="19.5" hidden="false" customHeight="true" outlineLevel="0" collapsed="false">
      <c r="B7" s="75" t="s">
        <v>555</v>
      </c>
      <c r="C7" s="96" t="n">
        <v>1200</v>
      </c>
      <c r="D7" s="77" t="s">
        <v>556</v>
      </c>
      <c r="F7" s="97" t="s">
        <v>557</v>
      </c>
      <c r="G7" s="97"/>
    </row>
    <row r="8" customFormat="false" ht="19.5" hidden="false" customHeight="true" outlineLevel="0" collapsed="false">
      <c r="B8" s="75" t="s">
        <v>558</v>
      </c>
      <c r="C8" s="96" t="n">
        <v>16</v>
      </c>
      <c r="D8" s="77" t="s">
        <v>556</v>
      </c>
      <c r="F8" s="97" t="s">
        <v>557</v>
      </c>
      <c r="G8" s="97"/>
    </row>
    <row r="9" customFormat="false" ht="19.5" hidden="false" customHeight="true" outlineLevel="0" collapsed="false">
      <c r="B9" s="75" t="s">
        <v>559</v>
      </c>
      <c r="C9" s="98" t="n">
        <v>1</v>
      </c>
      <c r="D9" s="77" t="s">
        <v>556</v>
      </c>
      <c r="F9" s="97" t="s">
        <v>560</v>
      </c>
      <c r="G9" s="97"/>
    </row>
    <row r="10" customFormat="false" ht="19.5" hidden="false" customHeight="true" outlineLevel="0" collapsed="false">
      <c r="B10" s="75" t="s">
        <v>517</v>
      </c>
      <c r="C10" s="96" t="n">
        <v>235</v>
      </c>
      <c r="D10" s="77" t="s">
        <v>515</v>
      </c>
      <c r="F10" s="97" t="s">
        <v>561</v>
      </c>
      <c r="G10" s="97"/>
    </row>
    <row r="11" customFormat="false" ht="19.5" hidden="false" customHeight="true" outlineLevel="0" collapsed="false">
      <c r="B11" s="75" t="s">
        <v>562</v>
      </c>
      <c r="C11" s="98" t="n">
        <v>1</v>
      </c>
      <c r="D11" s="99" t="s">
        <v>563</v>
      </c>
      <c r="F11" s="97" t="s">
        <v>564</v>
      </c>
      <c r="G11" s="97"/>
    </row>
    <row r="12" customFormat="false" ht="19.5" hidden="false" customHeight="true" outlineLevel="0" collapsed="false">
      <c r="B12" s="75" t="s">
        <v>565</v>
      </c>
      <c r="C12" s="96" t="n">
        <v>24</v>
      </c>
      <c r="D12" s="77" t="s">
        <v>515</v>
      </c>
      <c r="F12" s="97" t="s">
        <v>566</v>
      </c>
      <c r="G12" s="97"/>
    </row>
    <row r="13" customFormat="false" ht="19.5" hidden="false" customHeight="true" outlineLevel="0" collapsed="false">
      <c r="B13" s="75" t="s">
        <v>567</v>
      </c>
      <c r="C13" s="96" t="n">
        <v>100</v>
      </c>
      <c r="D13" s="77" t="s">
        <v>556</v>
      </c>
      <c r="F13" s="97" t="s">
        <v>566</v>
      </c>
      <c r="G13" s="97"/>
    </row>
    <row r="14" customFormat="false" ht="19.5" hidden="false" customHeight="true" outlineLevel="0" collapsed="false">
      <c r="B14" s="100" t="s">
        <v>568</v>
      </c>
      <c r="C14" s="98" t="n">
        <v>2</v>
      </c>
      <c r="D14" s="77"/>
      <c r="F14" s="101" t="s">
        <v>569</v>
      </c>
      <c r="G14" s="101"/>
    </row>
    <row r="15" customFormat="false" ht="21.75" hidden="false" customHeight="true" outlineLevel="0" collapsed="false">
      <c r="B15" s="3" t="s">
        <v>570</v>
      </c>
      <c r="C15" s="4"/>
      <c r="D15" s="4"/>
      <c r="E15" s="4"/>
      <c r="F15" s="4"/>
      <c r="G15" s="4"/>
    </row>
    <row r="16" customFormat="false" ht="21.75" hidden="false" customHeight="true" outlineLevel="0" collapsed="false">
      <c r="B16" s="10" t="s">
        <v>9</v>
      </c>
      <c r="C16" s="10" t="s">
        <v>571</v>
      </c>
      <c r="D16" s="10" t="s">
        <v>572</v>
      </c>
      <c r="E16" s="9"/>
      <c r="F16" s="9"/>
      <c r="G16" s="9"/>
    </row>
    <row r="17" customFormat="false" ht="18.75" hidden="false" customHeight="true" outlineLevel="0" collapsed="false">
      <c r="B17" s="27" t="s">
        <v>573</v>
      </c>
      <c r="C17" s="102" t="n">
        <f aca="false">C7-2*C9</f>
        <v>1198</v>
      </c>
      <c r="D17" s="71" t="s">
        <v>556</v>
      </c>
      <c r="E17" s="103" t="s">
        <v>574</v>
      </c>
      <c r="F17" s="103"/>
      <c r="G17" s="103"/>
    </row>
    <row r="18" customFormat="false" ht="18.75" hidden="false" customHeight="true" outlineLevel="0" collapsed="false">
      <c r="B18" s="27" t="s">
        <v>575</v>
      </c>
      <c r="C18" s="102" t="n">
        <f aca="false">C8-C9</f>
        <v>15</v>
      </c>
      <c r="D18" s="71" t="s">
        <v>556</v>
      </c>
      <c r="E18" s="103" t="s">
        <v>576</v>
      </c>
      <c r="F18" s="103"/>
      <c r="G18" s="103"/>
    </row>
    <row r="19" customFormat="false" ht="18.75" hidden="false" customHeight="true" outlineLevel="0" collapsed="false">
      <c r="B19" s="27" t="s">
        <v>577</v>
      </c>
      <c r="C19" s="102" t="n">
        <f aca="false">C17-2*C18</f>
        <v>1168</v>
      </c>
      <c r="D19" s="71" t="s">
        <v>556</v>
      </c>
      <c r="E19" s="103" t="s">
        <v>578</v>
      </c>
      <c r="F19" s="103"/>
      <c r="G19" s="103"/>
    </row>
    <row r="20" customFormat="false" ht="18.75" hidden="false" customHeight="true" outlineLevel="0" collapsed="false">
      <c r="B20" s="27" t="s">
        <v>579</v>
      </c>
      <c r="C20" s="104" t="n">
        <f aca="false">PI()/4*(C17^2-C19^2)</f>
        <v>55747.5616379509</v>
      </c>
      <c r="D20" s="71" t="s">
        <v>580</v>
      </c>
      <c r="E20" s="103" t="s">
        <v>581</v>
      </c>
      <c r="F20" s="103"/>
      <c r="G20" s="103"/>
    </row>
    <row r="21" customFormat="false" ht="18.75" hidden="false" customHeight="true" outlineLevel="0" collapsed="false">
      <c r="B21" s="27" t="s">
        <v>582</v>
      </c>
      <c r="C21" s="104" t="n">
        <f aca="false">PI()/32*(C17^4-C19^4)/C17</f>
        <v>16283523.0572836</v>
      </c>
      <c r="D21" s="71" t="s">
        <v>583</v>
      </c>
      <c r="E21" s="103" t="s">
        <v>584</v>
      </c>
      <c r="F21" s="103"/>
      <c r="G21" s="103"/>
    </row>
    <row r="22" customFormat="false" ht="18.75" hidden="false" customHeight="true" outlineLevel="0" collapsed="false">
      <c r="B22" s="27" t="s">
        <v>585</v>
      </c>
      <c r="C22" s="105" t="n">
        <f aca="false">C10/1.5</f>
        <v>156.666666666667</v>
      </c>
      <c r="D22" s="71" t="s">
        <v>515</v>
      </c>
      <c r="E22" s="103" t="s">
        <v>586</v>
      </c>
      <c r="F22" s="103"/>
      <c r="G22" s="103"/>
    </row>
    <row r="23" customFormat="false" ht="18.75" hidden="false" customHeight="true" outlineLevel="0" collapsed="false">
      <c r="B23" s="27" t="s">
        <v>587</v>
      </c>
      <c r="C23" s="105" t="n">
        <f aca="false">C10/(1.5*SQRT(3))</f>
        <v>90.4515421730414</v>
      </c>
      <c r="D23" s="71" t="s">
        <v>515</v>
      </c>
      <c r="E23" s="103" t="s">
        <v>588</v>
      </c>
      <c r="F23" s="103"/>
      <c r="G23" s="103"/>
    </row>
    <row r="24" customFormat="false" ht="18.75" hidden="false" customHeight="true" outlineLevel="0" collapsed="false">
      <c r="B24" s="27" t="s">
        <v>589</v>
      </c>
      <c r="C24" s="105" t="n">
        <f aca="false">C10*C11</f>
        <v>235</v>
      </c>
      <c r="D24" s="71" t="s">
        <v>515</v>
      </c>
      <c r="E24" s="103" t="s">
        <v>590</v>
      </c>
      <c r="F24" s="103"/>
      <c r="G24" s="103"/>
    </row>
    <row r="26" customFormat="false" ht="21.75" hidden="false" customHeight="true" outlineLevel="0" collapsed="false">
      <c r="B26" s="3" t="s">
        <v>591</v>
      </c>
      <c r="C26" s="4"/>
      <c r="D26" s="4"/>
      <c r="E26" s="4"/>
      <c r="F26" s="4"/>
      <c r="G26" s="4"/>
    </row>
    <row r="27" customFormat="false" ht="21.75" hidden="false" customHeight="true" outlineLevel="0" collapsed="false">
      <c r="B27" s="10" t="s">
        <v>9</v>
      </c>
      <c r="C27" s="11" t="s">
        <v>10</v>
      </c>
      <c r="D27" s="12" t="s">
        <v>11</v>
      </c>
      <c r="E27" s="10" t="s">
        <v>572</v>
      </c>
      <c r="F27" s="10" t="s">
        <v>592</v>
      </c>
      <c r="G27" s="10" t="s">
        <v>593</v>
      </c>
    </row>
    <row r="28" customFormat="false" ht="31.5" hidden="false" customHeight="true" outlineLevel="0" collapsed="false">
      <c r="B28" s="24" t="s">
        <v>594</v>
      </c>
      <c r="C28" s="106" t="n">
        <f aca="false">C21*C22/1000000</f>
        <v>2551.08527897442</v>
      </c>
      <c r="D28" s="107" t="n">
        <f aca="false">C21*C22/1000000</f>
        <v>2551.08527897442</v>
      </c>
      <c r="E28" s="14" t="s">
        <v>595</v>
      </c>
      <c r="F28" s="80" t="s">
        <v>596</v>
      </c>
      <c r="G28" s="80" t="s">
        <v>597</v>
      </c>
    </row>
    <row r="29" customFormat="false" ht="19.5" hidden="false" customHeight="true" outlineLevel="0" collapsed="false">
      <c r="B29" s="24" t="s">
        <v>598</v>
      </c>
      <c r="C29" s="106" t="n">
        <f aca="false">1.5*C28</f>
        <v>3826.62791846163</v>
      </c>
      <c r="D29" s="107" t="n">
        <f aca="false">1.5*D28</f>
        <v>3826.62791846163</v>
      </c>
      <c r="E29" s="14" t="s">
        <v>595</v>
      </c>
      <c r="F29" s="81" t="s">
        <v>599</v>
      </c>
      <c r="G29" s="81" t="s">
        <v>600</v>
      </c>
    </row>
    <row r="30" customFormat="false" ht="31.5" hidden="false" customHeight="true" outlineLevel="0" collapsed="false">
      <c r="B30" s="24" t="s">
        <v>601</v>
      </c>
      <c r="C30" s="106" t="n">
        <f aca="false">C20/2*C23/1000</f>
        <v>2521.22646126967</v>
      </c>
      <c r="D30" s="107" t="n">
        <f aca="false">C20/2*C23/1000</f>
        <v>2521.22646126967</v>
      </c>
      <c r="E30" s="14" t="s">
        <v>602</v>
      </c>
      <c r="F30" s="80" t="s">
        <v>603</v>
      </c>
      <c r="G30" s="81" t="s">
        <v>150</v>
      </c>
    </row>
    <row r="31" customFormat="false" ht="19.5" hidden="false" customHeight="true" outlineLevel="0" collapsed="false">
      <c r="B31" s="24" t="s">
        <v>604</v>
      </c>
      <c r="C31" s="106" t="n">
        <f aca="false">1.5*C30</f>
        <v>3781.8396919045</v>
      </c>
      <c r="D31" s="107" t="n">
        <f aca="false">1.5*D30</f>
        <v>3781.8396919045</v>
      </c>
      <c r="E31" s="14" t="s">
        <v>602</v>
      </c>
      <c r="F31" s="81" t="s">
        <v>599</v>
      </c>
      <c r="G31" s="81" t="s">
        <v>150</v>
      </c>
    </row>
    <row r="32" customFormat="false" ht="31.5" hidden="false" customHeight="true" outlineLevel="0" collapsed="false">
      <c r="B32" s="24" t="s">
        <v>605</v>
      </c>
      <c r="C32" s="106" t="n">
        <f aca="false">C20/2*C24/SQRT(3)/1000</f>
        <v>3781.8396919045</v>
      </c>
      <c r="D32" s="107" t="n">
        <f aca="false">C20*(C24/SQRT(3))*(1/C14)/1000</f>
        <v>3781.8396919045</v>
      </c>
      <c r="E32" s="14" t="s">
        <v>602</v>
      </c>
      <c r="F32" s="80" t="s">
        <v>606</v>
      </c>
      <c r="G32" s="80" t="s">
        <v>607</v>
      </c>
    </row>
    <row r="33" customFormat="false" ht="19.5" hidden="false" customHeight="true" outlineLevel="0" collapsed="false">
      <c r="B33" s="24" t="s">
        <v>608</v>
      </c>
      <c r="C33" s="106" t="n">
        <f aca="false">C12*C7*C13/1000</f>
        <v>2880</v>
      </c>
      <c r="D33" s="108" t="s">
        <v>528</v>
      </c>
      <c r="E33" s="14" t="s">
        <v>602</v>
      </c>
      <c r="F33" s="80" t="s">
        <v>609</v>
      </c>
      <c r="G33" s="80" t="s">
        <v>610</v>
      </c>
    </row>
    <row r="34" customFormat="false" ht="31.5" hidden="false" customHeight="true" outlineLevel="0" collapsed="false">
      <c r="B34" s="24" t="s">
        <v>611</v>
      </c>
      <c r="C34" s="109" t="n">
        <f aca="false">MIN(C32,C33)</f>
        <v>2880</v>
      </c>
      <c r="D34" s="110" t="n">
        <f aca="false">D32</f>
        <v>3781.8396919045</v>
      </c>
      <c r="E34" s="14" t="s">
        <v>602</v>
      </c>
      <c r="F34" s="80" t="s">
        <v>612</v>
      </c>
      <c r="G34" s="81"/>
    </row>
    <row r="35" customFormat="false" ht="19.5" hidden="false" customHeight="true" outlineLevel="0" collapsed="false">
      <c r="B35" s="83" t="s">
        <v>613</v>
      </c>
      <c r="C35" s="106" t="str">
        <f aca="false">IF(C33&lt;C32,"杭頭接合部で決定","鋼管で決定")</f>
        <v>杭頭接合部で決定</v>
      </c>
      <c r="D35" s="108" t="s">
        <v>614</v>
      </c>
      <c r="E35" s="14"/>
      <c r="F35" s="81"/>
      <c r="G35" s="80" t="s">
        <v>615</v>
      </c>
    </row>
    <row r="36" customFormat="false" ht="19.5" hidden="false" customHeight="true" outlineLevel="0" collapsed="false">
      <c r="B36" s="24" t="s">
        <v>616</v>
      </c>
      <c r="C36" s="111" t="s">
        <v>617</v>
      </c>
      <c r="D36" s="107" t="n">
        <f aca="false">(C17-C18)^2*C18*C24/1000000</f>
        <v>4933.198725</v>
      </c>
      <c r="E36" s="14" t="s">
        <v>595</v>
      </c>
      <c r="F36" s="80" t="s">
        <v>618</v>
      </c>
      <c r="G36" s="80" t="s">
        <v>619</v>
      </c>
    </row>
    <row r="38" customFormat="false" ht="15" hidden="false" customHeight="false" outlineLevel="0" collapsed="false">
      <c r="B38" s="97" t="s">
        <v>620</v>
      </c>
      <c r="C38" s="97"/>
      <c r="D38" s="97"/>
      <c r="E38" s="97"/>
      <c r="F38" s="97"/>
      <c r="G38" s="97"/>
    </row>
    <row r="39" customFormat="false" ht="15" hidden="false" customHeight="false" outlineLevel="0" collapsed="false">
      <c r="B39" s="101" t="s">
        <v>621</v>
      </c>
      <c r="C39" s="101"/>
      <c r="D39" s="101"/>
      <c r="E39" s="101"/>
      <c r="F39" s="101"/>
      <c r="G39" s="101"/>
    </row>
    <row r="40" customFormat="false" ht="15" hidden="false" customHeight="false" outlineLevel="0" collapsed="false">
      <c r="B40" s="101" t="s">
        <v>622</v>
      </c>
      <c r="C40" s="101"/>
      <c r="D40" s="101"/>
      <c r="E40" s="101"/>
      <c r="F40" s="101"/>
      <c r="G40" s="101"/>
    </row>
  </sheetData>
  <mergeCells count="20">
    <mergeCell ref="F7:G7"/>
    <mergeCell ref="F8:G8"/>
    <mergeCell ref="F9:G9"/>
    <mergeCell ref="F10:G10"/>
    <mergeCell ref="F11:G11"/>
    <mergeCell ref="F12:G12"/>
    <mergeCell ref="F13:G13"/>
    <mergeCell ref="F14:G14"/>
    <mergeCell ref="E16:G16"/>
    <mergeCell ref="E17:G17"/>
    <mergeCell ref="E18:G18"/>
    <mergeCell ref="E19:G19"/>
    <mergeCell ref="E20:G20"/>
    <mergeCell ref="E21:G21"/>
    <mergeCell ref="E22:G22"/>
    <mergeCell ref="E23:G23"/>
    <mergeCell ref="E24:G24"/>
    <mergeCell ref="B38:G38"/>
    <mergeCell ref="B39:G39"/>
    <mergeCell ref="B40:G40"/>
  </mergeCells>
  <conditionalFormatting sqref="C35">
    <cfRule type="expression" priority="2" aboveAverage="0" equalAverage="0" bottom="0" percent="0" rank="0" text="" dxfId="16">
      <formula>$C$33&lt;$C$32</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5911"/>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62"/>
    <col collapsed="false" customWidth="true" hidden="false" outlineLevel="0" max="4" min="4" style="0" width="24"/>
    <col collapsed="false" customWidth="true" hidden="false" outlineLevel="0" max="5" min="5" style="0" width="10"/>
    <col collapsed="false" customWidth="true" hidden="false" outlineLevel="0" max="6" min="6" style="0" width="34"/>
  </cols>
  <sheetData>
    <row r="1" customFormat="false" ht="20.85" hidden="false" customHeight="false" outlineLevel="0" collapsed="false">
      <c r="A1" s="36" t="s">
        <v>623</v>
      </c>
    </row>
    <row r="2" customFormat="false" ht="15" hidden="false" customHeight="false" outlineLevel="0" collapsed="false">
      <c r="A2" s="2" t="s">
        <v>1</v>
      </c>
    </row>
    <row r="3" customFormat="false" ht="15" hidden="false" customHeight="false" outlineLevel="0" collapsed="false">
      <c r="A3" s="74" t="s">
        <v>624</v>
      </c>
    </row>
    <row r="4" customFormat="false" ht="15" hidden="false" customHeight="false" outlineLevel="0" collapsed="false">
      <c r="C4" s="32" t="str">
        <f aca="false">"集計　未："&amp;COUNTIF($E$6:$E$25,"未")&amp;" 件　／　済："&amp;COUNTIF($E$6:$E$25,"済")&amp;" 件　／　対象外："&amp;COUNTIF($E$6:$E$25,"対象外")&amp;" 件"</f>
        <v>集計　未：19 件　／　済：1 件　／　対象外：0 件</v>
      </c>
    </row>
    <row r="5" customFormat="false" ht="24" hidden="false" customHeight="true" outlineLevel="0" collapsed="false">
      <c r="A5" s="9" t="s">
        <v>8</v>
      </c>
      <c r="B5" s="10" t="s">
        <v>625</v>
      </c>
      <c r="C5" s="10" t="s">
        <v>626</v>
      </c>
      <c r="D5" s="10" t="s">
        <v>627</v>
      </c>
      <c r="E5" s="10" t="s">
        <v>628</v>
      </c>
      <c r="F5" s="10" t="s">
        <v>629</v>
      </c>
    </row>
    <row r="6" customFormat="false" ht="34.5" hidden="false" customHeight="true" outlineLevel="0" collapsed="false">
      <c r="A6" s="14" t="n">
        <v>1</v>
      </c>
      <c r="B6" s="112" t="s">
        <v>199</v>
      </c>
      <c r="C6" s="27" t="s">
        <v>630</v>
      </c>
      <c r="D6" s="81" t="s">
        <v>332</v>
      </c>
      <c r="E6" s="113" t="s">
        <v>631</v>
      </c>
      <c r="F6" s="114" t="s">
        <v>632</v>
      </c>
    </row>
    <row r="7" customFormat="false" ht="34.5" hidden="false" customHeight="true" outlineLevel="0" collapsed="false">
      <c r="A7" s="14" t="n">
        <v>2</v>
      </c>
      <c r="B7" s="112" t="s">
        <v>199</v>
      </c>
      <c r="C7" s="30" t="s">
        <v>633</v>
      </c>
      <c r="D7" s="80" t="s">
        <v>634</v>
      </c>
      <c r="E7" s="113" t="s">
        <v>635</v>
      </c>
      <c r="F7" s="114"/>
    </row>
    <row r="8" customFormat="false" ht="34.5" hidden="false" customHeight="true" outlineLevel="0" collapsed="false">
      <c r="A8" s="14" t="n">
        <v>3</v>
      </c>
      <c r="B8" s="112" t="s">
        <v>199</v>
      </c>
      <c r="C8" s="27" t="s">
        <v>636</v>
      </c>
      <c r="D8" s="80" t="s">
        <v>346</v>
      </c>
      <c r="E8" s="113" t="s">
        <v>635</v>
      </c>
      <c r="F8" s="114"/>
    </row>
    <row r="9" customFormat="false" ht="21.75" hidden="false" customHeight="true" outlineLevel="0" collapsed="false">
      <c r="A9" s="14" t="n">
        <v>4</v>
      </c>
      <c r="B9" s="112" t="s">
        <v>199</v>
      </c>
      <c r="C9" s="27" t="s">
        <v>637</v>
      </c>
      <c r="D9" s="81" t="s">
        <v>638</v>
      </c>
      <c r="E9" s="113" t="s">
        <v>635</v>
      </c>
      <c r="F9" s="114"/>
    </row>
    <row r="10" customFormat="false" ht="34.5" hidden="false" customHeight="true" outlineLevel="0" collapsed="false">
      <c r="A10" s="14" t="n">
        <v>5</v>
      </c>
      <c r="B10" s="112" t="s">
        <v>199</v>
      </c>
      <c r="C10" s="27" t="s">
        <v>639</v>
      </c>
      <c r="D10" s="80" t="s">
        <v>313</v>
      </c>
      <c r="E10" s="113" t="s">
        <v>635</v>
      </c>
      <c r="F10" s="114"/>
    </row>
    <row r="11" customFormat="false" ht="21.75" hidden="false" customHeight="true" outlineLevel="0" collapsed="false">
      <c r="A11" s="14" t="n">
        <v>6</v>
      </c>
      <c r="B11" s="112" t="s">
        <v>199</v>
      </c>
      <c r="C11" s="27" t="s">
        <v>640</v>
      </c>
      <c r="D11" s="81" t="s">
        <v>422</v>
      </c>
      <c r="E11" s="113" t="s">
        <v>635</v>
      </c>
      <c r="F11" s="114"/>
    </row>
    <row r="12" customFormat="false" ht="34.5" hidden="false" customHeight="true" outlineLevel="0" collapsed="false">
      <c r="A12" s="14" t="n">
        <v>7</v>
      </c>
      <c r="B12" s="57" t="s">
        <v>206</v>
      </c>
      <c r="C12" s="30" t="s">
        <v>641</v>
      </c>
      <c r="D12" s="80" t="s">
        <v>642</v>
      </c>
      <c r="E12" s="113" t="s">
        <v>635</v>
      </c>
      <c r="F12" s="114"/>
    </row>
    <row r="13" customFormat="false" ht="21.75" hidden="false" customHeight="true" outlineLevel="0" collapsed="false">
      <c r="A13" s="14" t="n">
        <v>8</v>
      </c>
      <c r="B13" s="57" t="s">
        <v>206</v>
      </c>
      <c r="C13" s="27" t="s">
        <v>643</v>
      </c>
      <c r="D13" s="80" t="s">
        <v>644</v>
      </c>
      <c r="E13" s="113" t="s">
        <v>635</v>
      </c>
      <c r="F13" s="114"/>
    </row>
    <row r="14" customFormat="false" ht="21.75" hidden="false" customHeight="true" outlineLevel="0" collapsed="false">
      <c r="A14" s="14" t="n">
        <v>9</v>
      </c>
      <c r="B14" s="57" t="s">
        <v>206</v>
      </c>
      <c r="C14" s="27" t="s">
        <v>645</v>
      </c>
      <c r="D14" s="80" t="s">
        <v>441</v>
      </c>
      <c r="E14" s="113" t="s">
        <v>635</v>
      </c>
      <c r="F14" s="114"/>
    </row>
    <row r="15" customFormat="false" ht="34.5" hidden="false" customHeight="true" outlineLevel="0" collapsed="false">
      <c r="A15" s="14" t="n">
        <v>10</v>
      </c>
      <c r="B15" s="57" t="s">
        <v>206</v>
      </c>
      <c r="C15" s="27" t="s">
        <v>646</v>
      </c>
      <c r="D15" s="80" t="s">
        <v>647</v>
      </c>
      <c r="E15" s="113" t="s">
        <v>635</v>
      </c>
      <c r="F15" s="114"/>
    </row>
    <row r="16" customFormat="false" ht="21.75" hidden="false" customHeight="true" outlineLevel="0" collapsed="false">
      <c r="A16" s="14" t="n">
        <v>11</v>
      </c>
      <c r="B16" s="57" t="s">
        <v>206</v>
      </c>
      <c r="C16" s="27" t="s">
        <v>648</v>
      </c>
      <c r="D16" s="81" t="s">
        <v>446</v>
      </c>
      <c r="E16" s="113" t="s">
        <v>635</v>
      </c>
      <c r="F16" s="114"/>
    </row>
    <row r="17" customFormat="false" ht="34.5" hidden="false" customHeight="true" outlineLevel="0" collapsed="false">
      <c r="A17" s="14" t="n">
        <v>12</v>
      </c>
      <c r="B17" s="57" t="s">
        <v>206</v>
      </c>
      <c r="C17" s="27" t="s">
        <v>649</v>
      </c>
      <c r="D17" s="81" t="s">
        <v>650</v>
      </c>
      <c r="E17" s="113" t="s">
        <v>635</v>
      </c>
      <c r="F17" s="114"/>
    </row>
    <row r="18" customFormat="false" ht="34.5" hidden="false" customHeight="true" outlineLevel="0" collapsed="false">
      <c r="A18" s="14" t="n">
        <v>13</v>
      </c>
      <c r="B18" s="58" t="s">
        <v>210</v>
      </c>
      <c r="C18" s="30" t="s">
        <v>651</v>
      </c>
      <c r="D18" s="80" t="s">
        <v>325</v>
      </c>
      <c r="E18" s="113" t="s">
        <v>635</v>
      </c>
      <c r="F18" s="114"/>
    </row>
    <row r="19" customFormat="false" ht="21.75" hidden="false" customHeight="true" outlineLevel="0" collapsed="false">
      <c r="A19" s="14" t="n">
        <v>14</v>
      </c>
      <c r="B19" s="58" t="s">
        <v>210</v>
      </c>
      <c r="C19" s="27" t="s">
        <v>652</v>
      </c>
      <c r="D19" s="80" t="s">
        <v>325</v>
      </c>
      <c r="E19" s="113" t="s">
        <v>635</v>
      </c>
      <c r="F19" s="114"/>
    </row>
    <row r="20" customFormat="false" ht="34.5" hidden="false" customHeight="true" outlineLevel="0" collapsed="false">
      <c r="A20" s="14" t="n">
        <v>15</v>
      </c>
      <c r="B20" s="58" t="s">
        <v>210</v>
      </c>
      <c r="C20" s="27" t="s">
        <v>653</v>
      </c>
      <c r="D20" s="81" t="s">
        <v>654</v>
      </c>
      <c r="E20" s="113" t="s">
        <v>635</v>
      </c>
      <c r="F20" s="114"/>
    </row>
    <row r="21" customFormat="false" ht="34.5" hidden="false" customHeight="true" outlineLevel="0" collapsed="false">
      <c r="A21" s="14" t="n">
        <v>16</v>
      </c>
      <c r="B21" s="58" t="s">
        <v>210</v>
      </c>
      <c r="C21" s="27" t="s">
        <v>655</v>
      </c>
      <c r="D21" s="81" t="s">
        <v>656</v>
      </c>
      <c r="E21" s="113" t="s">
        <v>635</v>
      </c>
      <c r="F21" s="114"/>
    </row>
    <row r="22" customFormat="false" ht="21.75" hidden="false" customHeight="true" outlineLevel="0" collapsed="false">
      <c r="A22" s="14" t="n">
        <v>17</v>
      </c>
      <c r="B22" s="58" t="s">
        <v>210</v>
      </c>
      <c r="C22" s="27" t="s">
        <v>657</v>
      </c>
      <c r="D22" s="81" t="s">
        <v>658</v>
      </c>
      <c r="E22" s="113" t="s">
        <v>635</v>
      </c>
      <c r="F22" s="114"/>
    </row>
    <row r="23" customFormat="false" ht="34.5" hidden="false" customHeight="true" outlineLevel="0" collapsed="false">
      <c r="A23" s="14" t="n">
        <v>18</v>
      </c>
      <c r="B23" s="58" t="s">
        <v>210</v>
      </c>
      <c r="C23" s="27" t="s">
        <v>659</v>
      </c>
      <c r="D23" s="80" t="s">
        <v>660</v>
      </c>
      <c r="E23" s="113" t="s">
        <v>635</v>
      </c>
      <c r="F23" s="114"/>
    </row>
    <row r="24" customFormat="false" ht="21.75" hidden="false" customHeight="true" outlineLevel="0" collapsed="false">
      <c r="A24" s="14" t="n">
        <v>19</v>
      </c>
      <c r="B24" s="58" t="s">
        <v>210</v>
      </c>
      <c r="C24" s="27" t="s">
        <v>661</v>
      </c>
      <c r="D24" s="80" t="s">
        <v>662</v>
      </c>
      <c r="E24" s="113" t="s">
        <v>635</v>
      </c>
      <c r="F24" s="114"/>
    </row>
    <row r="25" customFormat="false" ht="34.5" hidden="false" customHeight="true" outlineLevel="0" collapsed="false">
      <c r="A25" s="14" t="n">
        <v>20</v>
      </c>
      <c r="B25" s="58" t="s">
        <v>210</v>
      </c>
      <c r="C25" s="30" t="s">
        <v>663</v>
      </c>
      <c r="D25" s="81" t="s">
        <v>664</v>
      </c>
      <c r="E25" s="113" t="s">
        <v>635</v>
      </c>
      <c r="F25" s="114"/>
    </row>
  </sheetData>
  <conditionalFormatting sqref="E6:E25">
    <cfRule type="cellIs" priority="2" operator="equal" aboveAverage="0" equalAverage="0" bottom="0" percent="0" rank="0" text="" dxfId="17">
      <formula>"済"</formula>
    </cfRule>
    <cfRule type="cellIs" priority="3" operator="equal" aboveAverage="0" equalAverage="0" bottom="0" percent="0" rank="0" text="" dxfId="18">
      <formula>"未"</formula>
    </cfRule>
  </conditionalFormatting>
  <dataValidations count="1">
    <dataValidation allowBlank="true" error="未／済／対象外 から選んでください" errorStyle="stop" errorTitle="入力エラー" operator="between" showDropDown="false" showErrorMessage="false" showInputMessage="false" sqref="E6:E25" type="list">
      <formula1>"未,済,対象外"</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B2: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70"/>
    <col collapsed="false" customWidth="true" hidden="false" outlineLevel="0" max="4" min="4" style="0" width="12"/>
  </cols>
  <sheetData>
    <row r="2" customFormat="false" ht="19.7" hidden="false" customHeight="false" outlineLevel="0" collapsed="false">
      <c r="B2" s="36" t="s">
        <v>108</v>
      </c>
    </row>
    <row r="3" customFormat="false" ht="15" hidden="false" customHeight="false" outlineLevel="0" collapsed="false">
      <c r="B3" s="115" t="s">
        <v>665</v>
      </c>
    </row>
    <row r="5" customFormat="false" ht="21.75" hidden="false" customHeight="true" outlineLevel="0" collapsed="false">
      <c r="B5" s="10" t="s">
        <v>192</v>
      </c>
      <c r="C5" s="10" t="s">
        <v>666</v>
      </c>
      <c r="D5" s="10" t="s">
        <v>667</v>
      </c>
    </row>
    <row r="6" customFormat="false" ht="19.5" hidden="false" customHeight="true" outlineLevel="0" collapsed="false">
      <c r="B6" s="116" t="s">
        <v>668</v>
      </c>
      <c r="C6" s="27" t="s">
        <v>669</v>
      </c>
      <c r="D6" s="56" t="s">
        <v>199</v>
      </c>
    </row>
    <row r="7" customFormat="false" ht="19.5" hidden="false" customHeight="true" outlineLevel="0" collapsed="false">
      <c r="B7" s="116" t="s">
        <v>670</v>
      </c>
      <c r="C7" s="27" t="s">
        <v>671</v>
      </c>
      <c r="D7" s="56" t="s">
        <v>199</v>
      </c>
    </row>
    <row r="8" customFormat="false" ht="19.5" hidden="false" customHeight="true" outlineLevel="0" collapsed="false">
      <c r="B8" s="116" t="s">
        <v>203</v>
      </c>
      <c r="C8" s="27" t="s">
        <v>672</v>
      </c>
      <c r="D8" s="57" t="s">
        <v>206</v>
      </c>
    </row>
    <row r="9" customFormat="false" ht="19.5" hidden="false" customHeight="true" outlineLevel="0" collapsed="false">
      <c r="B9" s="116" t="s">
        <v>207</v>
      </c>
      <c r="C9" s="27" t="s">
        <v>673</v>
      </c>
      <c r="D9" s="58" t="s">
        <v>210</v>
      </c>
    </row>
    <row r="10" customFormat="false" ht="34.5" hidden="false" customHeight="true" outlineLevel="0" collapsed="false">
      <c r="B10" s="116" t="s">
        <v>211</v>
      </c>
      <c r="C10" s="27" t="s">
        <v>674</v>
      </c>
      <c r="D10" s="56" t="s">
        <v>199</v>
      </c>
    </row>
    <row r="11" customFormat="false" ht="19.5" hidden="false" customHeight="true" outlineLevel="0" collapsed="false">
      <c r="B11" s="116" t="s">
        <v>675</v>
      </c>
      <c r="C11" s="27" t="s">
        <v>676</v>
      </c>
      <c r="D11" s="57" t="s">
        <v>206</v>
      </c>
    </row>
    <row r="12" customFormat="false" ht="19.5" hidden="false" customHeight="true" outlineLevel="0" collapsed="false">
      <c r="B12" s="116" t="s">
        <v>677</v>
      </c>
      <c r="C12" s="27" t="s">
        <v>678</v>
      </c>
      <c r="D12" s="58" t="s">
        <v>210</v>
      </c>
    </row>
    <row r="13" customFormat="false" ht="19.5" hidden="false" customHeight="true" outlineLevel="0" collapsed="false">
      <c r="B13" s="116" t="s">
        <v>679</v>
      </c>
      <c r="C13" s="27" t="s">
        <v>680</v>
      </c>
      <c r="D13" s="57" t="s">
        <v>206</v>
      </c>
    </row>
    <row r="14" customFormat="false" ht="19.5" hidden="false" customHeight="true" outlineLevel="0" collapsed="false">
      <c r="B14" s="116" t="s">
        <v>224</v>
      </c>
      <c r="C14" s="27" t="s">
        <v>681</v>
      </c>
      <c r="D14" s="57" t="s">
        <v>206</v>
      </c>
    </row>
    <row r="15" customFormat="false" ht="19.5" hidden="false" customHeight="true" outlineLevel="0" collapsed="false">
      <c r="B15" s="116" t="s">
        <v>227</v>
      </c>
      <c r="C15" s="27" t="s">
        <v>682</v>
      </c>
      <c r="D15" s="56" t="s">
        <v>199</v>
      </c>
    </row>
    <row r="16" customFormat="false" ht="19.5" hidden="false" customHeight="true" outlineLevel="0" collapsed="false">
      <c r="B16" s="116" t="s">
        <v>683</v>
      </c>
      <c r="C16" s="27" t="s">
        <v>684</v>
      </c>
      <c r="D16" s="56" t="s">
        <v>199</v>
      </c>
    </row>
    <row r="17" customFormat="false" ht="19.5" hidden="false" customHeight="true" outlineLevel="0" collapsed="false">
      <c r="B17" s="116" t="s">
        <v>685</v>
      </c>
      <c r="C17" s="27" t="s">
        <v>686</v>
      </c>
      <c r="D17" s="14" t="s">
        <v>217</v>
      </c>
    </row>
    <row r="18" customFormat="false" ht="34.5" hidden="false" customHeight="true" outlineLevel="0" collapsed="false">
      <c r="B18" s="116" t="s">
        <v>687</v>
      </c>
      <c r="C18" s="27" t="s">
        <v>688</v>
      </c>
      <c r="D18" s="56" t="s">
        <v>199</v>
      </c>
    </row>
    <row r="19" customFormat="false" ht="19.5" hidden="false" customHeight="true" outlineLevel="0" collapsed="false">
      <c r="B19" s="116" t="s">
        <v>689</v>
      </c>
      <c r="C19" s="27" t="s">
        <v>690</v>
      </c>
      <c r="D19" s="56" t="s">
        <v>199</v>
      </c>
    </row>
    <row r="20" customFormat="false" ht="19.5" hidden="false" customHeight="true" outlineLevel="0" collapsed="false">
      <c r="B20" s="116" t="s">
        <v>240</v>
      </c>
      <c r="C20" s="27" t="s">
        <v>360</v>
      </c>
      <c r="D20" s="56" t="s">
        <v>199</v>
      </c>
    </row>
    <row r="21" customFormat="false" ht="19.5" hidden="false" customHeight="true" outlineLevel="0" collapsed="false">
      <c r="B21" s="116" t="s">
        <v>691</v>
      </c>
      <c r="C21" s="27" t="s">
        <v>236</v>
      </c>
      <c r="D21" s="56" t="s">
        <v>199</v>
      </c>
    </row>
    <row r="22" customFormat="false" ht="34.5" hidden="false" customHeight="true" outlineLevel="0" collapsed="false">
      <c r="B22" s="116" t="s">
        <v>230</v>
      </c>
      <c r="C22" s="27" t="s">
        <v>692</v>
      </c>
      <c r="D22" s="56" t="s">
        <v>199</v>
      </c>
    </row>
    <row r="23" customFormat="false" ht="19.5" hidden="false" customHeight="true" outlineLevel="0" collapsed="false">
      <c r="B23" s="116" t="s">
        <v>693</v>
      </c>
      <c r="C23" s="27" t="s">
        <v>694</v>
      </c>
      <c r="D23" s="56" t="s">
        <v>199</v>
      </c>
    </row>
    <row r="24" customFormat="false" ht="19.5" hidden="false" customHeight="true" outlineLevel="0" collapsed="false">
      <c r="B24" s="116" t="s">
        <v>695</v>
      </c>
      <c r="C24" s="27" t="s">
        <v>696</v>
      </c>
      <c r="D24" s="58" t="s">
        <v>210</v>
      </c>
    </row>
    <row r="25" customFormat="false" ht="34.5" hidden="false" customHeight="true" outlineLevel="0" collapsed="false">
      <c r="B25" s="116" t="s">
        <v>697</v>
      </c>
      <c r="C25" s="27" t="s">
        <v>698</v>
      </c>
      <c r="D25" s="58" t="s">
        <v>210</v>
      </c>
    </row>
    <row r="26" customFormat="false" ht="34.5" hidden="false" customHeight="true" outlineLevel="0" collapsed="false">
      <c r="B26" s="116" t="s">
        <v>699</v>
      </c>
      <c r="C26" s="27" t="s">
        <v>700</v>
      </c>
      <c r="D26" s="57" t="s">
        <v>206</v>
      </c>
    </row>
    <row r="27" customFormat="false" ht="19.5" hidden="false" customHeight="true" outlineLevel="0" collapsed="false">
      <c r="B27" s="116" t="s">
        <v>701</v>
      </c>
      <c r="C27" s="27" t="s">
        <v>702</v>
      </c>
      <c r="D27" s="57" t="s">
        <v>206</v>
      </c>
    </row>
    <row r="28" customFormat="false" ht="19.5" hidden="false" customHeight="true" outlineLevel="0" collapsed="false">
      <c r="B28" s="116" t="s">
        <v>703</v>
      </c>
      <c r="C28" s="27" t="s">
        <v>704</v>
      </c>
      <c r="D28" s="56" t="s">
        <v>199</v>
      </c>
    </row>
    <row r="29" customFormat="false" ht="19.5" hidden="false" customHeight="true" outlineLevel="0" collapsed="false">
      <c r="B29" s="116" t="s">
        <v>705</v>
      </c>
      <c r="C29" s="27" t="s">
        <v>706</v>
      </c>
      <c r="D29" s="57" t="s">
        <v>206</v>
      </c>
    </row>
    <row r="30" customFormat="false" ht="19.5" hidden="false" customHeight="true" outlineLevel="0" collapsed="false">
      <c r="B30" s="116" t="s">
        <v>707</v>
      </c>
      <c r="C30" s="27" t="s">
        <v>708</v>
      </c>
      <c r="D30" s="58" t="s">
        <v>210</v>
      </c>
    </row>
    <row r="31" customFormat="false" ht="19.5" hidden="false" customHeight="true" outlineLevel="0" collapsed="false">
      <c r="B31" s="116" t="s">
        <v>709</v>
      </c>
      <c r="C31" s="27" t="s">
        <v>710</v>
      </c>
      <c r="D31" s="56" t="s">
        <v>199</v>
      </c>
    </row>
    <row r="32" customFormat="false" ht="19.5" hidden="false" customHeight="true" outlineLevel="0" collapsed="false">
      <c r="B32" s="116" t="s">
        <v>711</v>
      </c>
      <c r="C32" s="27" t="s">
        <v>712</v>
      </c>
      <c r="D32" s="58" t="s">
        <v>210</v>
      </c>
    </row>
    <row r="33" customFormat="false" ht="34.5" hidden="false" customHeight="true" outlineLevel="0" collapsed="false">
      <c r="B33" s="116" t="s">
        <v>713</v>
      </c>
      <c r="C33" s="27" t="s">
        <v>714</v>
      </c>
      <c r="D33" s="58" t="s">
        <v>210</v>
      </c>
    </row>
    <row r="34" customFormat="false" ht="19.5" hidden="false" customHeight="true" outlineLevel="0" collapsed="false">
      <c r="B34" s="116" t="s">
        <v>715</v>
      </c>
      <c r="C34" s="27" t="s">
        <v>716</v>
      </c>
      <c r="D34" s="58" t="s">
        <v>210</v>
      </c>
    </row>
    <row r="35" customFormat="false" ht="19.5" hidden="false" customHeight="true" outlineLevel="0" collapsed="false">
      <c r="B35" s="116" t="s">
        <v>717</v>
      </c>
      <c r="C35" s="27" t="s">
        <v>718</v>
      </c>
      <c r="D35" s="56" t="s">
        <v>199</v>
      </c>
    </row>
    <row r="36" customFormat="false" ht="19.5" hidden="false" customHeight="true" outlineLevel="0" collapsed="false">
      <c r="B36" s="116" t="s">
        <v>719</v>
      </c>
      <c r="C36" s="30" t="s">
        <v>720</v>
      </c>
      <c r="D36" s="57" t="s">
        <v>206</v>
      </c>
    </row>
  </sheetData>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2: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 min="2" style="0" width="8"/>
    <col collapsed="false" customWidth="true" hidden="false" outlineLevel="0" max="4" min="4" style="0" width="10"/>
    <col collapsed="false" customWidth="true" hidden="false" outlineLevel="0" max="5" min="5" style="0" width="11"/>
    <col collapsed="false" customWidth="true" hidden="false" outlineLevel="0" max="6" min="6" style="0" width="62"/>
    <col collapsed="false" customWidth="true" hidden="false" outlineLevel="0" max="7" min="7" style="0" width="20"/>
  </cols>
  <sheetData>
    <row r="2" customFormat="false" ht="20.85" hidden="false" customHeight="false" outlineLevel="0" collapsed="false">
      <c r="B2" s="1" t="s">
        <v>721</v>
      </c>
    </row>
    <row r="3" customFormat="false" ht="15" hidden="false" customHeight="false" outlineLevel="0" collapsed="false">
      <c r="B3" s="115" t="s">
        <v>722</v>
      </c>
    </row>
    <row r="5" customFormat="false" ht="21.75" hidden="false" customHeight="true" outlineLevel="0" collapsed="false">
      <c r="B5" s="10" t="s">
        <v>723</v>
      </c>
      <c r="C5" s="10" t="s">
        <v>625</v>
      </c>
      <c r="D5" s="9" t="s">
        <v>724</v>
      </c>
      <c r="E5" s="10" t="s">
        <v>725</v>
      </c>
      <c r="F5" s="10" t="s">
        <v>726</v>
      </c>
      <c r="G5" s="10" t="s">
        <v>727</v>
      </c>
    </row>
    <row r="6" customFormat="false" ht="19.5" hidden="false" customHeight="true" outlineLevel="0" collapsed="false">
      <c r="B6" s="117" t="s">
        <v>728</v>
      </c>
      <c r="C6" s="57" t="s">
        <v>206</v>
      </c>
      <c r="D6" s="14" t="n">
        <v>1</v>
      </c>
      <c r="E6" s="14" t="s">
        <v>729</v>
      </c>
      <c r="F6" s="30" t="s">
        <v>730</v>
      </c>
      <c r="G6" s="14" t="s">
        <v>731</v>
      </c>
    </row>
    <row r="7" customFormat="false" ht="19.5" hidden="false" customHeight="true" outlineLevel="0" collapsed="false">
      <c r="B7" s="117" t="s">
        <v>732</v>
      </c>
      <c r="C7" s="57" t="s">
        <v>206</v>
      </c>
      <c r="D7" s="14" t="n">
        <v>1</v>
      </c>
      <c r="E7" s="14" t="s">
        <v>729</v>
      </c>
      <c r="F7" s="27" t="s">
        <v>733</v>
      </c>
      <c r="G7" s="14" t="s">
        <v>734</v>
      </c>
    </row>
    <row r="8" customFormat="false" ht="19.5" hidden="false" customHeight="true" outlineLevel="0" collapsed="false">
      <c r="B8" s="117" t="s">
        <v>735</v>
      </c>
      <c r="C8" s="57" t="s">
        <v>206</v>
      </c>
      <c r="D8" s="14" t="n">
        <v>1</v>
      </c>
      <c r="E8" s="14" t="s">
        <v>729</v>
      </c>
      <c r="F8" s="27" t="s">
        <v>736</v>
      </c>
      <c r="G8" s="14" t="s">
        <v>737</v>
      </c>
    </row>
    <row r="9" customFormat="false" ht="19.5" hidden="false" customHeight="true" outlineLevel="0" collapsed="false">
      <c r="B9" s="117" t="s">
        <v>130</v>
      </c>
      <c r="C9" s="57" t="s">
        <v>206</v>
      </c>
      <c r="D9" s="14" t="n">
        <v>1</v>
      </c>
      <c r="E9" s="14" t="s">
        <v>729</v>
      </c>
      <c r="F9" s="27" t="s">
        <v>738</v>
      </c>
      <c r="G9" s="14" t="s">
        <v>739</v>
      </c>
    </row>
    <row r="10" customFormat="false" ht="19.5" hidden="false" customHeight="true" outlineLevel="0" collapsed="false">
      <c r="B10" s="117" t="s">
        <v>740</v>
      </c>
      <c r="C10" s="57" t="s">
        <v>206</v>
      </c>
      <c r="D10" s="14" t="n">
        <v>1</v>
      </c>
      <c r="E10" s="14" t="s">
        <v>729</v>
      </c>
      <c r="F10" s="27" t="s">
        <v>741</v>
      </c>
      <c r="G10" s="14" t="s">
        <v>742</v>
      </c>
    </row>
    <row r="11" customFormat="false" ht="19.5" hidden="false" customHeight="true" outlineLevel="0" collapsed="false">
      <c r="B11" s="117" t="s">
        <v>743</v>
      </c>
      <c r="C11" s="57" t="s">
        <v>206</v>
      </c>
      <c r="D11" s="14" t="n">
        <v>1</v>
      </c>
      <c r="E11" s="14" t="s">
        <v>729</v>
      </c>
      <c r="F11" s="30" t="s">
        <v>744</v>
      </c>
      <c r="G11" s="14" t="s">
        <v>745</v>
      </c>
    </row>
    <row r="12" customFormat="false" ht="19.5" hidden="false" customHeight="true" outlineLevel="0" collapsed="false">
      <c r="B12" s="117" t="s">
        <v>746</v>
      </c>
      <c r="C12" s="57" t="s">
        <v>206</v>
      </c>
      <c r="D12" s="14" t="n">
        <v>2</v>
      </c>
      <c r="E12" s="14" t="s">
        <v>747</v>
      </c>
      <c r="F12" s="30" t="s">
        <v>748</v>
      </c>
      <c r="G12" s="14" t="s">
        <v>749</v>
      </c>
    </row>
    <row r="13" customFormat="false" ht="19.5" hidden="false" customHeight="true" outlineLevel="0" collapsed="false">
      <c r="B13" s="117" t="s">
        <v>750</v>
      </c>
      <c r="C13" s="57" t="s">
        <v>206</v>
      </c>
      <c r="D13" s="14" t="n">
        <v>2</v>
      </c>
      <c r="E13" s="14" t="s">
        <v>747</v>
      </c>
      <c r="F13" s="30" t="s">
        <v>751</v>
      </c>
      <c r="G13" s="14" t="s">
        <v>752</v>
      </c>
    </row>
    <row r="14" customFormat="false" ht="19.5" hidden="false" customHeight="true" outlineLevel="0" collapsed="false">
      <c r="B14" s="117" t="s">
        <v>753</v>
      </c>
      <c r="C14" s="57" t="s">
        <v>206</v>
      </c>
      <c r="D14" s="14" t="n">
        <v>2</v>
      </c>
      <c r="E14" s="14" t="s">
        <v>747</v>
      </c>
      <c r="F14" s="30" t="s">
        <v>754</v>
      </c>
      <c r="G14" s="14" t="s">
        <v>755</v>
      </c>
    </row>
    <row r="15" customFormat="false" ht="19.5" hidden="false" customHeight="true" outlineLevel="0" collapsed="false">
      <c r="B15" s="117" t="s">
        <v>756</v>
      </c>
      <c r="C15" s="57" t="s">
        <v>206</v>
      </c>
      <c r="D15" s="14" t="n">
        <v>2</v>
      </c>
      <c r="E15" s="14" t="s">
        <v>747</v>
      </c>
      <c r="F15" s="30" t="s">
        <v>757</v>
      </c>
      <c r="G15" s="14" t="s">
        <v>758</v>
      </c>
    </row>
    <row r="16" customFormat="false" ht="19.5" hidden="false" customHeight="true" outlineLevel="0" collapsed="false">
      <c r="B16" s="117" t="s">
        <v>759</v>
      </c>
      <c r="C16" s="57" t="s">
        <v>206</v>
      </c>
      <c r="D16" s="14" t="n">
        <v>2</v>
      </c>
      <c r="E16" s="14" t="s">
        <v>747</v>
      </c>
      <c r="F16" s="30" t="s">
        <v>760</v>
      </c>
      <c r="G16" s="14" t="s">
        <v>761</v>
      </c>
    </row>
    <row r="17" customFormat="false" ht="19.5" hidden="false" customHeight="true" outlineLevel="0" collapsed="false">
      <c r="B17" s="117" t="s">
        <v>762</v>
      </c>
      <c r="C17" s="57" t="s">
        <v>206</v>
      </c>
      <c r="D17" s="14" t="n">
        <v>3</v>
      </c>
      <c r="E17" s="14" t="s">
        <v>763</v>
      </c>
      <c r="F17" s="30" t="s">
        <v>764</v>
      </c>
      <c r="G17" s="14" t="s">
        <v>765</v>
      </c>
    </row>
    <row r="18" customFormat="false" ht="19.5" hidden="false" customHeight="true" outlineLevel="0" collapsed="false">
      <c r="B18" s="117" t="s">
        <v>766</v>
      </c>
      <c r="C18" s="57" t="s">
        <v>206</v>
      </c>
      <c r="D18" s="14" t="n">
        <v>3</v>
      </c>
      <c r="E18" s="14" t="s">
        <v>763</v>
      </c>
      <c r="F18" s="30" t="s">
        <v>767</v>
      </c>
      <c r="G18" s="14" t="s">
        <v>768</v>
      </c>
    </row>
    <row r="19" customFormat="false" ht="19.5" hidden="false" customHeight="true" outlineLevel="0" collapsed="false">
      <c r="B19" s="117" t="s">
        <v>769</v>
      </c>
      <c r="C19" s="57" t="s">
        <v>206</v>
      </c>
      <c r="D19" s="14" t="n">
        <v>3</v>
      </c>
      <c r="E19" s="14" t="s">
        <v>763</v>
      </c>
      <c r="F19" s="30" t="s">
        <v>770</v>
      </c>
      <c r="G19" s="14" t="s">
        <v>771</v>
      </c>
    </row>
    <row r="20" customFormat="false" ht="19.5" hidden="false" customHeight="true" outlineLevel="0" collapsed="false">
      <c r="B20" s="117" t="s">
        <v>772</v>
      </c>
      <c r="C20" s="57" t="s">
        <v>206</v>
      </c>
      <c r="D20" s="14" t="n">
        <v>3</v>
      </c>
      <c r="E20" s="14" t="s">
        <v>763</v>
      </c>
      <c r="F20" s="30" t="s">
        <v>773</v>
      </c>
      <c r="G20" s="14" t="s">
        <v>774</v>
      </c>
    </row>
    <row r="21" customFormat="false" ht="19.5" hidden="false" customHeight="true" outlineLevel="0" collapsed="false">
      <c r="B21" s="117" t="s">
        <v>775</v>
      </c>
      <c r="C21" s="57" t="s">
        <v>206</v>
      </c>
      <c r="D21" s="14" t="n">
        <v>3</v>
      </c>
      <c r="E21" s="14" t="s">
        <v>763</v>
      </c>
      <c r="F21" s="27" t="s">
        <v>776</v>
      </c>
      <c r="G21" s="14" t="s">
        <v>777</v>
      </c>
    </row>
    <row r="22" customFormat="false" ht="19.5" hidden="false" customHeight="true" outlineLevel="0" collapsed="false">
      <c r="B22" s="117" t="s">
        <v>778</v>
      </c>
      <c r="C22" s="57" t="s">
        <v>206</v>
      </c>
      <c r="D22" s="14" t="n">
        <v>3</v>
      </c>
      <c r="E22" s="14" t="s">
        <v>763</v>
      </c>
      <c r="F22" s="27" t="s">
        <v>779</v>
      </c>
      <c r="G22" s="14" t="s">
        <v>780</v>
      </c>
    </row>
    <row r="23" customFormat="false" ht="19.5" hidden="false" customHeight="true" outlineLevel="0" collapsed="false">
      <c r="B23" s="117" t="s">
        <v>781</v>
      </c>
      <c r="C23" s="57" t="s">
        <v>206</v>
      </c>
      <c r="D23" s="14" t="n">
        <v>4</v>
      </c>
      <c r="E23" s="14" t="s">
        <v>782</v>
      </c>
      <c r="F23" s="30" t="s">
        <v>783</v>
      </c>
      <c r="G23" s="14" t="s">
        <v>784</v>
      </c>
    </row>
    <row r="24" customFormat="false" ht="19.5" hidden="false" customHeight="true" outlineLevel="0" collapsed="false">
      <c r="B24" s="117" t="s">
        <v>785</v>
      </c>
      <c r="C24" s="58" t="s">
        <v>210</v>
      </c>
      <c r="D24" s="14" t="n">
        <v>4</v>
      </c>
      <c r="E24" s="14" t="s">
        <v>782</v>
      </c>
      <c r="F24" s="30" t="s">
        <v>786</v>
      </c>
      <c r="G24" s="14" t="s">
        <v>731</v>
      </c>
    </row>
    <row r="25" customFormat="false" ht="19.5" hidden="false" customHeight="true" outlineLevel="0" collapsed="false">
      <c r="B25" s="117" t="s">
        <v>787</v>
      </c>
      <c r="C25" s="58" t="s">
        <v>210</v>
      </c>
      <c r="D25" s="14" t="n">
        <v>4</v>
      </c>
      <c r="E25" s="14" t="s">
        <v>782</v>
      </c>
      <c r="F25" s="27" t="s">
        <v>788</v>
      </c>
      <c r="G25" s="14" t="s">
        <v>789</v>
      </c>
    </row>
    <row r="26" customFormat="false" ht="19.5" hidden="false" customHeight="true" outlineLevel="0" collapsed="false">
      <c r="B26" s="117" t="s">
        <v>790</v>
      </c>
      <c r="C26" s="58" t="s">
        <v>210</v>
      </c>
      <c r="D26" s="14" t="n">
        <v>4</v>
      </c>
      <c r="E26" s="14" t="s">
        <v>782</v>
      </c>
      <c r="F26" s="27" t="s">
        <v>791</v>
      </c>
      <c r="G26" s="14" t="s">
        <v>792</v>
      </c>
    </row>
    <row r="27" customFormat="false" ht="19.5" hidden="false" customHeight="true" outlineLevel="0" collapsed="false">
      <c r="B27" s="117" t="s">
        <v>793</v>
      </c>
      <c r="C27" s="58" t="s">
        <v>210</v>
      </c>
      <c r="D27" s="14" t="n">
        <v>4</v>
      </c>
      <c r="E27" s="14" t="s">
        <v>782</v>
      </c>
      <c r="F27" s="27" t="s">
        <v>736</v>
      </c>
      <c r="G27" s="14" t="s">
        <v>737</v>
      </c>
    </row>
    <row r="28" customFormat="false" ht="19.5" hidden="false" customHeight="true" outlineLevel="0" collapsed="false">
      <c r="B28" s="117" t="s">
        <v>794</v>
      </c>
      <c r="C28" s="58" t="s">
        <v>210</v>
      </c>
      <c r="D28" s="14" t="n">
        <v>4</v>
      </c>
      <c r="E28" s="14" t="s">
        <v>782</v>
      </c>
      <c r="F28" s="27" t="s">
        <v>795</v>
      </c>
      <c r="G28" s="14" t="s">
        <v>796</v>
      </c>
    </row>
    <row r="29" customFormat="false" ht="19.5" hidden="false" customHeight="true" outlineLevel="0" collapsed="false">
      <c r="B29" s="117" t="s">
        <v>797</v>
      </c>
      <c r="C29" s="58" t="s">
        <v>210</v>
      </c>
      <c r="D29" s="14" t="n">
        <v>4</v>
      </c>
      <c r="E29" s="14" t="s">
        <v>782</v>
      </c>
      <c r="F29" s="27" t="s">
        <v>741</v>
      </c>
      <c r="G29" s="14" t="s">
        <v>742</v>
      </c>
    </row>
    <row r="30" customFormat="false" ht="19.5" hidden="false" customHeight="true" outlineLevel="0" collapsed="false">
      <c r="B30" s="117" t="s">
        <v>798</v>
      </c>
      <c r="C30" s="58" t="s">
        <v>210</v>
      </c>
      <c r="D30" s="14" t="n">
        <v>5</v>
      </c>
      <c r="E30" s="14" t="s">
        <v>799</v>
      </c>
      <c r="F30" s="30" t="s">
        <v>800</v>
      </c>
      <c r="G30" s="14" t="s">
        <v>801</v>
      </c>
    </row>
    <row r="31" customFormat="false" ht="19.5" hidden="false" customHeight="true" outlineLevel="0" collapsed="false">
      <c r="B31" s="117" t="s">
        <v>802</v>
      </c>
      <c r="C31" s="58" t="s">
        <v>210</v>
      </c>
      <c r="D31" s="14" t="n">
        <v>5</v>
      </c>
      <c r="E31" s="14" t="s">
        <v>799</v>
      </c>
      <c r="F31" s="30" t="s">
        <v>803</v>
      </c>
      <c r="G31" s="14" t="s">
        <v>749</v>
      </c>
    </row>
    <row r="32" customFormat="false" ht="19.5" hidden="false" customHeight="true" outlineLevel="0" collapsed="false">
      <c r="B32" s="117" t="s">
        <v>804</v>
      </c>
      <c r="C32" s="58" t="s">
        <v>210</v>
      </c>
      <c r="D32" s="14" t="n">
        <v>5</v>
      </c>
      <c r="E32" s="14" t="s">
        <v>799</v>
      </c>
      <c r="F32" s="30" t="s">
        <v>805</v>
      </c>
      <c r="G32" s="14" t="s">
        <v>752</v>
      </c>
    </row>
    <row r="33" customFormat="false" ht="19.5" hidden="false" customHeight="true" outlineLevel="0" collapsed="false">
      <c r="B33" s="117" t="s">
        <v>806</v>
      </c>
      <c r="C33" s="58" t="s">
        <v>210</v>
      </c>
      <c r="D33" s="14" t="n">
        <v>5</v>
      </c>
      <c r="E33" s="14" t="s">
        <v>799</v>
      </c>
      <c r="F33" s="30" t="s">
        <v>807</v>
      </c>
      <c r="G33" s="14" t="s">
        <v>755</v>
      </c>
    </row>
    <row r="34" customFormat="false" ht="19.5" hidden="false" customHeight="true" outlineLevel="0" collapsed="false">
      <c r="B34" s="117" t="s">
        <v>808</v>
      </c>
      <c r="C34" s="58" t="s">
        <v>210</v>
      </c>
      <c r="D34" s="14" t="n">
        <v>5</v>
      </c>
      <c r="E34" s="14" t="s">
        <v>799</v>
      </c>
      <c r="F34" s="30" t="s">
        <v>809</v>
      </c>
      <c r="G34" s="14" t="s">
        <v>758</v>
      </c>
    </row>
    <row r="35" customFormat="false" ht="19.5" hidden="false" customHeight="true" outlineLevel="0" collapsed="false">
      <c r="B35" s="117" t="s">
        <v>810</v>
      </c>
      <c r="C35" s="58" t="s">
        <v>210</v>
      </c>
      <c r="D35" s="14" t="n">
        <v>5</v>
      </c>
      <c r="E35" s="14" t="s">
        <v>799</v>
      </c>
      <c r="F35" s="30" t="s">
        <v>811</v>
      </c>
      <c r="G35" s="14" t="s">
        <v>761</v>
      </c>
    </row>
    <row r="36" customFormat="false" ht="19.5" hidden="false" customHeight="true" outlineLevel="0" collapsed="false">
      <c r="B36" s="117" t="s">
        <v>812</v>
      </c>
      <c r="C36" s="58" t="s">
        <v>210</v>
      </c>
      <c r="D36" s="14" t="n">
        <v>5</v>
      </c>
      <c r="E36" s="14" t="s">
        <v>799</v>
      </c>
      <c r="F36" s="30" t="s">
        <v>764</v>
      </c>
      <c r="G36" s="14" t="s">
        <v>765</v>
      </c>
    </row>
    <row r="37" customFormat="false" ht="19.5" hidden="false" customHeight="true" outlineLevel="0" collapsed="false">
      <c r="B37" s="117" t="s">
        <v>813</v>
      </c>
      <c r="C37" s="58" t="s">
        <v>210</v>
      </c>
      <c r="D37" s="14" t="n">
        <v>6</v>
      </c>
      <c r="E37" s="14" t="s">
        <v>814</v>
      </c>
      <c r="F37" s="30" t="s">
        <v>815</v>
      </c>
      <c r="G37" s="14" t="s">
        <v>768</v>
      </c>
    </row>
    <row r="38" customFormat="false" ht="19.5" hidden="false" customHeight="true" outlineLevel="0" collapsed="false">
      <c r="B38" s="117" t="s">
        <v>816</v>
      </c>
      <c r="C38" s="58" t="s">
        <v>210</v>
      </c>
      <c r="D38" s="14" t="n">
        <v>6</v>
      </c>
      <c r="E38" s="14" t="s">
        <v>814</v>
      </c>
      <c r="F38" s="30" t="s">
        <v>817</v>
      </c>
      <c r="G38" s="14" t="s">
        <v>771</v>
      </c>
    </row>
    <row r="39" customFormat="false" ht="19.5" hidden="false" customHeight="true" outlineLevel="0" collapsed="false">
      <c r="B39" s="117" t="s">
        <v>818</v>
      </c>
      <c r="C39" s="58" t="s">
        <v>210</v>
      </c>
      <c r="D39" s="14" t="n">
        <v>6</v>
      </c>
      <c r="E39" s="14" t="s">
        <v>814</v>
      </c>
      <c r="F39" s="30" t="s">
        <v>773</v>
      </c>
      <c r="G39" s="14" t="s">
        <v>819</v>
      </c>
    </row>
    <row r="40" customFormat="false" ht="19.5" hidden="false" customHeight="true" outlineLevel="0" collapsed="false">
      <c r="B40" s="117" t="s">
        <v>820</v>
      </c>
      <c r="C40" s="58" t="s">
        <v>210</v>
      </c>
      <c r="D40" s="14" t="n">
        <v>6</v>
      </c>
      <c r="E40" s="14" t="s">
        <v>814</v>
      </c>
      <c r="F40" s="27" t="s">
        <v>821</v>
      </c>
      <c r="G40" s="14" t="s">
        <v>822</v>
      </c>
    </row>
    <row r="41" customFormat="false" ht="19.5" hidden="false" customHeight="true" outlineLevel="0" collapsed="false">
      <c r="B41" s="117" t="s">
        <v>823</v>
      </c>
      <c r="C41" s="57" t="s">
        <v>206</v>
      </c>
      <c r="D41" s="14" t="n">
        <v>7</v>
      </c>
      <c r="E41" s="14" t="s">
        <v>824</v>
      </c>
      <c r="F41" s="30" t="s">
        <v>825</v>
      </c>
      <c r="G41" s="14" t="s">
        <v>826</v>
      </c>
    </row>
    <row r="42" customFormat="false" ht="19.5" hidden="false" customHeight="true" outlineLevel="0" collapsed="false">
      <c r="B42" s="117" t="s">
        <v>827</v>
      </c>
      <c r="C42" s="57" t="s">
        <v>206</v>
      </c>
      <c r="D42" s="14" t="n">
        <v>7</v>
      </c>
      <c r="E42" s="14" t="s">
        <v>824</v>
      </c>
      <c r="F42" s="30" t="s">
        <v>828</v>
      </c>
      <c r="G42" s="14" t="s">
        <v>829</v>
      </c>
    </row>
    <row r="43" customFormat="false" ht="19.5" hidden="false" customHeight="true" outlineLevel="0" collapsed="false">
      <c r="B43" s="117" t="s">
        <v>830</v>
      </c>
      <c r="C43" s="57" t="s">
        <v>206</v>
      </c>
      <c r="D43" s="14" t="n">
        <v>8</v>
      </c>
      <c r="E43" s="14" t="s">
        <v>831</v>
      </c>
      <c r="F43" s="27" t="s">
        <v>832</v>
      </c>
      <c r="G43" s="14" t="s">
        <v>833</v>
      </c>
    </row>
    <row r="44" customFormat="false" ht="19.5" hidden="false" customHeight="true" outlineLevel="0" collapsed="false">
      <c r="B44" s="117" t="s">
        <v>834</v>
      </c>
      <c r="C44" s="57" t="s">
        <v>206</v>
      </c>
      <c r="D44" s="14" t="n">
        <v>8</v>
      </c>
      <c r="E44" s="14" t="s">
        <v>831</v>
      </c>
      <c r="F44" s="27" t="s">
        <v>835</v>
      </c>
      <c r="G44" s="14" t="s">
        <v>833</v>
      </c>
    </row>
    <row r="45" customFormat="false" ht="19.5" hidden="false" customHeight="true" outlineLevel="0" collapsed="false">
      <c r="B45" s="117" t="s">
        <v>836</v>
      </c>
      <c r="C45" s="57" t="s">
        <v>206</v>
      </c>
      <c r="D45" s="14" t="n">
        <v>8</v>
      </c>
      <c r="E45" s="14" t="s">
        <v>831</v>
      </c>
      <c r="F45" s="30" t="s">
        <v>837</v>
      </c>
      <c r="G45" s="14" t="s">
        <v>838</v>
      </c>
    </row>
    <row r="46" customFormat="false" ht="19.5" hidden="false" customHeight="true" outlineLevel="0" collapsed="false">
      <c r="B46" s="117" t="s">
        <v>839</v>
      </c>
      <c r="C46" s="57" t="s">
        <v>206</v>
      </c>
      <c r="D46" s="14" t="n">
        <v>9</v>
      </c>
      <c r="E46" s="14" t="s">
        <v>840</v>
      </c>
      <c r="F46" s="30" t="s">
        <v>841</v>
      </c>
      <c r="G46" s="14" t="s">
        <v>842</v>
      </c>
    </row>
    <row r="47" customFormat="false" ht="19.5" hidden="false" customHeight="true" outlineLevel="0" collapsed="false">
      <c r="B47" s="117" t="s">
        <v>843</v>
      </c>
      <c r="C47" s="58" t="s">
        <v>210</v>
      </c>
      <c r="D47" s="14" t="n">
        <v>10</v>
      </c>
      <c r="E47" s="14" t="s">
        <v>844</v>
      </c>
      <c r="F47" s="30" t="s">
        <v>845</v>
      </c>
      <c r="G47" s="14" t="s">
        <v>846</v>
      </c>
    </row>
    <row r="48" customFormat="false" ht="19.5" hidden="false" customHeight="true" outlineLevel="0" collapsed="false">
      <c r="B48" s="117" t="s">
        <v>847</v>
      </c>
      <c r="C48" s="58" t="s">
        <v>210</v>
      </c>
      <c r="D48" s="14" t="n">
        <v>10</v>
      </c>
      <c r="E48" s="14" t="s">
        <v>844</v>
      </c>
      <c r="F48" s="30" t="s">
        <v>848</v>
      </c>
      <c r="G48" s="14" t="s">
        <v>829</v>
      </c>
    </row>
    <row r="49" customFormat="false" ht="19.5" hidden="false" customHeight="true" outlineLevel="0" collapsed="false">
      <c r="B49" s="117" t="s">
        <v>849</v>
      </c>
      <c r="C49" s="58" t="s">
        <v>210</v>
      </c>
      <c r="D49" s="14" t="n">
        <v>10</v>
      </c>
      <c r="E49" s="14" t="s">
        <v>844</v>
      </c>
      <c r="F49" s="30" t="s">
        <v>850</v>
      </c>
      <c r="G49" s="14" t="s">
        <v>838</v>
      </c>
    </row>
    <row r="50" customFormat="false" ht="19.5" hidden="false" customHeight="true" outlineLevel="0" collapsed="false">
      <c r="B50" s="117" t="s">
        <v>851</v>
      </c>
      <c r="C50" s="58" t="s">
        <v>210</v>
      </c>
      <c r="D50" s="14" t="n">
        <v>11</v>
      </c>
      <c r="E50" s="14" t="s">
        <v>852</v>
      </c>
      <c r="F50" s="30" t="s">
        <v>853</v>
      </c>
      <c r="G50" s="14" t="s">
        <v>854</v>
      </c>
    </row>
    <row r="51" customFormat="false" ht="19.5" hidden="false" customHeight="true" outlineLevel="0" collapsed="false">
      <c r="B51" s="117" t="s">
        <v>855</v>
      </c>
      <c r="C51" s="58" t="s">
        <v>210</v>
      </c>
      <c r="D51" s="14" t="n">
        <v>12</v>
      </c>
      <c r="E51" s="14" t="s">
        <v>856</v>
      </c>
      <c r="F51" s="30" t="s">
        <v>857</v>
      </c>
      <c r="G51" s="14" t="s">
        <v>854</v>
      </c>
    </row>
    <row r="52" customFormat="false" ht="19.5" hidden="false" customHeight="true" outlineLevel="0" collapsed="false">
      <c r="B52" s="117" t="s">
        <v>858</v>
      </c>
      <c r="C52" s="56" t="s">
        <v>199</v>
      </c>
      <c r="D52" s="14" t="n">
        <v>12</v>
      </c>
      <c r="E52" s="14" t="s">
        <v>856</v>
      </c>
      <c r="F52" s="30" t="s">
        <v>859</v>
      </c>
      <c r="G52" s="14" t="s">
        <v>860</v>
      </c>
    </row>
    <row r="53" customFormat="false" ht="34.5" hidden="false" customHeight="true" outlineLevel="0" collapsed="false">
      <c r="B53" s="117" t="s">
        <v>861</v>
      </c>
      <c r="C53" s="56" t="s">
        <v>199</v>
      </c>
      <c r="D53" s="14" t="n">
        <v>12</v>
      </c>
      <c r="E53" s="14" t="s">
        <v>856</v>
      </c>
      <c r="F53" s="30" t="s">
        <v>862</v>
      </c>
      <c r="G53" s="14" t="s">
        <v>863</v>
      </c>
    </row>
    <row r="54" customFormat="false" ht="34.5" hidden="false" customHeight="true" outlineLevel="0" collapsed="false">
      <c r="B54" s="117" t="s">
        <v>864</v>
      </c>
      <c r="C54" s="56" t="s">
        <v>199</v>
      </c>
      <c r="D54" s="14" t="n">
        <v>13</v>
      </c>
      <c r="E54" s="14" t="s">
        <v>865</v>
      </c>
      <c r="F54" s="30" t="s">
        <v>866</v>
      </c>
      <c r="G54" s="14" t="s">
        <v>867</v>
      </c>
    </row>
    <row r="55" customFormat="false" ht="34.5" hidden="false" customHeight="true" outlineLevel="0" collapsed="false">
      <c r="B55" s="117" t="s">
        <v>868</v>
      </c>
      <c r="C55" s="57" t="s">
        <v>206</v>
      </c>
      <c r="D55" s="14" t="n">
        <v>13</v>
      </c>
      <c r="E55" s="14" t="s">
        <v>865</v>
      </c>
      <c r="F55" s="30" t="s">
        <v>869</v>
      </c>
      <c r="G55" s="14" t="s">
        <v>870</v>
      </c>
    </row>
    <row r="56" customFormat="false" ht="19.5" hidden="false" customHeight="true" outlineLevel="0" collapsed="false">
      <c r="B56" s="117" t="s">
        <v>871</v>
      </c>
      <c r="C56" s="57" t="s">
        <v>206</v>
      </c>
      <c r="D56" s="14" t="n">
        <v>14</v>
      </c>
      <c r="E56" s="14" t="s">
        <v>872</v>
      </c>
      <c r="F56" s="27" t="s">
        <v>873</v>
      </c>
      <c r="G56" s="14" t="s">
        <v>874</v>
      </c>
    </row>
    <row r="57" customFormat="false" ht="19.5" hidden="false" customHeight="true" outlineLevel="0" collapsed="false">
      <c r="B57" s="117" t="s">
        <v>875</v>
      </c>
      <c r="C57" s="57" t="s">
        <v>206</v>
      </c>
      <c r="D57" s="14" t="n">
        <v>15</v>
      </c>
      <c r="E57" s="14" t="s">
        <v>876</v>
      </c>
      <c r="F57" s="30" t="s">
        <v>877</v>
      </c>
      <c r="G57" s="14" t="s">
        <v>878</v>
      </c>
    </row>
    <row r="58" customFormat="false" ht="19.5" hidden="false" customHeight="true" outlineLevel="0" collapsed="false">
      <c r="B58" s="117" t="s">
        <v>879</v>
      </c>
      <c r="C58" s="57" t="s">
        <v>206</v>
      </c>
      <c r="D58" s="14" t="n">
        <v>15</v>
      </c>
      <c r="E58" s="14" t="s">
        <v>876</v>
      </c>
      <c r="F58" s="30" t="s">
        <v>880</v>
      </c>
      <c r="G58" s="14" t="s">
        <v>881</v>
      </c>
    </row>
    <row r="59" customFormat="false" ht="19.5" hidden="false" customHeight="true" outlineLevel="0" collapsed="false">
      <c r="B59" s="117" t="s">
        <v>882</v>
      </c>
      <c r="C59" s="58" t="s">
        <v>210</v>
      </c>
      <c r="D59" s="14" t="n">
        <v>15</v>
      </c>
      <c r="E59" s="14" t="s">
        <v>876</v>
      </c>
      <c r="F59" s="30" t="s">
        <v>883</v>
      </c>
      <c r="G59" s="14" t="s">
        <v>878</v>
      </c>
    </row>
    <row r="60" customFormat="false" ht="19.5" hidden="false" customHeight="true" outlineLevel="0" collapsed="false">
      <c r="B60" s="117" t="s">
        <v>884</v>
      </c>
      <c r="C60" s="58" t="s">
        <v>210</v>
      </c>
      <c r="D60" s="14" t="n">
        <v>15</v>
      </c>
      <c r="E60" s="14" t="s">
        <v>876</v>
      </c>
      <c r="F60" s="30" t="s">
        <v>885</v>
      </c>
      <c r="G60" s="14" t="s">
        <v>881</v>
      </c>
    </row>
  </sheetData>
  <autoFilter ref="B5:G60"/>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2026-09-24T08:01:50Z</dcterms:created>
  <dc:creator>openpyxl</dc:creator>
  <dc:description/>
  <dc:language>en-US</dc:language>
  <cp:lastModifiedBy/>
  <dcterms:modified xsi:type="dcterms:W3CDTF">2026-09-24T08:01:51Z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