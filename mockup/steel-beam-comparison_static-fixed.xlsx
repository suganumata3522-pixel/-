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113002\Desktop\"/>
    </mc:Choice>
  </mc:AlternateContent>
  <xr:revisionPtr revIDLastSave="0" documentId="13_ncr:1_{70425EB7-FE26-430F-A1A0-F8A5AB9C85F3}" xr6:coauthVersionLast="36" xr6:coauthVersionMax="36" xr10:uidLastSave="{00000000-0000-0000-0000-000000000000}"/>
  <bookViews>
    <workbookView xWindow="630" yWindow="-210" windowWidth="26955" windowHeight="13245" tabRatio="809" xr2:uid="{00000000-000D-0000-FFFF-FFFF00000000}"/>
  </bookViews>
  <sheets>
    <sheet name="入力＆結果" sheetId="3" r:id="rId1"/>
  </sheets>
  <definedNames>
    <definedName name="_xlnm._FilterDatabase" localSheetId="0" hidden="1">'入力＆結果'!$G$3:$J$9</definedName>
    <definedName name="_xlnm.Print_Area" localSheetId="0">'入力＆結果'!$A$1:$AE$42</definedName>
  </definedNames>
  <calcPr calcId="191029"/>
</workbook>
</file>

<file path=xl/sharedStrings.xml><?xml version="1.0" encoding="utf-8"?>
<sst xmlns="http://schemas.openxmlformats.org/spreadsheetml/2006/main" count="120" uniqueCount="60">
  <si>
    <t>400材</t>
    <rPh sb="3" eb="4">
      <t>ザイ</t>
    </rPh>
    <phoneticPr fontId="4"/>
  </si>
  <si>
    <t>SS400</t>
  </si>
  <si>
    <t>490材</t>
    <rPh sb="3" eb="4">
      <t>ザイ</t>
    </rPh>
    <phoneticPr fontId="4"/>
  </si>
  <si>
    <t>SM490A</t>
  </si>
  <si>
    <t>部材1</t>
  </si>
  <si>
    <t>スタッド径</t>
    <rPh sb="4" eb="5">
      <t>ケイ</t>
    </rPh>
    <phoneticPr fontId="3"/>
  </si>
  <si>
    <t>φ16</t>
  </si>
  <si>
    <t>スタッドピッチ</t>
  </si>
  <si>
    <t>両側</t>
  </si>
  <si>
    <t>検定比</t>
    <rPh sb="0" eb="2">
      <t>ケンテイ</t>
    </rPh>
    <rPh sb="2" eb="3">
      <t>ヒ</t>
    </rPh>
    <phoneticPr fontId="4"/>
  </si>
  <si>
    <t>たわみ制限A(床合成非考慮)</t>
    <rPh sb="3" eb="5">
      <t>セイゲン</t>
    </rPh>
    <phoneticPr fontId="4"/>
  </si>
  <si>
    <t>たわみ制限B(床合成考慮)</t>
    <rPh sb="3" eb="5">
      <t>セイゲン</t>
    </rPh>
    <phoneticPr fontId="4"/>
  </si>
  <si>
    <t>たわみ制限A or B、A and B</t>
    <rPh sb="3" eb="5">
      <t>セイゲン</t>
    </rPh>
    <phoneticPr fontId="4"/>
  </si>
  <si>
    <t>A or B</t>
  </si>
  <si>
    <t>部材</t>
    <rPh sb="0" eb="2">
      <t>ブザイ</t>
    </rPh>
    <phoneticPr fontId="4"/>
  </si>
  <si>
    <t>材種</t>
    <rPh sb="0" eb="1">
      <t>ザイ</t>
    </rPh>
    <rPh sb="1" eb="2">
      <t>シュ</t>
    </rPh>
    <phoneticPr fontId="4"/>
  </si>
  <si>
    <t>デッキ許容スパン</t>
    <rPh sb="3" eb="5">
      <t>キョヨウ</t>
    </rPh>
    <phoneticPr fontId="4"/>
  </si>
  <si>
    <t>ｎ:ヤング係数比</t>
    <rPh sb="5" eb="7">
      <t>ケイスウ</t>
    </rPh>
    <rPh sb="7" eb="8">
      <t>ヒ</t>
    </rPh>
    <phoneticPr fontId="3"/>
  </si>
  <si>
    <t>スタッド2列条件</t>
    <rPh sb="5" eb="6">
      <t>レツ</t>
    </rPh>
    <rPh sb="6" eb="8">
      <t>ジョウケン</t>
    </rPh>
    <phoneticPr fontId="4"/>
  </si>
  <si>
    <t>梁せい上限</t>
    <rPh sb="0" eb="1">
      <t>ハリ</t>
    </rPh>
    <rPh sb="3" eb="5">
      <t>ジョウゲン</t>
    </rPh>
    <phoneticPr fontId="3"/>
  </si>
  <si>
    <t>[mm]</t>
    <phoneticPr fontId="4"/>
  </si>
  <si>
    <t>鉄骨単価</t>
    <rPh sb="0" eb="2">
      <t>テッコツ</t>
    </rPh>
    <rPh sb="2" eb="4">
      <t>タンカ</t>
    </rPh>
    <phoneticPr fontId="4"/>
  </si>
  <si>
    <t>総金額</t>
    <rPh sb="0" eb="1">
      <t>ソウ</t>
    </rPh>
    <rPh sb="1" eb="3">
      <t>キンガク</t>
    </rPh>
    <phoneticPr fontId="4"/>
  </si>
  <si>
    <t>LL：積載荷重</t>
    <rPh sb="3" eb="5">
      <t>セキサイ</t>
    </rPh>
    <rPh sb="5" eb="7">
      <t>カジュウ</t>
    </rPh>
    <phoneticPr fontId="4"/>
  </si>
  <si>
    <t>DL：固定荷重　</t>
    <rPh sb="3" eb="5">
      <t>コテイ</t>
    </rPh>
    <rPh sb="5" eb="7">
      <t>カジュウ</t>
    </rPh>
    <phoneticPr fontId="4"/>
  </si>
  <si>
    <t>TL：固定＋積載</t>
    <rPh sb="3" eb="5">
      <t>コテイ</t>
    </rPh>
    <rPh sb="6" eb="8">
      <t>セキサイ</t>
    </rPh>
    <phoneticPr fontId="4"/>
  </si>
  <si>
    <t>外径H型鋼の使用可否</t>
    <rPh sb="0" eb="1">
      <t>ソト</t>
    </rPh>
    <rPh sb="1" eb="2">
      <t>ケイ</t>
    </rPh>
    <rPh sb="3" eb="4">
      <t>ガタ</t>
    </rPh>
    <rPh sb="4" eb="5">
      <t>コウ</t>
    </rPh>
    <rPh sb="6" eb="8">
      <t>シヨウ</t>
    </rPh>
    <rPh sb="8" eb="10">
      <t>カヒ</t>
    </rPh>
    <phoneticPr fontId="4"/>
  </si>
  <si>
    <t>Fc：コンクリート強度</t>
    <rPh sb="9" eb="11">
      <t>キョウド</t>
    </rPh>
    <phoneticPr fontId="4"/>
  </si>
  <si>
    <t>t：スラブ厚(山上コン厚)</t>
    <rPh sb="5" eb="6">
      <t>アツ</t>
    </rPh>
    <rPh sb="7" eb="9">
      <t>ヤマウエ</t>
    </rPh>
    <rPh sb="11" eb="12">
      <t>アツ</t>
    </rPh>
    <phoneticPr fontId="4"/>
  </si>
  <si>
    <t>ｈ：溝高さ</t>
    <rPh sb="2" eb="3">
      <t>ミゾ</t>
    </rPh>
    <rPh sb="3" eb="4">
      <t>タカ</t>
    </rPh>
    <phoneticPr fontId="4"/>
  </si>
  <si>
    <t>総鉄骨量</t>
    <rPh sb="0" eb="1">
      <t>ソウ</t>
    </rPh>
    <rPh sb="1" eb="3">
      <t>テッコツ</t>
    </rPh>
    <rPh sb="3" eb="4">
      <t>リョウ</t>
    </rPh>
    <phoneticPr fontId="4"/>
  </si>
  <si>
    <t>部 材 1</t>
    <rPh sb="0" eb="1">
      <t>ブ</t>
    </rPh>
    <rPh sb="2" eb="3">
      <t>ザイ</t>
    </rPh>
    <phoneticPr fontId="4"/>
  </si>
  <si>
    <t>たわみA</t>
    <phoneticPr fontId="4"/>
  </si>
  <si>
    <t>[mm]</t>
    <phoneticPr fontId="4"/>
  </si>
  <si>
    <t>変形角A</t>
    <phoneticPr fontId="4"/>
  </si>
  <si>
    <t>たわみB</t>
    <phoneticPr fontId="4"/>
  </si>
  <si>
    <t>変形角B</t>
    <phoneticPr fontId="4"/>
  </si>
  <si>
    <t>[円/m]</t>
    <phoneticPr fontId="4"/>
  </si>
  <si>
    <t>[t]</t>
    <phoneticPr fontId="4"/>
  </si>
  <si>
    <t>[円]</t>
    <phoneticPr fontId="4"/>
  </si>
  <si>
    <t>部 材 2</t>
    <rPh sb="0" eb="1">
      <t>ブ</t>
    </rPh>
    <rPh sb="2" eb="3">
      <t>ザイ</t>
    </rPh>
    <phoneticPr fontId="4"/>
  </si>
  <si>
    <t>部 材 3</t>
    <rPh sb="0" eb="1">
      <t>ブ</t>
    </rPh>
    <rPh sb="2" eb="3">
      <t>ザイ</t>
    </rPh>
    <phoneticPr fontId="4"/>
  </si>
  <si>
    <t>計 算 条 件</t>
    <rPh sb="0" eb="1">
      <t>ケイ</t>
    </rPh>
    <rPh sb="2" eb="3">
      <t>サン</t>
    </rPh>
    <rPh sb="4" eb="5">
      <t>ジョウ</t>
    </rPh>
    <rPh sb="6" eb="7">
      <t>ケン</t>
    </rPh>
    <phoneticPr fontId="4"/>
  </si>
  <si>
    <t>Lx</t>
    <phoneticPr fontId="4"/>
  </si>
  <si>
    <t>Ly</t>
    <phoneticPr fontId="4"/>
  </si>
  <si>
    <t>[N/㎟]</t>
    <phoneticPr fontId="4"/>
  </si>
  <si>
    <t>スラブ取付</t>
    <phoneticPr fontId="4"/>
  </si>
  <si>
    <t>部材2</t>
    <phoneticPr fontId="4"/>
  </si>
  <si>
    <t>部材3</t>
    <phoneticPr fontId="4"/>
  </si>
  <si>
    <t>荷 重 条 件</t>
    <rPh sb="0" eb="1">
      <t>ニ</t>
    </rPh>
    <rPh sb="2" eb="3">
      <t>ジュウ</t>
    </rPh>
    <rPh sb="4" eb="5">
      <t>ジョウ</t>
    </rPh>
    <rPh sb="6" eb="7">
      <t>ケン</t>
    </rPh>
    <phoneticPr fontId="4"/>
  </si>
  <si>
    <t>[N/㎡]</t>
    <phoneticPr fontId="4"/>
  </si>
  <si>
    <t>材 料 指 定</t>
    <rPh sb="0" eb="1">
      <t>ザイ</t>
    </rPh>
    <rPh sb="2" eb="3">
      <t>リョウ</t>
    </rPh>
    <rPh sb="4" eb="5">
      <t>ユビ</t>
    </rPh>
    <rPh sb="6" eb="7">
      <t>サダム</t>
    </rPh>
    <phoneticPr fontId="4"/>
  </si>
  <si>
    <t>部材1の490材使用可否</t>
    <rPh sb="0" eb="2">
      <t>ブザイ</t>
    </rPh>
    <rPh sb="7" eb="8">
      <t>ザイ</t>
    </rPh>
    <rPh sb="8" eb="10">
      <t>シヨウ</t>
    </rPh>
    <rPh sb="10" eb="12">
      <t>カヒ</t>
    </rPh>
    <phoneticPr fontId="4"/>
  </si>
  <si>
    <t>部材2の490材使用可否</t>
    <rPh sb="0" eb="2">
      <t>ブザイ</t>
    </rPh>
    <rPh sb="7" eb="8">
      <t>ザイ</t>
    </rPh>
    <rPh sb="8" eb="10">
      <t>シヨウ</t>
    </rPh>
    <rPh sb="10" eb="12">
      <t>カヒ</t>
    </rPh>
    <phoneticPr fontId="4"/>
  </si>
  <si>
    <t>部材3の490材使用可否</t>
    <rPh sb="0" eb="2">
      <t>ブザイ</t>
    </rPh>
    <rPh sb="7" eb="8">
      <t>ザイ</t>
    </rPh>
    <rPh sb="8" eb="10">
      <t>シヨウ</t>
    </rPh>
    <rPh sb="10" eb="12">
      <t>カヒ</t>
    </rPh>
    <phoneticPr fontId="4"/>
  </si>
  <si>
    <t>使用可</t>
  </si>
  <si>
    <t>L/500以下</t>
  </si>
  <si>
    <t>20mm以下</t>
  </si>
  <si>
    <t>L/700以下</t>
  </si>
  <si>
    <t>使用不可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</si>
</sst>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177" formatCode="0_ "/>
    <numFmt numFmtId="179" formatCode="0.0_ "/>
    <numFmt numFmtId="180" formatCode="&quot;L&quot;\≦0"/>
    <numFmt numFmtId="181" formatCode="0&quot; -&quot;"/>
    <numFmt numFmtId="182" formatCode="0\&gt;&quot;B&quot;"/>
    <numFmt numFmtId="183" formatCode="0.00&quot;以下&quot;"/>
    <numFmt numFmtId="184" formatCode="0.00_ "/>
    <numFmt numFmtId="185" formatCode="&quot;1/ &quot;00"/>
    <numFmt numFmtId="187" formatCode="0.00_);[Red]\(0.00\)"/>
    <numFmt numFmtId="188" formatCode="#,##0_ "/>
  </numFmts>
  <fonts count="3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4"/>
      <name val="ＭＳ ・団"/>
      <family val="1"/>
      <charset val="128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9"/>
      <color theme="0"/>
      <name val="Meiryo UI"/>
      <family val="3"/>
      <charset val="128"/>
    </font>
    <font>
      <sz val="8"/>
      <name val="Meiryo UI"/>
      <family val="3"/>
      <charset val="128"/>
    </font>
    <font>
      <b/>
      <sz val="9"/>
      <name val="Meiryo UI"/>
      <family val="3"/>
      <charset val="128"/>
    </font>
    <font>
      <b/>
      <i/>
      <sz val="9"/>
      <color theme="0"/>
      <name val="Meiryo UI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4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0" fillId="0" borderId="0" applyFill="0" applyBorder="0" applyAlignment="0"/>
    <xf numFmtId="0" fontId="11" fillId="0" borderId="0">
      <alignment horizontal="left"/>
    </xf>
    <xf numFmtId="0" fontId="12" fillId="0" borderId="10" applyNumberFormat="0" applyAlignment="0" applyProtection="0">
      <alignment horizontal="left" vertical="center"/>
    </xf>
    <xf numFmtId="0" fontId="12" fillId="0" borderId="11">
      <alignment horizontal="left" vertical="center"/>
    </xf>
    <xf numFmtId="0" fontId="13" fillId="0" borderId="0"/>
    <xf numFmtId="4" fontId="11" fillId="0" borderId="0">
      <alignment horizontal="right"/>
    </xf>
    <xf numFmtId="4" fontId="14" fillId="0" borderId="0">
      <alignment horizontal="right"/>
    </xf>
    <xf numFmtId="0" fontId="15" fillId="0" borderId="0">
      <alignment horizontal="left"/>
    </xf>
    <xf numFmtId="0" fontId="16" fillId="0" borderId="0">
      <alignment horizont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6" fontId="3" fillId="0" borderId="0" applyFont="0" applyFill="0" applyBorder="0" applyAlignment="0" applyProtection="0"/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" fillId="0" borderId="0"/>
    <xf numFmtId="0" fontId="3" fillId="0" borderId="0"/>
    <xf numFmtId="0" fontId="9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17" fillId="0" borderId="0"/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2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84" fontId="5" fillId="0" borderId="0" xfId="0" applyNumberFormat="1" applyFont="1" applyFill="1" applyBorder="1" applyAlignment="1">
      <alignment vertical="center"/>
    </xf>
    <xf numFmtId="179" fontId="5" fillId="0" borderId="0" xfId="0" applyNumberFormat="1" applyFont="1" applyFill="1" applyBorder="1" applyAlignment="1">
      <alignment vertical="center"/>
    </xf>
    <xf numFmtId="185" fontId="5" fillId="0" borderId="0" xfId="0" applyNumberFormat="1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87" fontId="5" fillId="0" borderId="0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Fill="1" applyBorder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 wrapText="1"/>
    </xf>
    <xf numFmtId="0" fontId="35" fillId="0" borderId="13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 wrapText="1"/>
    </xf>
    <xf numFmtId="0" fontId="35" fillId="0" borderId="16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/>
    </xf>
    <xf numFmtId="0" fontId="35" fillId="0" borderId="13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181" fontId="5" fillId="0" borderId="0" xfId="0" applyNumberFormat="1" applyFont="1" applyFill="1" applyBorder="1" applyAlignment="1">
      <alignment vertical="center"/>
    </xf>
    <xf numFmtId="181" fontId="35" fillId="0" borderId="14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vertical="center"/>
    </xf>
    <xf numFmtId="182" fontId="5" fillId="0" borderId="0" xfId="0" applyNumberFormat="1" applyFont="1" applyFill="1" applyBorder="1" applyAlignment="1">
      <alignment horizontal="center" vertical="center"/>
    </xf>
    <xf numFmtId="181" fontId="5" fillId="0" borderId="15" xfId="0" applyNumberFormat="1" applyFont="1" applyFill="1" applyBorder="1" applyAlignment="1">
      <alignment vertical="center"/>
    </xf>
    <xf numFmtId="181" fontId="35" fillId="0" borderId="16" xfId="0" applyNumberFormat="1" applyFont="1" applyFill="1" applyBorder="1" applyAlignment="1">
      <alignment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/>
    </xf>
    <xf numFmtId="183" fontId="5" fillId="0" borderId="12" xfId="0" applyNumberFormat="1" applyFont="1" applyFill="1" applyBorder="1" applyAlignment="1">
      <alignment horizontal="center" vertical="center"/>
    </xf>
    <xf numFmtId="0" fontId="5" fillId="0" borderId="15" xfId="0" applyFont="1" applyFill="1" applyBorder="1">
      <alignment vertical="center"/>
    </xf>
    <xf numFmtId="0" fontId="35" fillId="0" borderId="1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188" fontId="36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187" fontId="36" fillId="0" borderId="11" xfId="0" applyNumberFormat="1" applyFont="1" applyFill="1" applyBorder="1" applyAlignment="1">
      <alignment horizontal="center" vertical="center"/>
    </xf>
    <xf numFmtId="188" fontId="36" fillId="0" borderId="11" xfId="0" applyNumberFormat="1" applyFont="1" applyFill="1" applyBorder="1" applyAlignment="1">
      <alignment horizontal="center" vertical="center"/>
    </xf>
    <xf numFmtId="187" fontId="36" fillId="0" borderId="24" xfId="0" applyNumberFormat="1" applyFont="1" applyFill="1" applyBorder="1" applyAlignment="1">
      <alignment horizontal="center" vertical="center"/>
    </xf>
    <xf numFmtId="188" fontId="36" fillId="0" borderId="24" xfId="0" applyNumberFormat="1" applyFont="1" applyFill="1" applyBorder="1" applyAlignment="1">
      <alignment horizontal="center" vertical="center"/>
    </xf>
    <xf numFmtId="187" fontId="36" fillId="0" borderId="0" xfId="0" applyNumberFormat="1" applyFont="1" applyFill="1" applyBorder="1" applyAlignment="1">
      <alignment horizontal="center" vertical="center"/>
    </xf>
    <xf numFmtId="185" fontId="5" fillId="0" borderId="18" xfId="0" applyNumberFormat="1" applyFont="1" applyFill="1" applyBorder="1" applyAlignment="1">
      <alignment horizontal="center" vertical="center"/>
    </xf>
    <xf numFmtId="185" fontId="5" fillId="0" borderId="12" xfId="0" applyNumberFormat="1" applyFont="1" applyFill="1" applyBorder="1" applyAlignment="1">
      <alignment horizontal="center" vertical="center"/>
    </xf>
    <xf numFmtId="185" fontId="5" fillId="0" borderId="13" xfId="0" applyNumberFormat="1" applyFont="1" applyFill="1" applyBorder="1" applyAlignment="1">
      <alignment horizontal="center" vertical="center"/>
    </xf>
    <xf numFmtId="188" fontId="5" fillId="0" borderId="19" xfId="0" applyNumberFormat="1" applyFont="1" applyFill="1" applyBorder="1" applyAlignment="1">
      <alignment horizontal="center" vertical="center"/>
    </xf>
    <xf numFmtId="188" fontId="5" fillId="0" borderId="0" xfId="0" applyNumberFormat="1" applyFont="1" applyFill="1" applyBorder="1" applyAlignment="1">
      <alignment horizontal="center" vertical="center"/>
    </xf>
    <xf numFmtId="188" fontId="5" fillId="0" borderId="14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14" xfId="0" applyFont="1" applyFill="1" applyBorder="1" applyAlignment="1">
      <alignment horizontal="center" vertical="center" wrapText="1"/>
    </xf>
    <xf numFmtId="185" fontId="5" fillId="0" borderId="19" xfId="0" applyNumberFormat="1" applyFont="1" applyFill="1" applyBorder="1" applyAlignment="1">
      <alignment horizontal="center" vertical="center"/>
    </xf>
    <xf numFmtId="185" fontId="5" fillId="0" borderId="0" xfId="0" applyNumberFormat="1" applyFont="1" applyFill="1" applyBorder="1" applyAlignment="1">
      <alignment horizontal="center" vertical="center"/>
    </xf>
    <xf numFmtId="185" fontId="5" fillId="0" borderId="14" xfId="0" applyNumberFormat="1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center" vertical="center" wrapText="1"/>
    </xf>
    <xf numFmtId="179" fontId="5" fillId="0" borderId="20" xfId="0" applyNumberFormat="1" applyFont="1" applyFill="1" applyBorder="1" applyAlignment="1">
      <alignment horizontal="center" vertical="center"/>
    </xf>
    <xf numFmtId="179" fontId="5" fillId="0" borderId="15" xfId="0" applyNumberFormat="1" applyFont="1" applyFill="1" applyBorder="1" applyAlignment="1">
      <alignment horizontal="center" vertical="center"/>
    </xf>
    <xf numFmtId="179" fontId="5" fillId="0" borderId="1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79" fontId="5" fillId="0" borderId="19" xfId="0" applyNumberFormat="1" applyFont="1" applyFill="1" applyBorder="1" applyAlignment="1">
      <alignment horizontal="center" vertical="center"/>
    </xf>
    <xf numFmtId="179" fontId="5" fillId="0" borderId="0" xfId="0" applyNumberFormat="1" applyFont="1" applyFill="1" applyBorder="1" applyAlignment="1">
      <alignment horizontal="center" vertical="center"/>
    </xf>
    <xf numFmtId="179" fontId="5" fillId="0" borderId="14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84" fontId="5" fillId="0" borderId="18" xfId="0" applyNumberFormat="1" applyFont="1" applyFill="1" applyBorder="1" applyAlignment="1">
      <alignment horizontal="center" vertical="center"/>
    </xf>
    <xf numFmtId="184" fontId="5" fillId="0" borderId="12" xfId="0" applyNumberFormat="1" applyFont="1" applyFill="1" applyBorder="1" applyAlignment="1">
      <alignment horizontal="center" vertical="center"/>
    </xf>
    <xf numFmtId="184" fontId="5" fillId="0" borderId="13" xfId="0" applyNumberFormat="1" applyFont="1" applyFill="1" applyBorder="1" applyAlignment="1">
      <alignment horizontal="center" vertical="center"/>
    </xf>
    <xf numFmtId="0" fontId="34" fillId="34" borderId="12" xfId="0" applyFont="1" applyFill="1" applyBorder="1" applyAlignment="1">
      <alignment horizontal="center" vertical="center"/>
    </xf>
    <xf numFmtId="0" fontId="34" fillId="34" borderId="13" xfId="0" applyFont="1" applyFill="1" applyBorder="1" applyAlignment="1">
      <alignment horizontal="center" vertical="center"/>
    </xf>
    <xf numFmtId="0" fontId="34" fillId="34" borderId="1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180" fontId="5" fillId="0" borderId="20" xfId="0" applyNumberFormat="1" applyFont="1" applyFill="1" applyBorder="1" applyAlignment="1">
      <alignment horizontal="center" vertical="center"/>
    </xf>
    <xf numFmtId="180" fontId="5" fillId="0" borderId="15" xfId="0" applyNumberFormat="1" applyFont="1" applyFill="1" applyBorder="1" applyAlignment="1">
      <alignment horizontal="center" vertical="center"/>
    </xf>
    <xf numFmtId="180" fontId="5" fillId="0" borderId="16" xfId="0" applyNumberFormat="1" applyFont="1" applyFill="1" applyBorder="1" applyAlignment="1">
      <alignment horizontal="center" vertical="center"/>
    </xf>
    <xf numFmtId="184" fontId="5" fillId="0" borderId="19" xfId="0" applyNumberFormat="1" applyFont="1" applyFill="1" applyBorder="1" applyAlignment="1">
      <alignment horizontal="center" vertical="center"/>
    </xf>
    <xf numFmtId="184" fontId="5" fillId="0" borderId="0" xfId="0" applyNumberFormat="1" applyFont="1" applyFill="1" applyBorder="1" applyAlignment="1">
      <alignment horizontal="center" vertical="center"/>
    </xf>
    <xf numFmtId="184" fontId="5" fillId="0" borderId="14" xfId="0" applyNumberFormat="1" applyFont="1" applyFill="1" applyBorder="1" applyAlignment="1">
      <alignment horizontal="center" vertical="center"/>
    </xf>
    <xf numFmtId="188" fontId="5" fillId="0" borderId="18" xfId="0" applyNumberFormat="1" applyFont="1" applyFill="1" applyBorder="1" applyAlignment="1">
      <alignment horizontal="center" vertical="center"/>
    </xf>
    <xf numFmtId="188" fontId="5" fillId="0" borderId="12" xfId="0" applyNumberFormat="1" applyFont="1" applyFill="1" applyBorder="1" applyAlignment="1">
      <alignment horizontal="center" vertical="center"/>
    </xf>
    <xf numFmtId="188" fontId="5" fillId="0" borderId="13" xfId="0" applyNumberFormat="1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/>
    </xf>
    <xf numFmtId="0" fontId="34" fillId="33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88" fontId="5" fillId="0" borderId="24" xfId="0" applyNumberFormat="1" applyFont="1" applyFill="1" applyBorder="1" applyAlignment="1">
      <alignment horizontal="center" vertical="center"/>
    </xf>
    <xf numFmtId="188" fontId="5" fillId="0" borderId="11" xfId="0" applyNumberFormat="1" applyFont="1" applyFill="1" applyBorder="1" applyAlignment="1">
      <alignment horizontal="center" vertical="center"/>
    </xf>
    <xf numFmtId="0" fontId="37" fillId="34" borderId="12" xfId="0" applyFont="1" applyFill="1" applyBorder="1" applyAlignment="1">
      <alignment horizontal="center" vertical="center"/>
    </xf>
    <xf numFmtId="0" fontId="37" fillId="34" borderId="13" xfId="0" applyFont="1" applyFill="1" applyBorder="1" applyAlignment="1">
      <alignment horizontal="center" vertical="center"/>
    </xf>
    <xf numFmtId="180" fontId="5" fillId="0" borderId="19" xfId="0" applyNumberFormat="1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180" fontId="5" fillId="0" borderId="14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</cellXfs>
  <cellStyles count="114">
    <cellStyle name="20% - アクセント 1 2" xfId="8" xr:uid="{00000000-0005-0000-0000-000000000000}"/>
    <cellStyle name="20% - アクセント 1 3" xfId="9" xr:uid="{00000000-0005-0000-0000-000001000000}"/>
    <cellStyle name="20% - アクセント 2 2" xfId="10" xr:uid="{00000000-0005-0000-0000-000002000000}"/>
    <cellStyle name="20% - アクセント 2 3" xfId="11" xr:uid="{00000000-0005-0000-0000-000003000000}"/>
    <cellStyle name="20% - アクセント 3 2" xfId="12" xr:uid="{00000000-0005-0000-0000-000004000000}"/>
    <cellStyle name="20% - アクセント 3 3" xfId="13" xr:uid="{00000000-0005-0000-0000-000005000000}"/>
    <cellStyle name="20% - アクセント 4 2" xfId="14" xr:uid="{00000000-0005-0000-0000-000006000000}"/>
    <cellStyle name="20% - アクセント 4 3" xfId="15" xr:uid="{00000000-0005-0000-0000-000007000000}"/>
    <cellStyle name="20% - アクセント 5 2" xfId="16" xr:uid="{00000000-0005-0000-0000-000008000000}"/>
    <cellStyle name="20% - アクセント 5 3" xfId="17" xr:uid="{00000000-0005-0000-0000-000009000000}"/>
    <cellStyle name="20% - アクセント 6 2" xfId="18" xr:uid="{00000000-0005-0000-0000-00000A000000}"/>
    <cellStyle name="20% - アクセント 6 3" xfId="19" xr:uid="{00000000-0005-0000-0000-00000B000000}"/>
    <cellStyle name="40% - アクセント 1 2" xfId="20" xr:uid="{00000000-0005-0000-0000-00000C000000}"/>
    <cellStyle name="40% - アクセント 1 3" xfId="21" xr:uid="{00000000-0005-0000-0000-00000D000000}"/>
    <cellStyle name="40% - アクセント 2 2" xfId="22" xr:uid="{00000000-0005-0000-0000-00000E000000}"/>
    <cellStyle name="40% - アクセント 2 3" xfId="23" xr:uid="{00000000-0005-0000-0000-00000F000000}"/>
    <cellStyle name="40% - アクセント 3 2" xfId="24" xr:uid="{00000000-0005-0000-0000-000010000000}"/>
    <cellStyle name="40% - アクセント 3 3" xfId="25" xr:uid="{00000000-0005-0000-0000-000011000000}"/>
    <cellStyle name="40% - アクセント 4 2" xfId="26" xr:uid="{00000000-0005-0000-0000-000012000000}"/>
    <cellStyle name="40% - アクセント 4 3" xfId="27" xr:uid="{00000000-0005-0000-0000-000013000000}"/>
    <cellStyle name="40% - アクセント 5 2" xfId="28" xr:uid="{00000000-0005-0000-0000-000014000000}"/>
    <cellStyle name="40% - アクセント 5 3" xfId="29" xr:uid="{00000000-0005-0000-0000-000015000000}"/>
    <cellStyle name="40% - アクセント 6 2" xfId="30" xr:uid="{00000000-0005-0000-0000-000016000000}"/>
    <cellStyle name="40% - アクセント 6 3" xfId="31" xr:uid="{00000000-0005-0000-0000-000017000000}"/>
    <cellStyle name="60% - アクセント 1 2" xfId="32" xr:uid="{00000000-0005-0000-0000-000018000000}"/>
    <cellStyle name="60% - アクセント 1 3" xfId="33" xr:uid="{00000000-0005-0000-0000-000019000000}"/>
    <cellStyle name="60% - アクセント 2 2" xfId="34" xr:uid="{00000000-0005-0000-0000-00001A000000}"/>
    <cellStyle name="60% - アクセント 2 3" xfId="35" xr:uid="{00000000-0005-0000-0000-00001B000000}"/>
    <cellStyle name="60% - アクセント 3 2" xfId="36" xr:uid="{00000000-0005-0000-0000-00001C000000}"/>
    <cellStyle name="60% - アクセント 3 3" xfId="37" xr:uid="{00000000-0005-0000-0000-00001D000000}"/>
    <cellStyle name="60% - アクセント 4 2" xfId="38" xr:uid="{00000000-0005-0000-0000-00001E000000}"/>
    <cellStyle name="60% - アクセント 4 3" xfId="39" xr:uid="{00000000-0005-0000-0000-00001F000000}"/>
    <cellStyle name="60% - アクセント 5 2" xfId="40" xr:uid="{00000000-0005-0000-0000-000020000000}"/>
    <cellStyle name="60% - アクセント 5 3" xfId="41" xr:uid="{00000000-0005-0000-0000-000021000000}"/>
    <cellStyle name="60% - アクセント 6 2" xfId="42" xr:uid="{00000000-0005-0000-0000-000022000000}"/>
    <cellStyle name="60% - アクセント 6 3" xfId="43" xr:uid="{00000000-0005-0000-0000-000023000000}"/>
    <cellStyle name="Calc Currency (0)" xfId="44" xr:uid="{00000000-0005-0000-0000-000024000000}"/>
    <cellStyle name="entry" xfId="45" xr:uid="{00000000-0005-0000-0000-000025000000}"/>
    <cellStyle name="Header1" xfId="46" xr:uid="{00000000-0005-0000-0000-000026000000}"/>
    <cellStyle name="Header2" xfId="47" xr:uid="{00000000-0005-0000-0000-000027000000}"/>
    <cellStyle name="Normal_#18-Internet" xfId="48" xr:uid="{00000000-0005-0000-0000-000028000000}"/>
    <cellStyle name="price" xfId="49" xr:uid="{00000000-0005-0000-0000-000029000000}"/>
    <cellStyle name="revised" xfId="50" xr:uid="{00000000-0005-0000-0000-00002A000000}"/>
    <cellStyle name="section" xfId="51" xr:uid="{00000000-0005-0000-0000-00002B000000}"/>
    <cellStyle name="title" xfId="52" xr:uid="{00000000-0005-0000-0000-00002C000000}"/>
    <cellStyle name="アクセント 1 2" xfId="53" xr:uid="{00000000-0005-0000-0000-00002D000000}"/>
    <cellStyle name="アクセント 1 3" xfId="54" xr:uid="{00000000-0005-0000-0000-00002E000000}"/>
    <cellStyle name="アクセント 2 2" xfId="55" xr:uid="{00000000-0005-0000-0000-00002F000000}"/>
    <cellStyle name="アクセント 2 3" xfId="56" xr:uid="{00000000-0005-0000-0000-000030000000}"/>
    <cellStyle name="アクセント 3 2" xfId="57" xr:uid="{00000000-0005-0000-0000-000031000000}"/>
    <cellStyle name="アクセント 3 3" xfId="58" xr:uid="{00000000-0005-0000-0000-000032000000}"/>
    <cellStyle name="アクセント 4 2" xfId="59" xr:uid="{00000000-0005-0000-0000-000033000000}"/>
    <cellStyle name="アクセント 4 3" xfId="60" xr:uid="{00000000-0005-0000-0000-000034000000}"/>
    <cellStyle name="アクセント 5 2" xfId="61" xr:uid="{00000000-0005-0000-0000-000035000000}"/>
    <cellStyle name="アクセント 5 3" xfId="62" xr:uid="{00000000-0005-0000-0000-000036000000}"/>
    <cellStyle name="アクセント 6 2" xfId="63" xr:uid="{00000000-0005-0000-0000-000037000000}"/>
    <cellStyle name="アクセント 6 3" xfId="64" xr:uid="{00000000-0005-0000-0000-000038000000}"/>
    <cellStyle name="タイトル 2" xfId="65" xr:uid="{00000000-0005-0000-0000-000039000000}"/>
    <cellStyle name="タイトル 3" xfId="66" xr:uid="{00000000-0005-0000-0000-00003A000000}"/>
    <cellStyle name="チェック セル 2" xfId="67" xr:uid="{00000000-0005-0000-0000-00003B000000}"/>
    <cellStyle name="チェック セル 3" xfId="68" xr:uid="{00000000-0005-0000-0000-00003C000000}"/>
    <cellStyle name="どちらでもない 2" xfId="69" xr:uid="{00000000-0005-0000-0000-00003D000000}"/>
    <cellStyle name="どちらでもない 3" xfId="70" xr:uid="{00000000-0005-0000-0000-00003E000000}"/>
    <cellStyle name="メモ 2" xfId="71" xr:uid="{00000000-0005-0000-0000-000040000000}"/>
    <cellStyle name="メモ 3" xfId="72" xr:uid="{00000000-0005-0000-0000-000041000000}"/>
    <cellStyle name="リンク セル 2" xfId="73" xr:uid="{00000000-0005-0000-0000-000042000000}"/>
    <cellStyle name="リンク セル 3" xfId="74" xr:uid="{00000000-0005-0000-0000-000043000000}"/>
    <cellStyle name="悪い 2" xfId="75" xr:uid="{00000000-0005-0000-0000-000044000000}"/>
    <cellStyle name="悪い 3" xfId="76" xr:uid="{00000000-0005-0000-0000-000045000000}"/>
    <cellStyle name="計算 2" xfId="77" xr:uid="{00000000-0005-0000-0000-000046000000}"/>
    <cellStyle name="計算 3" xfId="78" xr:uid="{00000000-0005-0000-0000-000047000000}"/>
    <cellStyle name="警告文 2" xfId="79" xr:uid="{00000000-0005-0000-0000-000048000000}"/>
    <cellStyle name="警告文 3" xfId="80" xr:uid="{00000000-0005-0000-0000-000049000000}"/>
    <cellStyle name="桁区切り 2" xfId="81" xr:uid="{00000000-0005-0000-0000-00004A000000}"/>
    <cellStyle name="桁区切り 4" xfId="82" xr:uid="{00000000-0005-0000-0000-00004B000000}"/>
    <cellStyle name="見出し 1 2" xfId="83" xr:uid="{00000000-0005-0000-0000-00004C000000}"/>
    <cellStyle name="見出し 1 3" xfId="84" xr:uid="{00000000-0005-0000-0000-00004D000000}"/>
    <cellStyle name="見出し 2 2" xfId="85" xr:uid="{00000000-0005-0000-0000-00004E000000}"/>
    <cellStyle name="見出し 2 3" xfId="86" xr:uid="{00000000-0005-0000-0000-00004F000000}"/>
    <cellStyle name="見出し 3 2" xfId="87" xr:uid="{00000000-0005-0000-0000-000050000000}"/>
    <cellStyle name="見出し 3 3" xfId="88" xr:uid="{00000000-0005-0000-0000-000051000000}"/>
    <cellStyle name="見出し 4 2" xfId="89" xr:uid="{00000000-0005-0000-0000-000052000000}"/>
    <cellStyle name="見出し 4 3" xfId="90" xr:uid="{00000000-0005-0000-0000-000053000000}"/>
    <cellStyle name="集計 2" xfId="91" xr:uid="{00000000-0005-0000-0000-000054000000}"/>
    <cellStyle name="集計 3" xfId="92" xr:uid="{00000000-0005-0000-0000-000055000000}"/>
    <cellStyle name="出力 2" xfId="93" xr:uid="{00000000-0005-0000-0000-000056000000}"/>
    <cellStyle name="出力 3" xfId="94" xr:uid="{00000000-0005-0000-0000-000057000000}"/>
    <cellStyle name="説明文 2" xfId="95" xr:uid="{00000000-0005-0000-0000-000058000000}"/>
    <cellStyle name="説明文 3" xfId="96" xr:uid="{00000000-0005-0000-0000-000059000000}"/>
    <cellStyle name="通貨 2" xfId="97" xr:uid="{00000000-0005-0000-0000-00005A000000}"/>
    <cellStyle name="入力 2" xfId="98" xr:uid="{00000000-0005-0000-0000-00005B000000}"/>
    <cellStyle name="入力 3" xfId="99" xr:uid="{00000000-0005-0000-0000-00005C000000}"/>
    <cellStyle name="標準" xfId="0" builtinId="0"/>
    <cellStyle name="標準 2" xfId="2" xr:uid="{00000000-0005-0000-0000-00005E000000}"/>
    <cellStyle name="標準 2 2" xfId="3" xr:uid="{00000000-0005-0000-0000-00005F000000}"/>
    <cellStyle name="標準 2 2 2" xfId="101" xr:uid="{00000000-0005-0000-0000-000060000000}"/>
    <cellStyle name="標準 2 3" xfId="102" xr:uid="{00000000-0005-0000-0000-000061000000}"/>
    <cellStyle name="標準 2 4" xfId="100" xr:uid="{00000000-0005-0000-0000-000062000000}"/>
    <cellStyle name="標準 3" xfId="1" xr:uid="{00000000-0005-0000-0000-000063000000}"/>
    <cellStyle name="標準 3 2" xfId="103" xr:uid="{00000000-0005-0000-0000-000064000000}"/>
    <cellStyle name="標準 4" xfId="4" xr:uid="{00000000-0005-0000-0000-000065000000}"/>
    <cellStyle name="標準 4 2" xfId="104" xr:uid="{00000000-0005-0000-0000-000066000000}"/>
    <cellStyle name="標準 5" xfId="6" xr:uid="{00000000-0005-0000-0000-000067000000}"/>
    <cellStyle name="標準 5 2" xfId="106" xr:uid="{00000000-0005-0000-0000-000068000000}"/>
    <cellStyle name="標準 5 3" xfId="105" xr:uid="{00000000-0005-0000-0000-000069000000}"/>
    <cellStyle name="標準 6" xfId="5" xr:uid="{00000000-0005-0000-0000-00006A000000}"/>
    <cellStyle name="標準 6 2" xfId="107" xr:uid="{00000000-0005-0000-0000-00006B000000}"/>
    <cellStyle name="標準 6 3" xfId="113" xr:uid="{00000000-0005-0000-0000-00006C000000}"/>
    <cellStyle name="標準 7" xfId="7" xr:uid="{00000000-0005-0000-0000-00006D000000}"/>
    <cellStyle name="標準 7 2" xfId="108" xr:uid="{00000000-0005-0000-0000-00006E000000}"/>
    <cellStyle name="標準 8" xfId="109" xr:uid="{00000000-0005-0000-0000-00006F000000}"/>
    <cellStyle name="磨葬e義" xfId="110" xr:uid="{00000000-0005-0000-0000-000072000000}"/>
    <cellStyle name="良い 2" xfId="111" xr:uid="{00000000-0005-0000-0000-000073000000}"/>
    <cellStyle name="良い 3" xfId="112" xr:uid="{00000000-0005-0000-0000-000074000000}"/>
  </cellStyles>
  <dxfs count="6">
    <dxf>
      <fill>
        <patternFill>
          <bgColor theme="2" tint="0.39994506668294322"/>
        </patternFill>
      </fill>
    </dxf>
    <dxf>
      <fill>
        <patternFill>
          <bgColor theme="2" tint="0.39994506668294322"/>
        </patternFill>
      </fill>
    </dxf>
    <dxf>
      <fill>
        <patternFill>
          <bgColor theme="2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FFFF66"/>
      <color rgb="FFFFFF99"/>
      <color rgb="FFB9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85725</xdr:rowOff>
        </xdr:from>
        <xdr:to>
          <xdr:col>10</xdr:col>
          <xdr:colOff>1120</xdr:colOff>
          <xdr:row>9</xdr:row>
          <xdr:rowOff>95250</xdr:rowOff>
        </xdr:to>
        <xdr:pic>
          <xdr:nvPicPr>
            <xdr:cNvPr id="233" name="図 232">
              <a:extLst>
                <a:ext uri="{FF2B5EF4-FFF2-40B4-BE49-F238E27FC236}">
                  <a16:creationId xmlns:a16="http://schemas.microsoft.com/office/drawing/2014/main" id="{00000000-0008-0000-0000-0000E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47975" y="400050"/>
              <a:ext cx="1372720" cy="1343025"/>
            </a:xfrm>
            <a:prstGeom prst="rect">
              <a:avLst/>
            </a:prstGeom>
            <a:noFill/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38100</xdr:colOff>
          <xdr:row>16</xdr:row>
          <xdr:rowOff>85725</xdr:rowOff>
        </xdr:from>
        <xdr:ext cx="1337423" cy="1343025"/>
        <xdr:pic>
          <xdr:nvPicPr>
            <xdr:cNvPr id="234" name="図 233">
              <a:extLst>
                <a:ext uri="{FF2B5EF4-FFF2-40B4-BE49-F238E27FC236}">
                  <a16:creationId xmlns:a16="http://schemas.microsoft.com/office/drawing/2014/main" id="{00000000-0008-0000-0000-0000E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850776" y="399490"/>
              <a:ext cx="1337423" cy="1343025"/>
            </a:xfrm>
            <a:prstGeom prst="rect">
              <a:avLst/>
            </a:prstGeom>
            <a:noFill/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38100</xdr:colOff>
          <xdr:row>30</xdr:row>
          <xdr:rowOff>85725</xdr:rowOff>
        </xdr:from>
        <xdr:ext cx="1337423" cy="1343025"/>
        <xdr:pic>
          <xdr:nvPicPr>
            <xdr:cNvPr id="235" name="図 234">
              <a:extLst>
                <a:ext uri="{FF2B5EF4-FFF2-40B4-BE49-F238E27FC236}">
                  <a16:creationId xmlns:a16="http://schemas.microsoft.com/office/drawing/2014/main" id="{00000000-0008-0000-0000-0000E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850776" y="399490"/>
              <a:ext cx="1337423" cy="1343025"/>
            </a:xfrm>
            <a:prstGeom prst="rect">
              <a:avLst/>
            </a:prstGeom>
            <a:noFill/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ホライズン">
      <a:dk1>
        <a:srgbClr val="000000"/>
      </a:dk1>
      <a:lt1>
        <a:srgbClr val="FFFFFF"/>
      </a:lt1>
      <a:dk2>
        <a:srgbClr val="1F2123"/>
      </a:dk2>
      <a:lt2>
        <a:srgbClr val="DC9E1F"/>
      </a:lt2>
      <a:accent1>
        <a:srgbClr val="7E97AD"/>
      </a:accent1>
      <a:accent2>
        <a:srgbClr val="CC8E60"/>
      </a:accent2>
      <a:accent3>
        <a:srgbClr val="7A6A60"/>
      </a:accent3>
      <a:accent4>
        <a:srgbClr val="B4936D"/>
      </a:accent4>
      <a:accent5>
        <a:srgbClr val="67787B"/>
      </a:accent5>
      <a:accent6>
        <a:srgbClr val="9D936F"/>
      </a:accent6>
      <a:hlink>
        <a:srgbClr val="646464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BP47"/>
  <sheetViews>
    <sheetView tabSelected="1" view="pageBreakPreview" zoomScale="85" zoomScaleNormal="55" zoomScaleSheetLayoutView="85" workbookViewId="0">
      <selection activeCell="I28" sqref="I28"/>
    </sheetView>
  </sheetViews>
  <sheetFormatPr defaultRowHeight="15" customHeight="1"/>
  <cols>
    <col min="1" max="1" width="2.125" style="1" customWidth="1"/>
    <col min="2" max="2" width="5.375" style="1" bestFit="1" customWidth="1"/>
    <col min="3" max="3" width="11" style="1" bestFit="1" customWidth="1"/>
    <col min="4" max="4" width="6" style="1" bestFit="1" customWidth="1"/>
    <col min="5" max="5" width="9.25" style="1" bestFit="1" customWidth="1"/>
    <col min="6" max="6" width="3.125" style="3" customWidth="1"/>
    <col min="7" max="10" width="4.625" style="3" customWidth="1"/>
    <col min="11" max="11" width="2.625" style="3" customWidth="1"/>
    <col min="12" max="19" width="4.125" style="3" customWidth="1"/>
    <col min="20" max="30" width="4.125" style="1" customWidth="1"/>
    <col min="31" max="31" width="2.125" style="1" customWidth="1"/>
    <col min="32" max="59" width="4.125" style="1" customWidth="1"/>
    <col min="60" max="16384" width="9" style="1"/>
  </cols>
  <sheetData>
    <row r="1" spans="1:68" ht="6.75" customHeight="1">
      <c r="A1" s="13"/>
      <c r="B1" s="2"/>
      <c r="C1" s="2"/>
      <c r="D1" s="2"/>
      <c r="E1" s="2"/>
      <c r="F1" s="1"/>
      <c r="L1" s="14"/>
      <c r="M1" s="14"/>
      <c r="N1" s="14"/>
      <c r="O1" s="14"/>
      <c r="P1" s="14"/>
      <c r="Q1" s="14"/>
      <c r="R1" s="14"/>
      <c r="S1" s="14"/>
      <c r="T1" s="2"/>
      <c r="U1" s="2"/>
      <c r="V1" s="13"/>
      <c r="W1" s="13"/>
      <c r="X1" s="13"/>
      <c r="Y1" s="13"/>
      <c r="Z1" s="13"/>
      <c r="AA1" s="13"/>
      <c r="AB1" s="13"/>
      <c r="AC1" s="13"/>
      <c r="AD1" s="13"/>
    </row>
    <row r="2" spans="1:68" ht="15" customHeight="1">
      <c r="A2" s="13"/>
      <c r="B2" s="103" t="s">
        <v>42</v>
      </c>
      <c r="C2" s="103"/>
      <c r="D2" s="103"/>
      <c r="E2" s="103"/>
      <c r="F2" s="1"/>
      <c r="G2" s="51" t="inlineStr">
        <is>
          <t>No.A-5</t>
        </is>
      </c>
      <c r="H2" s="51"/>
      <c r="I2" s="51"/>
      <c r="J2" s="51"/>
      <c r="L2" s="87"/>
      <c r="M2" s="87"/>
      <c r="N2" s="87"/>
      <c r="O2" s="88"/>
      <c r="P2" s="87" t="s">
        <v>31</v>
      </c>
      <c r="Q2" s="87"/>
      <c r="R2" s="87"/>
      <c r="S2" s="87"/>
      <c r="T2" s="87"/>
      <c r="U2" s="7"/>
      <c r="V2" s="7"/>
      <c r="W2" s="7"/>
      <c r="X2" s="7"/>
      <c r="Y2" s="7"/>
      <c r="Z2" s="7"/>
      <c r="AA2" s="7"/>
      <c r="AB2" s="7"/>
      <c r="AC2" s="7"/>
      <c r="AD2" s="7"/>
      <c r="AN2" s="3"/>
      <c r="BO2" s="1"/>
    </row>
    <row r="3" spans="1:68" ht="15" customHeight="1">
      <c r="A3" s="13"/>
      <c r="B3" s="107" t="s">
        <v>43</v>
      </c>
      <c r="C3" s="107"/>
      <c r="D3" s="21" t="s">
        <v>20</v>
      </c>
      <c r="E3" s="47">
        <v>11000</v>
      </c>
      <c r="F3" s="1"/>
      <c r="G3" s="50"/>
      <c r="H3" s="50"/>
      <c r="I3" s="50"/>
      <c r="J3" s="50"/>
      <c r="L3" s="51" t="s">
        <v>14</v>
      </c>
      <c r="M3" s="51"/>
      <c r="N3" s="51"/>
      <c r="O3" s="65"/>
      <c r="P3" s="92" t="inlineStr">
        <is>
          <t>H-588×300×12×20</t>
        </is>
      </c>
      <c r="Q3" s="93"/>
      <c r="R3" s="93"/>
      <c r="S3" s="93"/>
      <c r="T3" s="93"/>
      <c r="U3" s="7"/>
      <c r="V3" s="7"/>
      <c r="W3" s="7"/>
      <c r="X3" s="7"/>
      <c r="Y3" s="7"/>
      <c r="Z3" s="7"/>
      <c r="AA3" s="7"/>
      <c r="AB3" s="7"/>
      <c r="AC3" s="7"/>
      <c r="AD3" s="7"/>
      <c r="AK3" s="6"/>
      <c r="AL3" s="6"/>
      <c r="AM3" s="6"/>
      <c r="AN3" s="5"/>
      <c r="AO3" s="6"/>
      <c r="AQ3" s="50"/>
      <c r="AR3" s="50"/>
      <c r="AS3" s="50"/>
      <c r="AU3" s="108"/>
      <c r="AV3" s="108"/>
      <c r="AW3" s="108"/>
      <c r="AY3" s="50"/>
      <c r="AZ3" s="50"/>
      <c r="BA3" s="50"/>
      <c r="BO3" s="5"/>
      <c r="BP3" s="5"/>
    </row>
    <row r="4" spans="1:68" ht="15" customHeight="1">
      <c r="A4" s="13"/>
      <c r="B4" s="105" t="s">
        <v>44</v>
      </c>
      <c r="C4" s="105"/>
      <c r="D4" s="22" t="s">
        <v>20</v>
      </c>
      <c r="E4" s="45">
        <v>12500</v>
      </c>
      <c r="F4" s="1"/>
      <c r="G4" s="50"/>
      <c r="H4" s="50"/>
      <c r="I4" s="50"/>
      <c r="J4" s="50"/>
      <c r="L4" s="51" t="s">
        <v>15</v>
      </c>
      <c r="M4" s="51"/>
      <c r="N4" s="51"/>
      <c r="O4" s="65"/>
      <c r="P4" s="81" t="inlineStr">
        <is>
          <t>SS400</t>
        </is>
      </c>
      <c r="Q4" s="51"/>
      <c r="R4" s="51"/>
      <c r="S4" s="51"/>
      <c r="T4" s="51"/>
      <c r="U4" s="7"/>
      <c r="V4" s="7"/>
      <c r="W4" s="7"/>
      <c r="X4" s="7"/>
      <c r="Y4" s="7"/>
      <c r="Z4" s="7"/>
      <c r="AA4" s="7"/>
      <c r="AB4" s="7"/>
      <c r="AC4" s="7"/>
      <c r="AD4" s="7"/>
      <c r="AN4" s="5"/>
      <c r="BO4" s="5"/>
    </row>
    <row r="5" spans="1:68" ht="15" customHeight="1">
      <c r="A5" s="13"/>
      <c r="B5" s="105" t="s">
        <v>16</v>
      </c>
      <c r="C5" s="105"/>
      <c r="D5" s="22" t="s">
        <v>20</v>
      </c>
      <c r="E5" s="48">
        <v>3000</v>
      </c>
      <c r="F5" s="1"/>
      <c r="G5" s="50"/>
      <c r="H5" s="50"/>
      <c r="I5" s="50"/>
      <c r="J5" s="50"/>
      <c r="L5" s="51" t="s">
        <v>9</v>
      </c>
      <c r="M5" s="51"/>
      <c r="N5" s="51"/>
      <c r="O5" s="65"/>
      <c r="P5" s="84">
        <v>0.54</v>
      </c>
      <c r="Q5" s="85"/>
      <c r="R5" s="85"/>
      <c r="S5" s="85"/>
      <c r="T5" s="85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68" ht="15" customHeight="1">
      <c r="A6" s="13"/>
      <c r="B6" s="105" t="s">
        <v>27</v>
      </c>
      <c r="C6" s="105"/>
      <c r="D6" s="22" t="s">
        <v>45</v>
      </c>
      <c r="E6" s="45">
        <v>24</v>
      </c>
      <c r="F6" s="5"/>
      <c r="G6" s="50"/>
      <c r="H6" s="50"/>
      <c r="I6" s="50"/>
      <c r="J6" s="50"/>
      <c r="L6" s="66" t="s">
        <v>32</v>
      </c>
      <c r="M6" s="66"/>
      <c r="N6" s="72" t="s">
        <v>33</v>
      </c>
      <c r="O6" s="73"/>
      <c r="P6" s="74"/>
      <c r="Q6" s="75"/>
      <c r="R6" s="75"/>
      <c r="S6" s="75"/>
      <c r="T6" s="75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68" ht="15" customHeight="1">
      <c r="A7" s="13"/>
      <c r="B7" s="105" t="s">
        <v>28</v>
      </c>
      <c r="C7" s="105"/>
      <c r="D7" s="22" t="s">
        <v>20</v>
      </c>
      <c r="E7" s="45">
        <v>180</v>
      </c>
      <c r="F7" s="5"/>
      <c r="G7" s="50"/>
      <c r="H7" s="50"/>
      <c r="I7" s="50"/>
      <c r="J7" s="50"/>
      <c r="L7" s="106" t="s">
        <v>34</v>
      </c>
      <c r="M7" s="106"/>
      <c r="N7" s="15"/>
      <c r="O7" s="16"/>
      <c r="P7" s="59"/>
      <c r="Q7" s="60"/>
      <c r="R7" s="60"/>
      <c r="S7" s="60"/>
      <c r="T7" s="6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68" ht="15" customHeight="1">
      <c r="A8" s="13"/>
      <c r="B8" s="105" t="s">
        <v>29</v>
      </c>
      <c r="C8" s="105"/>
      <c r="D8" s="22" t="s">
        <v>20</v>
      </c>
      <c r="E8" s="45">
        <v>0</v>
      </c>
      <c r="F8" s="5"/>
      <c r="G8" s="50"/>
      <c r="H8" s="50"/>
      <c r="I8" s="50"/>
      <c r="J8" s="50"/>
      <c r="K8" s="6"/>
      <c r="L8" s="77" t="s">
        <v>35</v>
      </c>
      <c r="M8" s="77"/>
      <c r="N8" s="67" t="s">
        <v>33</v>
      </c>
      <c r="O8" s="68"/>
      <c r="P8" s="74"/>
      <c r="Q8" s="75"/>
      <c r="R8" s="75"/>
      <c r="S8" s="75"/>
      <c r="T8" s="75"/>
      <c r="U8" s="9"/>
      <c r="V8" s="9"/>
      <c r="W8" s="9"/>
      <c r="X8" s="9"/>
      <c r="Y8" s="9"/>
      <c r="Z8" s="9"/>
      <c r="AA8" s="9"/>
      <c r="AB8" s="9"/>
      <c r="AC8" s="9"/>
      <c r="AD8" s="9"/>
      <c r="AE8" s="4"/>
      <c r="AF8" s="4"/>
    </row>
    <row r="9" spans="1:68" ht="15" customHeight="1">
      <c r="A9" s="13"/>
      <c r="B9" s="104" t="s">
        <v>17</v>
      </c>
      <c r="C9" s="104"/>
      <c r="D9" s="23"/>
      <c r="E9" s="46">
        <v>15</v>
      </c>
      <c r="G9" s="50"/>
      <c r="H9" s="50"/>
      <c r="I9" s="50"/>
      <c r="J9" s="50"/>
      <c r="K9" s="5"/>
      <c r="L9" s="106" t="s">
        <v>36</v>
      </c>
      <c r="M9" s="106"/>
      <c r="N9" s="15"/>
      <c r="O9" s="16"/>
      <c r="P9" s="59"/>
      <c r="Q9" s="60"/>
      <c r="R9" s="60"/>
      <c r="S9" s="60"/>
      <c r="T9" s="60"/>
      <c r="U9" s="10"/>
      <c r="V9" s="10"/>
      <c r="W9" s="10"/>
      <c r="X9" s="10"/>
      <c r="Y9" s="10"/>
      <c r="Z9" s="10"/>
      <c r="AA9" s="10"/>
      <c r="AB9" s="10"/>
      <c r="AC9" s="10"/>
      <c r="AD9" s="10"/>
      <c r="AE9" s="4"/>
      <c r="AF9" s="4"/>
    </row>
    <row r="10" spans="1:68" ht="15" customHeight="1">
      <c r="A10" s="13"/>
      <c r="B10" s="109" t="s">
        <v>4</v>
      </c>
      <c r="C10" s="25" t="s">
        <v>5</v>
      </c>
      <c r="D10" s="26"/>
      <c r="E10" s="27" t="s">
        <v>6</v>
      </c>
      <c r="F10" s="6"/>
      <c r="G10" s="50"/>
      <c r="H10" s="50"/>
      <c r="I10" s="50"/>
      <c r="J10" s="50"/>
      <c r="L10" s="124" t="s">
        <v>21</v>
      </c>
      <c r="M10" s="124"/>
      <c r="N10" s="52" t="s">
        <v>37</v>
      </c>
      <c r="O10" s="53"/>
      <c r="P10" s="112">
        <v>13961</v>
      </c>
      <c r="Q10" s="113"/>
      <c r="R10" s="113"/>
      <c r="S10" s="113"/>
      <c r="T10" s="113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68" ht="15" customHeight="1">
      <c r="A11" s="13"/>
      <c r="B11" s="110"/>
      <c r="C11" s="7" t="s">
        <v>7</v>
      </c>
      <c r="D11" s="28"/>
      <c r="E11" s="45">
        <v>300</v>
      </c>
      <c r="F11" s="5"/>
      <c r="L11" s="124" t="s">
        <v>30</v>
      </c>
      <c r="M11" s="124"/>
      <c r="N11" s="67" t="s">
        <v>38</v>
      </c>
      <c r="O11" s="68"/>
      <c r="P11" s="56"/>
      <c r="Q11" s="54"/>
      <c r="R11" s="54"/>
      <c r="S11" s="54"/>
      <c r="T11" s="54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68" ht="15" customHeight="1">
      <c r="A12" s="13"/>
      <c r="B12" s="110"/>
      <c r="C12" s="7" t="s">
        <v>18</v>
      </c>
      <c r="D12" s="22" t="s">
        <v>20</v>
      </c>
      <c r="E12" s="29">
        <v>250</v>
      </c>
      <c r="F12" s="1"/>
      <c r="L12" s="124" t="s">
        <v>22</v>
      </c>
      <c r="M12" s="124"/>
      <c r="N12" s="52" t="s">
        <v>39</v>
      </c>
      <c r="O12" s="53"/>
      <c r="P12" s="57"/>
      <c r="Q12" s="55"/>
      <c r="R12" s="55"/>
      <c r="S12" s="55"/>
      <c r="T12" s="55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68" ht="15" customHeight="1">
      <c r="A13" s="13"/>
      <c r="B13" s="110"/>
      <c r="C13" s="7" t="s">
        <v>46</v>
      </c>
      <c r="D13" s="28"/>
      <c r="E13" s="45" t="s">
        <v>8</v>
      </c>
      <c r="F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68" ht="15" customHeight="1">
      <c r="A14" s="13"/>
      <c r="B14" s="109" t="s">
        <v>47</v>
      </c>
      <c r="C14" s="30" t="s">
        <v>5</v>
      </c>
      <c r="D14" s="31"/>
      <c r="E14" s="32" t="s">
        <v>6</v>
      </c>
      <c r="F14" s="1"/>
      <c r="L14" s="14"/>
      <c r="M14" s="14"/>
      <c r="N14" s="14"/>
      <c r="O14" s="14"/>
      <c r="P14" s="14"/>
      <c r="Q14" s="14"/>
      <c r="R14" s="14"/>
      <c r="S14" s="14"/>
      <c r="T14" s="2"/>
      <c r="U14" s="2"/>
      <c r="V14" s="2"/>
      <c r="W14" s="2"/>
      <c r="X14" s="2"/>
      <c r="Y14" s="2"/>
      <c r="Z14" s="13"/>
      <c r="AA14" s="13"/>
      <c r="AB14" s="13"/>
      <c r="AC14" s="13"/>
      <c r="AD14" s="13"/>
    </row>
    <row r="15" spans="1:68" ht="15" customHeight="1">
      <c r="A15" s="13"/>
      <c r="B15" s="110"/>
      <c r="C15" s="7" t="s">
        <v>7</v>
      </c>
      <c r="D15" s="28"/>
      <c r="E15" s="45">
        <v>200</v>
      </c>
      <c r="F15" s="1"/>
      <c r="Z15" s="7"/>
      <c r="AA15" s="7"/>
      <c r="AB15" s="7"/>
      <c r="AC15" s="7"/>
      <c r="AD15" s="7"/>
      <c r="BO15" s="13"/>
    </row>
    <row r="16" spans="1:68" ht="15" customHeight="1">
      <c r="A16" s="13"/>
      <c r="B16" s="110"/>
      <c r="C16" s="7" t="s">
        <v>18</v>
      </c>
      <c r="D16" s="22" t="s">
        <v>20</v>
      </c>
      <c r="E16" s="29">
        <v>250</v>
      </c>
      <c r="F16" s="1"/>
      <c r="G16" s="51" t="inlineStr">
        <is>
          <t>No.B-5</t>
        </is>
      </c>
      <c r="H16" s="51"/>
      <c r="I16" s="51"/>
      <c r="J16" s="51"/>
      <c r="L16" s="114"/>
      <c r="M16" s="114"/>
      <c r="N16" s="114"/>
      <c r="O16" s="115"/>
      <c r="P16" s="89" t="s">
        <v>31</v>
      </c>
      <c r="Q16" s="87"/>
      <c r="R16" s="87"/>
      <c r="S16" s="87"/>
      <c r="T16" s="88"/>
      <c r="U16" s="87" t="s">
        <v>40</v>
      </c>
      <c r="V16" s="87"/>
      <c r="W16" s="87"/>
      <c r="X16" s="87"/>
      <c r="Y16" s="87"/>
      <c r="Z16" s="7"/>
      <c r="AA16" s="7"/>
      <c r="AB16" s="8"/>
      <c r="AC16" s="7"/>
      <c r="AD16" s="7"/>
    </row>
    <row r="17" spans="1:67" ht="15" customHeight="1">
      <c r="A17" s="13"/>
      <c r="B17" s="111"/>
      <c r="C17" s="33" t="s">
        <v>46</v>
      </c>
      <c r="D17" s="23"/>
      <c r="E17" s="46" t="s">
        <v>8</v>
      </c>
      <c r="F17" s="5"/>
      <c r="G17" s="50"/>
      <c r="H17" s="50"/>
      <c r="I17" s="50"/>
      <c r="J17" s="50"/>
      <c r="L17" s="51" t="s">
        <v>14</v>
      </c>
      <c r="M17" s="51"/>
      <c r="N17" s="51"/>
      <c r="O17" s="65"/>
      <c r="P17" s="116" t="inlineStr">
        <is>
          <t>H-350×175×7×11</t>
        </is>
      </c>
      <c r="Q17" s="117"/>
      <c r="R17" s="117"/>
      <c r="S17" s="117"/>
      <c r="T17" s="118"/>
      <c r="U17" s="117" t="inlineStr">
        <is>
          <t>H-890×299×15×23</t>
        </is>
      </c>
      <c r="V17" s="117"/>
      <c r="W17" s="117"/>
      <c r="X17" s="117"/>
      <c r="Y17" s="117"/>
      <c r="Z17" s="7"/>
      <c r="AA17" s="7"/>
      <c r="AB17" s="13"/>
      <c r="AC17" s="7"/>
      <c r="AD17" s="7"/>
    </row>
    <row r="18" spans="1:67" ht="15" customHeight="1">
      <c r="A18" s="13"/>
      <c r="B18" s="110" t="s">
        <v>48</v>
      </c>
      <c r="C18" s="25" t="s">
        <v>5</v>
      </c>
      <c r="D18" s="26"/>
      <c r="E18" s="27" t="s">
        <v>6</v>
      </c>
      <c r="F18" s="5"/>
      <c r="G18" s="50"/>
      <c r="H18" s="50"/>
      <c r="I18" s="50"/>
      <c r="J18" s="50"/>
      <c r="L18" s="51" t="s">
        <v>15</v>
      </c>
      <c r="M18" s="51"/>
      <c r="N18" s="51"/>
      <c r="O18" s="65"/>
      <c r="P18" s="81" t="inlineStr">
        <is>
          <t>SS400</t>
        </is>
      </c>
      <c r="Q18" s="51"/>
      <c r="R18" s="51"/>
      <c r="S18" s="51"/>
      <c r="T18" s="65"/>
      <c r="U18" s="51" t="inlineStr">
        <is>
          <t>SS400</t>
        </is>
      </c>
      <c r="V18" s="51"/>
      <c r="W18" s="51"/>
      <c r="X18" s="51"/>
      <c r="Y18" s="51"/>
      <c r="Z18" s="8"/>
      <c r="AA18" s="8"/>
      <c r="AB18" s="13"/>
      <c r="AC18" s="8"/>
      <c r="AD18" s="8"/>
    </row>
    <row r="19" spans="1:67" ht="15" customHeight="1">
      <c r="A19" s="13"/>
      <c r="B19" s="110"/>
      <c r="C19" s="7" t="s">
        <v>7</v>
      </c>
      <c r="D19" s="28"/>
      <c r="E19" s="45">
        <v>200</v>
      </c>
      <c r="F19" s="5"/>
      <c r="G19" s="50"/>
      <c r="H19" s="50"/>
      <c r="I19" s="50"/>
      <c r="J19" s="50"/>
      <c r="L19" s="51" t="s">
        <v>9</v>
      </c>
      <c r="M19" s="51"/>
      <c r="N19" s="51"/>
      <c r="O19" s="65"/>
      <c r="P19" s="95"/>
      <c r="Q19" s="96"/>
      <c r="R19" s="96"/>
      <c r="S19" s="96"/>
      <c r="T19" s="97"/>
      <c r="U19" s="96"/>
      <c r="V19" s="96"/>
      <c r="W19" s="96"/>
      <c r="X19" s="96"/>
      <c r="Y19" s="96"/>
      <c r="Z19" s="9"/>
      <c r="AA19" s="9"/>
      <c r="AB19" s="9"/>
      <c r="AC19" s="9"/>
      <c r="AD19" s="9"/>
    </row>
    <row r="20" spans="1:67" ht="15" customHeight="1">
      <c r="A20" s="13"/>
      <c r="B20" s="110"/>
      <c r="C20" s="7" t="s">
        <v>18</v>
      </c>
      <c r="D20" s="22" t="s">
        <v>20</v>
      </c>
      <c r="E20" s="29">
        <v>250</v>
      </c>
      <c r="F20" s="1"/>
      <c r="G20" s="50"/>
      <c r="H20" s="50"/>
      <c r="I20" s="50"/>
      <c r="J20" s="50"/>
      <c r="L20" s="66" t="s">
        <v>32</v>
      </c>
      <c r="M20" s="66"/>
      <c r="N20" s="72" t="s">
        <v>33</v>
      </c>
      <c r="O20" s="73"/>
      <c r="P20" s="74"/>
      <c r="Q20" s="75"/>
      <c r="R20" s="75"/>
      <c r="S20" s="75"/>
      <c r="T20" s="76"/>
      <c r="U20" s="75"/>
      <c r="V20" s="75"/>
      <c r="W20" s="75"/>
      <c r="X20" s="75"/>
      <c r="Y20" s="75"/>
      <c r="Z20" s="10"/>
      <c r="AA20" s="10"/>
      <c r="AB20" s="10"/>
      <c r="AC20" s="10"/>
      <c r="AD20" s="10"/>
    </row>
    <row r="21" spans="1:67" ht="15" customHeight="1">
      <c r="A21" s="13"/>
      <c r="B21" s="111"/>
      <c r="C21" s="7" t="s">
        <v>46</v>
      </c>
      <c r="D21" s="28"/>
      <c r="E21" s="45" t="s">
        <v>8</v>
      </c>
      <c r="F21" s="1"/>
      <c r="G21" s="50"/>
      <c r="H21" s="50"/>
      <c r="I21" s="50"/>
      <c r="J21" s="50"/>
      <c r="L21" s="106" t="s">
        <v>34</v>
      </c>
      <c r="M21" s="106"/>
      <c r="N21" s="17"/>
      <c r="O21" s="18"/>
      <c r="P21" s="59"/>
      <c r="Q21" s="60"/>
      <c r="R21" s="60"/>
      <c r="S21" s="60"/>
      <c r="T21" s="61"/>
      <c r="U21" s="60"/>
      <c r="V21" s="60"/>
      <c r="W21" s="60"/>
      <c r="X21" s="60"/>
      <c r="Y21" s="60"/>
      <c r="Z21" s="9"/>
      <c r="AA21" s="9"/>
      <c r="AB21" s="9"/>
      <c r="AC21" s="9"/>
      <c r="AD21" s="9"/>
    </row>
    <row r="22" spans="1:67" ht="15" customHeight="1">
      <c r="A22" s="13"/>
      <c r="B22" s="107" t="s">
        <v>19</v>
      </c>
      <c r="C22" s="107"/>
      <c r="D22" s="21" t="s">
        <v>20</v>
      </c>
      <c r="E22" s="47">
        <v>1000</v>
      </c>
      <c r="F22" s="1"/>
      <c r="G22" s="50"/>
      <c r="H22" s="50"/>
      <c r="I22" s="50"/>
      <c r="J22" s="50"/>
      <c r="K22" s="6"/>
      <c r="L22" s="66" t="s">
        <v>35</v>
      </c>
      <c r="M22" s="66"/>
      <c r="N22" s="72" t="s">
        <v>33</v>
      </c>
      <c r="O22" s="73"/>
      <c r="P22" s="74"/>
      <c r="Q22" s="75"/>
      <c r="R22" s="75"/>
      <c r="S22" s="75"/>
      <c r="T22" s="76"/>
      <c r="U22" s="75"/>
      <c r="V22" s="75"/>
      <c r="W22" s="75"/>
      <c r="X22" s="75"/>
      <c r="Y22" s="75"/>
      <c r="Z22" s="10"/>
      <c r="AA22" s="10"/>
      <c r="AB22" s="10"/>
      <c r="AC22" s="10"/>
      <c r="AD22" s="10"/>
    </row>
    <row r="23" spans="1:67" ht="15" customHeight="1">
      <c r="A23" s="13"/>
      <c r="B23" s="104" t="s">
        <v>9</v>
      </c>
      <c r="C23" s="104"/>
      <c r="D23" s="23"/>
      <c r="E23" s="34">
        <v>0.95</v>
      </c>
      <c r="F23" s="1"/>
      <c r="G23" s="50"/>
      <c r="H23" s="50"/>
      <c r="I23" s="50"/>
      <c r="J23" s="50"/>
      <c r="K23" s="5"/>
      <c r="L23" s="106" t="s">
        <v>36</v>
      </c>
      <c r="M23" s="106"/>
      <c r="N23" s="17"/>
      <c r="O23" s="18"/>
      <c r="P23" s="59"/>
      <c r="Q23" s="60"/>
      <c r="R23" s="60"/>
      <c r="S23" s="60"/>
      <c r="T23" s="61"/>
      <c r="U23" s="60"/>
      <c r="V23" s="60"/>
      <c r="W23" s="60"/>
      <c r="X23" s="60"/>
      <c r="Y23" s="60"/>
      <c r="Z23" s="11"/>
      <c r="AA23" s="11"/>
      <c r="AB23" s="11"/>
      <c r="AC23" s="11"/>
      <c r="AD23" s="11"/>
    </row>
    <row r="24" spans="1:67" ht="15" customHeight="1">
      <c r="A24" s="13"/>
      <c r="B24" s="107" t="s">
        <v>10</v>
      </c>
      <c r="C24" s="107"/>
      <c r="D24" s="120"/>
      <c r="E24" s="45" t="s">
        <v>57</v>
      </c>
      <c r="F24" s="1"/>
      <c r="G24" s="50"/>
      <c r="H24" s="50"/>
      <c r="I24" s="50"/>
      <c r="J24" s="50"/>
      <c r="L24" s="124" t="s">
        <v>21</v>
      </c>
      <c r="M24" s="124"/>
      <c r="N24" s="101" t="s">
        <v>37</v>
      </c>
      <c r="O24" s="102"/>
      <c r="P24" s="98"/>
      <c r="Q24" s="99"/>
      <c r="R24" s="99"/>
      <c r="S24" s="99"/>
      <c r="T24" s="100"/>
      <c r="U24" s="99"/>
      <c r="V24" s="99"/>
      <c r="W24" s="99"/>
      <c r="X24" s="99"/>
      <c r="Y24" s="99"/>
      <c r="Z24" s="12"/>
      <c r="AA24" s="12"/>
      <c r="AB24" s="12"/>
      <c r="AC24" s="12"/>
      <c r="AD24" s="12"/>
    </row>
    <row r="25" spans="1:67" ht="15" customHeight="1">
      <c r="A25" s="13"/>
      <c r="B25" s="105"/>
      <c r="C25" s="105"/>
      <c r="D25" s="121"/>
      <c r="E25" s="45" t="s">
        <v>56</v>
      </c>
      <c r="F25" s="5"/>
      <c r="L25" s="124" t="s">
        <v>30</v>
      </c>
      <c r="M25" s="124"/>
      <c r="N25" s="67" t="s">
        <v>38</v>
      </c>
      <c r="O25" s="6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11"/>
      <c r="AA25" s="11"/>
      <c r="AB25" s="11"/>
      <c r="AC25" s="11"/>
      <c r="AD25" s="11"/>
    </row>
    <row r="26" spans="1:67" ht="15" customHeight="1">
      <c r="A26" s="13"/>
      <c r="B26" s="107" t="s">
        <v>11</v>
      </c>
      <c r="C26" s="107"/>
      <c r="D26" s="120"/>
      <c r="E26" s="47" t="s">
        <v>57</v>
      </c>
      <c r="F26" s="5"/>
      <c r="L26" s="124" t="s">
        <v>22</v>
      </c>
      <c r="M26" s="124"/>
      <c r="N26" s="52" t="s">
        <v>39</v>
      </c>
      <c r="O26" s="53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13"/>
      <c r="AA26" s="13"/>
      <c r="AB26" s="13"/>
      <c r="AC26" s="13"/>
      <c r="AD26" s="13"/>
    </row>
    <row r="27" spans="1:67" ht="15" customHeight="1">
      <c r="A27" s="13"/>
      <c r="B27" s="104"/>
      <c r="C27" s="104"/>
      <c r="D27" s="119"/>
      <c r="E27" s="46" t="s">
        <v>58</v>
      </c>
      <c r="F27" s="1"/>
      <c r="G27" s="1"/>
      <c r="H27" s="1"/>
      <c r="I27" s="1"/>
      <c r="J27" s="1"/>
      <c r="L27" s="14"/>
      <c r="M27" s="14"/>
      <c r="N27" s="14"/>
      <c r="O27" s="14"/>
      <c r="P27" s="14"/>
      <c r="Q27" s="14"/>
      <c r="R27" s="14"/>
      <c r="S27" s="1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67" ht="15" customHeight="1">
      <c r="A28" s="13"/>
      <c r="B28" s="122" t="s">
        <v>12</v>
      </c>
      <c r="C28" s="122"/>
      <c r="D28" s="123"/>
      <c r="E28" s="49" t="s">
        <v>13</v>
      </c>
      <c r="F28" s="1"/>
      <c r="BO28" s="13"/>
    </row>
    <row r="29" spans="1:67" ht="15" customHeight="1">
      <c r="A29" s="13"/>
      <c r="B29" s="35"/>
      <c r="C29" s="35"/>
      <c r="D29" s="35"/>
      <c r="E29" s="35"/>
      <c r="F29" s="1"/>
    </row>
    <row r="30" spans="1:67" ht="15" customHeight="1">
      <c r="A30" s="13"/>
      <c r="B30" s="103" t="s">
        <v>49</v>
      </c>
      <c r="C30" s="103"/>
      <c r="D30" s="103"/>
      <c r="E30" s="103"/>
      <c r="F30" s="1"/>
      <c r="G30" s="51" t="inlineStr">
        <is>
          <t>No.C-5</t>
        </is>
      </c>
      <c r="H30" s="51"/>
      <c r="I30" s="51"/>
      <c r="J30" s="51"/>
      <c r="L30" s="87"/>
      <c r="M30" s="87"/>
      <c r="N30" s="87"/>
      <c r="O30" s="88"/>
      <c r="P30" s="89" t="s">
        <v>31</v>
      </c>
      <c r="Q30" s="87"/>
      <c r="R30" s="87"/>
      <c r="S30" s="87"/>
      <c r="T30" s="88"/>
      <c r="U30" s="89" t="s">
        <v>40</v>
      </c>
      <c r="V30" s="87"/>
      <c r="W30" s="87"/>
      <c r="X30" s="87"/>
      <c r="Y30" s="88"/>
      <c r="Z30" s="87" t="s">
        <v>41</v>
      </c>
      <c r="AA30" s="87"/>
      <c r="AB30" s="87"/>
      <c r="AC30" s="87"/>
      <c r="AD30" s="87"/>
    </row>
    <row r="31" spans="1:67" ht="15" customHeight="1">
      <c r="A31" s="13"/>
      <c r="B31" s="107" t="s">
        <v>24</v>
      </c>
      <c r="C31" s="107"/>
      <c r="D31" s="21" t="s">
        <v>50</v>
      </c>
      <c r="E31" s="44">
        <v>4800</v>
      </c>
      <c r="F31" s="1"/>
      <c r="G31" s="50"/>
      <c r="H31" s="50"/>
      <c r="I31" s="50"/>
      <c r="J31" s="50"/>
      <c r="L31" s="90" t="s">
        <v>14</v>
      </c>
      <c r="M31" s="90"/>
      <c r="N31" s="90"/>
      <c r="O31" s="91"/>
      <c r="P31" s="92" t="inlineStr">
        <is>
          <t>H-350×175×7×11</t>
        </is>
      </c>
      <c r="Q31" s="93"/>
      <c r="R31" s="93"/>
      <c r="S31" s="93"/>
      <c r="T31" s="94"/>
      <c r="U31" s="92" t="inlineStr">
        <is>
          <t>H-596×199×10×15</t>
        </is>
      </c>
      <c r="V31" s="93"/>
      <c r="W31" s="93"/>
      <c r="X31" s="93"/>
      <c r="Y31" s="94"/>
      <c r="Z31" s="93" t="inlineStr">
        <is>
          <t>H-692×300×13×20</t>
        </is>
      </c>
      <c r="AA31" s="93"/>
      <c r="AB31" s="93"/>
      <c r="AC31" s="93"/>
      <c r="AD31" s="93"/>
    </row>
    <row r="32" spans="1:67" ht="15" customHeight="1">
      <c r="A32" s="13"/>
      <c r="B32" s="105" t="s">
        <v>23</v>
      </c>
      <c r="C32" s="105"/>
      <c r="D32" s="22" t="s">
        <v>50</v>
      </c>
      <c r="E32" s="42">
        <v>3400</v>
      </c>
      <c r="F32" s="1"/>
      <c r="G32" s="50"/>
      <c r="H32" s="50"/>
      <c r="I32" s="50"/>
      <c r="J32" s="50"/>
      <c r="L32" s="51" t="s">
        <v>15</v>
      </c>
      <c r="M32" s="51"/>
      <c r="N32" s="51"/>
      <c r="O32" s="65"/>
      <c r="P32" s="81" t="inlineStr">
        <is>
          <t>SS400</t>
        </is>
      </c>
      <c r="Q32" s="51"/>
      <c r="R32" s="51"/>
      <c r="S32" s="51"/>
      <c r="T32" s="65"/>
      <c r="U32" s="81" t="inlineStr">
        <is>
          <t>SS400</t>
        </is>
      </c>
      <c r="V32" s="51"/>
      <c r="W32" s="51"/>
      <c r="X32" s="51"/>
      <c r="Y32" s="65"/>
      <c r="Z32" s="51" t="inlineStr">
        <is>
          <t>SS400</t>
        </is>
      </c>
      <c r="AA32" s="51"/>
      <c r="AB32" s="51"/>
      <c r="AC32" s="51"/>
      <c r="AD32" s="51"/>
    </row>
    <row r="33" spans="1:30" ht="15" customHeight="1">
      <c r="A33" s="13"/>
      <c r="B33" s="104" t="s">
        <v>25</v>
      </c>
      <c r="C33" s="104"/>
      <c r="D33" s="36" t="s">
        <v>50</v>
      </c>
      <c r="E33" s="43">
        <f>E31+E32</f>
        <v>8200</v>
      </c>
      <c r="F33" s="1"/>
      <c r="G33" s="50"/>
      <c r="H33" s="50"/>
      <c r="I33" s="50"/>
      <c r="J33" s="50"/>
      <c r="L33" s="82" t="s">
        <v>9</v>
      </c>
      <c r="M33" s="82"/>
      <c r="N33" s="82"/>
      <c r="O33" s="83"/>
      <c r="P33" s="84">
        <v>0.66</v>
      </c>
      <c r="Q33" s="85"/>
      <c r="R33" s="85"/>
      <c r="S33" s="85"/>
      <c r="T33" s="86"/>
      <c r="U33" s="84">
        <v>0.84</v>
      </c>
      <c r="V33" s="85"/>
      <c r="W33" s="85"/>
      <c r="X33" s="85"/>
      <c r="Y33" s="86"/>
      <c r="Z33" s="85">
        <v>0.66</v>
      </c>
      <c r="AA33" s="85"/>
      <c r="AB33" s="85"/>
      <c r="AC33" s="85"/>
      <c r="AD33" s="85"/>
    </row>
    <row r="34" spans="1:30" ht="15" customHeight="1">
      <c r="A34" s="13"/>
      <c r="B34" s="14"/>
      <c r="C34" s="14"/>
      <c r="D34" s="14"/>
      <c r="E34" s="14"/>
      <c r="F34" s="1"/>
      <c r="G34" s="50"/>
      <c r="H34" s="50"/>
      <c r="I34" s="50"/>
      <c r="J34" s="50"/>
      <c r="L34" s="77" t="s">
        <v>32</v>
      </c>
      <c r="M34" s="77"/>
      <c r="N34" s="67" t="s">
        <v>33</v>
      </c>
      <c r="O34" s="68"/>
      <c r="P34" s="78">
        <v>9.0</v>
      </c>
      <c r="Q34" s="79"/>
      <c r="R34" s="79"/>
      <c r="S34" s="79"/>
      <c r="T34" s="80"/>
      <c r="U34" s="78">
        <v>12.9</v>
      </c>
      <c r="V34" s="79"/>
      <c r="W34" s="79"/>
      <c r="X34" s="79"/>
      <c r="Y34" s="80"/>
      <c r="Z34" s="79">
        <v>16.1</v>
      </c>
      <c r="AA34" s="79"/>
      <c r="AB34" s="79"/>
      <c r="AC34" s="79"/>
      <c r="AD34" s="79"/>
    </row>
    <row r="35" spans="1:30" ht="15" customHeight="1">
      <c r="A35" s="13"/>
      <c r="B35" s="103" t="s">
        <v>51</v>
      </c>
      <c r="C35" s="103"/>
      <c r="D35" s="103"/>
      <c r="E35" s="103"/>
      <c r="F35" s="1"/>
      <c r="G35" s="50"/>
      <c r="H35" s="50"/>
      <c r="I35" s="50"/>
      <c r="J35" s="50"/>
      <c r="L35" s="77" t="s">
        <v>34</v>
      </c>
      <c r="M35" s="77"/>
      <c r="N35" s="19"/>
      <c r="O35" s="20"/>
      <c r="P35" s="69"/>
      <c r="Q35" s="70"/>
      <c r="R35" s="70"/>
      <c r="S35" s="70"/>
      <c r="T35" s="71"/>
      <c r="U35" s="69"/>
      <c r="V35" s="70"/>
      <c r="W35" s="70"/>
      <c r="X35" s="70"/>
      <c r="Y35" s="71"/>
      <c r="Z35" s="70"/>
      <c r="AA35" s="70"/>
      <c r="AB35" s="70"/>
      <c r="AC35" s="70"/>
      <c r="AD35" s="70"/>
    </row>
    <row r="36" spans="1:30" ht="15" customHeight="1">
      <c r="A36" s="13"/>
      <c r="B36" s="105" t="s">
        <v>0</v>
      </c>
      <c r="C36" s="105"/>
      <c r="D36" s="121"/>
      <c r="E36" s="6" t="s">
        <v>1</v>
      </c>
      <c r="F36" s="5"/>
      <c r="G36" s="50"/>
      <c r="H36" s="50"/>
      <c r="I36" s="50"/>
      <c r="J36" s="50"/>
      <c r="K36" s="6"/>
      <c r="L36" s="66" t="s">
        <v>35</v>
      </c>
      <c r="M36" s="66"/>
      <c r="N36" s="72" t="s">
        <v>33</v>
      </c>
      <c r="O36" s="73"/>
      <c r="P36" s="74"/>
      <c r="Q36" s="75"/>
      <c r="R36" s="75"/>
      <c r="S36" s="75"/>
      <c r="T36" s="76"/>
      <c r="U36" s="74"/>
      <c r="V36" s="75"/>
      <c r="W36" s="75"/>
      <c r="X36" s="75"/>
      <c r="Y36" s="76"/>
      <c r="Z36" s="75"/>
      <c r="AA36" s="75"/>
      <c r="AB36" s="75"/>
      <c r="AC36" s="75"/>
      <c r="AD36" s="75"/>
    </row>
    <row r="37" spans="1:30" ht="15" customHeight="1">
      <c r="A37" s="13"/>
      <c r="B37" s="105" t="s">
        <v>2</v>
      </c>
      <c r="C37" s="105"/>
      <c r="D37" s="121"/>
      <c r="E37" s="6" t="s">
        <v>3</v>
      </c>
      <c r="F37" s="5"/>
      <c r="G37" s="50"/>
      <c r="H37" s="50"/>
      <c r="I37" s="50"/>
      <c r="J37" s="50"/>
      <c r="K37" s="5"/>
      <c r="L37" s="106" t="s">
        <v>36</v>
      </c>
      <c r="M37" s="106"/>
      <c r="N37" s="17"/>
      <c r="O37" s="18"/>
      <c r="P37" s="59"/>
      <c r="Q37" s="60"/>
      <c r="R37" s="60"/>
      <c r="S37" s="60"/>
      <c r="T37" s="61"/>
      <c r="U37" s="59"/>
      <c r="V37" s="60"/>
      <c r="W37" s="60"/>
      <c r="X37" s="60"/>
      <c r="Y37" s="61"/>
      <c r="Z37" s="60"/>
      <c r="AA37" s="60"/>
      <c r="AB37" s="60"/>
      <c r="AC37" s="60"/>
      <c r="AD37" s="60"/>
    </row>
    <row r="38" spans="1:30" ht="15" customHeight="1">
      <c r="A38" s="13"/>
      <c r="B38" s="105" t="s">
        <v>52</v>
      </c>
      <c r="C38" s="105"/>
      <c r="D38" s="121"/>
      <c r="E38" s="40" t="s">
        <v>55</v>
      </c>
      <c r="F38" s="5"/>
      <c r="G38" s="50"/>
      <c r="H38" s="50"/>
      <c r="I38" s="50"/>
      <c r="J38" s="50"/>
      <c r="L38" s="51" t="s">
        <v>21</v>
      </c>
      <c r="M38" s="51"/>
      <c r="N38" s="67" t="s">
        <v>37</v>
      </c>
      <c r="O38" s="68"/>
      <c r="P38" s="62">
        <v>4543</v>
      </c>
      <c r="Q38" s="63"/>
      <c r="R38" s="63"/>
      <c r="S38" s="63"/>
      <c r="T38" s="64"/>
      <c r="U38" s="62">
        <v>8781</v>
      </c>
      <c r="V38" s="63"/>
      <c r="W38" s="63"/>
      <c r="X38" s="63"/>
      <c r="Y38" s="64"/>
      <c r="Z38" s="63">
        <v>17432</v>
      </c>
      <c r="AA38" s="63"/>
      <c r="AB38" s="63"/>
      <c r="AC38" s="63"/>
      <c r="AD38" s="63"/>
    </row>
    <row r="39" spans="1:30" s="13" customFormat="1" ht="15" customHeight="1">
      <c r="B39" s="105" t="s">
        <v>53</v>
      </c>
      <c r="C39" s="105"/>
      <c r="D39" s="121"/>
      <c r="E39" s="40" t="s">
        <v>55</v>
      </c>
      <c r="F39" s="38"/>
      <c r="G39" s="3"/>
      <c r="H39" s="3"/>
      <c r="I39" s="3"/>
      <c r="J39" s="3"/>
      <c r="K39" s="3"/>
      <c r="L39" s="124" t="s">
        <v>30</v>
      </c>
      <c r="M39" s="124"/>
      <c r="N39" s="52" t="s">
        <v>38</v>
      </c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 s="13" customFormat="1" ht="15" customHeight="1">
      <c r="B40" s="105" t="s">
        <v>54</v>
      </c>
      <c r="C40" s="105"/>
      <c r="D40" s="121"/>
      <c r="E40" s="40" t="s">
        <v>55</v>
      </c>
      <c r="F40" s="38"/>
      <c r="G40" s="3"/>
      <c r="H40" s="3"/>
      <c r="I40" s="3"/>
      <c r="J40" s="3"/>
      <c r="K40" s="3"/>
      <c r="L40" s="124" t="s">
        <v>22</v>
      </c>
      <c r="M40" s="124"/>
      <c r="N40" s="52" t="s">
        <v>39</v>
      </c>
      <c r="O40" s="53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13" customFormat="1" ht="15" customHeight="1">
      <c r="B41" s="104" t="s">
        <v>26</v>
      </c>
      <c r="C41" s="104"/>
      <c r="D41" s="119"/>
      <c r="E41" s="24" t="s">
        <v>59</v>
      </c>
      <c r="F41" s="38"/>
      <c r="G41" s="3"/>
      <c r="H41" s="3"/>
      <c r="I41" s="3"/>
      <c r="J41" s="3"/>
      <c r="K41" s="3"/>
      <c r="L41" s="37"/>
      <c r="M41" s="37"/>
      <c r="N41" s="39"/>
      <c r="O41" s="39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pans="1:30" ht="6.75" customHeight="1">
      <c r="A42" s="13"/>
      <c r="B42" s="2"/>
      <c r="C42" s="2"/>
      <c r="D42" s="2"/>
      <c r="E42" s="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15" customHeight="1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30" ht="15" customHeight="1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30" ht="15" customHeight="1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30" ht="15" customHeight="1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30" ht="15" customHeight="1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</sheetData>
  <mergeCells count="144">
    <mergeCell ref="L37:M37"/>
    <mergeCell ref="L38:M38"/>
    <mergeCell ref="L39:M39"/>
    <mergeCell ref="L40:M40"/>
    <mergeCell ref="L10:M10"/>
    <mergeCell ref="L11:M11"/>
    <mergeCell ref="L12:M12"/>
    <mergeCell ref="L21:M21"/>
    <mergeCell ref="L23:M23"/>
    <mergeCell ref="L24:M24"/>
    <mergeCell ref="L25:M25"/>
    <mergeCell ref="L26:M26"/>
    <mergeCell ref="L35:M35"/>
    <mergeCell ref="B41:D41"/>
    <mergeCell ref="B22:C22"/>
    <mergeCell ref="B24:D25"/>
    <mergeCell ref="B26:D27"/>
    <mergeCell ref="B28:D28"/>
    <mergeCell ref="B30:E30"/>
    <mergeCell ref="B33:C33"/>
    <mergeCell ref="B32:C32"/>
    <mergeCell ref="B23:C23"/>
    <mergeCell ref="B35:E35"/>
    <mergeCell ref="B36:D36"/>
    <mergeCell ref="B37:D37"/>
    <mergeCell ref="B38:D38"/>
    <mergeCell ref="B39:D39"/>
    <mergeCell ref="B40:D40"/>
    <mergeCell ref="AY3:BA3"/>
    <mergeCell ref="B3:C3"/>
    <mergeCell ref="B4:C4"/>
    <mergeCell ref="AU3:AW3"/>
    <mergeCell ref="AQ3:AS3"/>
    <mergeCell ref="B10:B13"/>
    <mergeCell ref="B14:B17"/>
    <mergeCell ref="B18:B21"/>
    <mergeCell ref="B31:C31"/>
    <mergeCell ref="L5:O5"/>
    <mergeCell ref="P5:T5"/>
    <mergeCell ref="N10:O10"/>
    <mergeCell ref="N11:O11"/>
    <mergeCell ref="N12:O12"/>
    <mergeCell ref="P10:T10"/>
    <mergeCell ref="L16:O16"/>
    <mergeCell ref="P16:T16"/>
    <mergeCell ref="U16:Y16"/>
    <mergeCell ref="L17:O17"/>
    <mergeCell ref="P17:T17"/>
    <mergeCell ref="U17:Y17"/>
    <mergeCell ref="L18:O18"/>
    <mergeCell ref="P18:T18"/>
    <mergeCell ref="U18:Y18"/>
    <mergeCell ref="L2:O2"/>
    <mergeCell ref="P2:T2"/>
    <mergeCell ref="L3:O3"/>
    <mergeCell ref="P3:T3"/>
    <mergeCell ref="L4:O4"/>
    <mergeCell ref="P4:T4"/>
    <mergeCell ref="B2:E2"/>
    <mergeCell ref="B9:C9"/>
    <mergeCell ref="B8:C8"/>
    <mergeCell ref="B7:C7"/>
    <mergeCell ref="B6:C6"/>
    <mergeCell ref="B5:C5"/>
    <mergeCell ref="L6:M6"/>
    <mergeCell ref="L8:M8"/>
    <mergeCell ref="N6:O6"/>
    <mergeCell ref="N8:O8"/>
    <mergeCell ref="P9:T9"/>
    <mergeCell ref="P7:T7"/>
    <mergeCell ref="P8:T8"/>
    <mergeCell ref="P6:T6"/>
    <mergeCell ref="L7:M7"/>
    <mergeCell ref="L9:M9"/>
    <mergeCell ref="N25:O25"/>
    <mergeCell ref="N26:O26"/>
    <mergeCell ref="P22:T22"/>
    <mergeCell ref="U22:Y22"/>
    <mergeCell ref="P23:T23"/>
    <mergeCell ref="U23:Y23"/>
    <mergeCell ref="P21:T21"/>
    <mergeCell ref="U21:Y21"/>
    <mergeCell ref="P19:T19"/>
    <mergeCell ref="U19:Y19"/>
    <mergeCell ref="P20:T20"/>
    <mergeCell ref="U20:Y20"/>
    <mergeCell ref="L19:O19"/>
    <mergeCell ref="L20:M20"/>
    <mergeCell ref="N20:O20"/>
    <mergeCell ref="L22:M22"/>
    <mergeCell ref="N22:O22"/>
    <mergeCell ref="P24:T24"/>
    <mergeCell ref="U24:Y24"/>
    <mergeCell ref="N24:O24"/>
    <mergeCell ref="U32:Y32"/>
    <mergeCell ref="Z32:AD32"/>
    <mergeCell ref="L33:O33"/>
    <mergeCell ref="P33:T33"/>
    <mergeCell ref="U33:Y33"/>
    <mergeCell ref="Z33:AD33"/>
    <mergeCell ref="L30:O30"/>
    <mergeCell ref="P30:T30"/>
    <mergeCell ref="U30:Y30"/>
    <mergeCell ref="Z30:AD30"/>
    <mergeCell ref="L31:O31"/>
    <mergeCell ref="P31:T31"/>
    <mergeCell ref="U31:Y31"/>
    <mergeCell ref="Z31:AD31"/>
    <mergeCell ref="P32:T32"/>
    <mergeCell ref="U35:Y35"/>
    <mergeCell ref="Z35:AD35"/>
    <mergeCell ref="N36:O36"/>
    <mergeCell ref="P36:T36"/>
    <mergeCell ref="U36:Y36"/>
    <mergeCell ref="Z36:AD36"/>
    <mergeCell ref="L34:M34"/>
    <mergeCell ref="N34:O34"/>
    <mergeCell ref="P34:T34"/>
    <mergeCell ref="U34:Y34"/>
    <mergeCell ref="Z34:AD34"/>
    <mergeCell ref="G17:J24"/>
    <mergeCell ref="G31:J38"/>
    <mergeCell ref="G2:J2"/>
    <mergeCell ref="G3:J10"/>
    <mergeCell ref="N39:O39"/>
    <mergeCell ref="P39:AD39"/>
    <mergeCell ref="N40:O40"/>
    <mergeCell ref="P40:AD40"/>
    <mergeCell ref="P11:T11"/>
    <mergeCell ref="P12:T12"/>
    <mergeCell ref="P25:Y25"/>
    <mergeCell ref="P26:Y26"/>
    <mergeCell ref="P37:T37"/>
    <mergeCell ref="U37:Y37"/>
    <mergeCell ref="Z37:AD37"/>
    <mergeCell ref="P38:T38"/>
    <mergeCell ref="U38:Y38"/>
    <mergeCell ref="Z38:AD38"/>
    <mergeCell ref="G30:J30"/>
    <mergeCell ref="L32:O32"/>
    <mergeCell ref="L36:M36"/>
    <mergeCell ref="N38:O38"/>
    <mergeCell ref="G16:J16"/>
    <mergeCell ref="P35:T35"/>
  </mergeCells>
  <phoneticPr fontId="4"/>
  <dataValidations count="12">
    <dataValidation type="list" allowBlank="1" showInputMessage="1" showErrorMessage="1" sqref="E18 E14 E10" xr:uid="{F0008C8C-F541-4069-BE98-2D9EFDC33EF9}">
      <formula1>"φ13,φ16,φ19,φ22"</formula1>
    </dataValidation>
    <dataValidation type="list" allowBlank="1" showInputMessage="1" showErrorMessage="1" sqref="E6" xr:uid="{4B032F04-C984-416C-87D6-1D4759EB2F4D}">
      <formula1>"18,21,24,27,30"</formula1>
    </dataValidation>
    <dataValidation type="list" allowBlank="1" showInputMessage="1" showErrorMessage="1" sqref="E22" xr:uid="{37E294A8-CB0E-49FB-ADCD-2A06BAC9A8FA}">
      <formula1>"－,500,600,700,800,900,1000"</formula1>
    </dataValidation>
    <dataValidation type="list" allowBlank="1" showInputMessage="1" showErrorMessage="1" sqref="E13 E21 E17" xr:uid="{7A9A0653-255F-4BC6-8893-421421749B0E}">
      <formula1>"両側,片側"</formula1>
    </dataValidation>
    <dataValidation type="list" allowBlank="1" showInputMessage="1" showErrorMessage="1" sqref="E15 E11 E19" xr:uid="{8D4BB3B5-428E-40EC-AA1F-B6AD5887BD85}">
      <formula1>"100,150,200,250,300"</formula1>
    </dataValidation>
    <dataValidation type="list" allowBlank="1" showInputMessage="1" showErrorMessage="1" sqref="E16 E12 E20" xr:uid="{BF72B5FA-0DCF-419F-AB52-BBD68E2E26B3}">
      <formula1>"200,250,300"</formula1>
    </dataValidation>
    <dataValidation type="list" allowBlank="1" showInputMessage="1" showErrorMessage="1" sqref="E26 E24" xr:uid="{1C3DDDC1-8449-4820-AFCC-5A8B0B23AFBC}">
      <formula1>"－,10mm以下,15mm以下,20mm以下,25mm以下,30mm以下"</formula1>
    </dataValidation>
    <dataValidation type="list" allowBlank="1" showInputMessage="1" showErrorMessage="1" sqref="E25 E27" xr:uid="{5181B64C-A725-495F-9929-AC21A4F2E40B}">
      <formula1>"－,L/300以下,L/400以下,L/500以下,L/600以下,L/700以下"</formula1>
    </dataValidation>
    <dataValidation type="list" allowBlank="1" showInputMessage="1" showErrorMessage="1" sqref="E28" xr:uid="{88231D70-6FB8-4A9B-9988-66F38A7538EA}">
      <formula1>"A or B,A and B"</formula1>
    </dataValidation>
    <dataValidation type="list" allowBlank="1" showInputMessage="1" showErrorMessage="1" sqref="E36" xr:uid="{00000000-0002-0000-0000-000009000000}">
      <formula1>"SS400,SN400A,SN400B"</formula1>
    </dataValidation>
    <dataValidation type="list" allowBlank="1" showInputMessage="1" showErrorMessage="1" sqref="E37" xr:uid="{00000000-0002-0000-0000-00000A000000}">
      <formula1>"SM490A,SN490B"</formula1>
    </dataValidation>
    <dataValidation type="list" allowBlank="1" showInputMessage="1" showErrorMessage="1" sqref="E38:E41" xr:uid="{00000000-0002-0000-0000-00000B000000}">
      <formula1>"使用可,使用不可"</formula1>
    </dataValidation>
  </dataValidations>
  <pageMargins left="0.51181102362204722" right="0.51181102362204722" top="0.19685039370078741" bottom="0.19685039370078741" header="0.31496062992125984" footer="0.31496062992125984"/>
  <pageSetup paperSize="9" orientation="landscape" r:id="rId1"/>
  <drawing r:id="rId2"/>
  <legacyDrawing r:id="rId3"/>
  <extLst>
    <ext xmlns:x14="http://schemas.microsoft.com/office/spreadsheetml/2009/9/main" uri="{78C0D931-6437-407d-A8EE-F0AAD7539E65}">
      <x14:conditionalFormattings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入力＆結果</vt:lpstr>
      <vt:lpstr>'入力＆結果'!Print_Area</vt:lpstr>
    </vt:vector>
  </TitlesOfParts>
  <Company>矢作建設工業株式会社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SKD19024</dc:creator>
  <cp:lastModifiedBy>菅沼田 直人</cp:lastModifiedBy>
  <cp:lastPrinted>2026-06-19T03:32:24Z</cp:lastPrinted>
  <dcterms:created xsi:type="dcterms:W3CDTF">2020-03-30T23:20:51Z</dcterms:created>
  <dcterms:modified xsi:type="dcterms:W3CDTF">2026-06-19T05:46:38Z</dcterms:modified>
</cp:coreProperties>
</file>